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997" windowHeight="13784" firstSheet="2" activeTab="3"/>
  </bookViews>
  <sheets>
    <sheet name="Guideline" sheetId="1" r:id="rId1"/>
    <sheet name="Cover" sheetId="2" r:id="rId2"/>
    <sheet name="Functions" sheetId="3" r:id="rId3"/>
    <sheet name="Statistics" sheetId="4" r:id="rId4"/>
    <sheet name="Form" sheetId="5" r:id="rId5"/>
    <sheet name="00_Automation Summary" sheetId="6" r:id="rId6"/>
    <sheet name="MQ001_DisplayManualQuestionForm" sheetId="7" r:id="rId7"/>
    <sheet name="MQ002_ValidateJobTitleRequired" sheetId="8" r:id="rId8"/>
    <sheet name="MQ003_ValidateQuestionContentRe" sheetId="9" r:id="rId9"/>
    <sheet name="MQ004_ValidateDurationBoundaryV" sheetId="10" r:id="rId10"/>
    <sheet name="MQ005_SaveQuestionSetSuccess" sheetId="11" r:id="rId11"/>
    <sheet name="MQ006_DeleteQuestionMinLimitGua" sheetId="12" r:id="rId12"/>
    <sheet name="MQ007_ImportExcelValidFile" sheetId="13" r:id="rId13"/>
    <sheet name="MQ008_ImportExcelInvalidFile" sheetId="14" r:id="rId14"/>
    <sheet name="MQ009_ExportTxtValidation" sheetId="15" r:id="rId15"/>
    <sheet name="MQ010_AiQuotaExceededManualLink" sheetId="16" r:id="rId16"/>
    <sheet name="MQ011_UnauthorizedRoleAccessMan" sheetId="17" r:id="rId17"/>
    <sheet name="RAG001_JdInputPasteValidation" sheetId="18" r:id="rId18"/>
    <sheet name="RAG002_JdInputUploadFileTypes" sheetId="19" r:id="rId19"/>
    <sheet name="RAG003_KnowledgeDocumentIngesti" sheetId="20" r:id="rId20"/>
    <sheet name="RAG004_SourcesPanelLockOnGenera" sheetId="21" r:id="rId21"/>
    <sheet name="RAG005_GenerateQuestionsSuccess" sheetId="22" r:id="rId22"/>
    <sheet name="RAG006_GenerateQuestionsAutoRet" sheetId="23" r:id="rId23"/>
    <sheet name="RAG007_GenerateQuestionsFailedS" sheetId="24" r:id="rId24"/>
    <sheet name="RAG008_GenerateQuestionsTimeout" sheetId="25" r:id="rId25"/>
    <sheet name="RAG009_BackgroundPollResumeOnRe" sheetId="26" r:id="rId26"/>
    <sheet name="RAG010_QuotaCooldownBlockingMod" sheetId="27" r:id="rId27"/>
    <sheet name="RAG011_PlanApprovedLocksRefine" sheetId="28" r:id="rId28"/>
    <sheet name="RAG012_QuestionEditDeleteRegene" sheetId="29" r:id="rId29"/>
    <sheet name="RAG013_SaveDraftPublishShare" sheetId="30" r:id="rId30"/>
    <sheet name="RAG014_JdMinCharVsWordCountMism" sheetId="31" r:id="rId31"/>
    <sheet name="RAG015_FileUploadTypeSizeValida" sheetId="32" r:id="rId32"/>
    <sheet name="RAG016_HardcodedGenerationSetti" sheetId="33" r:id="rId33"/>
    <sheet name="RAG017_PlanQuestionPollingFlow" sheetId="34" r:id="rId34"/>
    <sheet name="RAG018_FailedStateRetryVariants" sheetId="35" r:id="rId35"/>
    <sheet name="RAG019_AskAiPerQuestionChat" sheetId="36" r:id="rId36"/>
    <sheet name="RAG020_QuotaBannerInlineCopyMis" sheetId="37" r:id="rId37"/>
    <sheet name="RAG021_SessionPersistenceCrossA" sheetId="38" r:id="rId38"/>
    <sheet name="RAG022_ConcurrentBackgroundJobs" sheetId="39" r:id="rId39"/>
    <sheet name="RAG023_SaveDraftDuplicateSubmit" sheetId="40" r:id="rId40"/>
    <sheet name="RAG024_PlanRegenerateLimitServe" sheetId="41" r:id="rId41"/>
    <sheet name="RGA001_Token401SilentRefreshSuc" sheetId="42" r:id="rId42"/>
    <sheet name="RGA002_Token401RefreshFailureRe" sheetId="43" r:id="rId43"/>
    <sheet name="RGA003_Token401NoRefreshTokenSt" sheetId="44" r:id="rId44"/>
    <sheet name="RGA004_Token401OnRefreshEndpoin" sheetId="45" r:id="rId45"/>
    <sheet name="RGA005_Token401AlreadyRetriedOn" sheetId="46" r:id="rId46"/>
    <sheet name="RGA006_PublicAuthEndpoint401NoI" sheetId="47" r:id="rId47"/>
    <sheet name="RGA007_Forbidden403NoDedicatedH" sheetId="48" r:id="rId48"/>
    <sheet name="RGA008_NoRoleGateOnHrRoutes" sheetId="49" r:id="rId49"/>
    <sheet name="RGA009_SubscriptionErrorCodeCan" sheetId="50" r:id="rId50"/>
    <sheet name="RGA010_UnrecognizedErrorCodeFal" sheetId="51" r:id="rId51"/>
    <sheet name="RGA011_TimeoutRaw5xxNoFriendlyM" sheetId="52" r:id="rId52"/>
    <sheet name="RGA012_SessionExpiryMidGenerati" sheetId="53" r:id="rId53"/>
    <sheet name="RGA013_ConcurrentRequests401Ded" sheetId="54" r:id="rId54"/>
    <sheet name="RGA014_RagServiceDeadCodeNoAuth" sheetId="55" r:id="rId55"/>
    <sheet name="RAG025_KbDocPickerOptionalAttac" sheetId="56" r:id="rId56"/>
    <sheet name="RAG026_NotesForAiFreeTextField" sheetId="57" r:id="rId57"/>
    <sheet name="RAG027_SampleJdModalCopyUse" sheetId="58" r:id="rId58"/>
    <sheet name="RAG028_ReorderQuestions409Handl" sheetId="59" r:id="rId59"/>
    <sheet name="RAG029_PublishedSetEditRestrict" sheetId="60" r:id="rId60"/>
    <sheet name="RAG030_ApplyPlanSettingsTimeout" sheetId="61" r:id="rId61"/>
    <sheet name="RAG031_RefinePlanChatFlow" sheetId="62" r:id="rId62"/>
    <sheet name="RAG032_StudioGenerationSettings" sheetId="63" r:id="rId63"/>
    <sheet name="RAG033_NewSetResetsLockedPanels" sheetId="64" r:id="rId64"/>
    <sheet name="RAG034_KnowledgeDocLibraryAttac" sheetId="65" r:id="rId65"/>
    <sheet name="RAG035_StudioChatRefineMultiTur" sheetId="66" r:id="rId66"/>
    <sheet name="RAG036_GenerateFormNumberOfQues" sheetId="67" r:id="rId67"/>
    <sheet name="RAG037_StudioApprovePlanButtonS" sheetId="68" r:id="rId68"/>
    <sheet name="RAG038_GenerateFormKbDocPickerR" sheetId="69" r:id="rId69"/>
    <sheet name="RAG039_StudioQuestionListEmptyS" sheetId="70" r:id="rId70"/>
    <sheet name="RGA015_LoginSpecificAuthErrors" sheetId="71" r:id="rId71"/>
    <sheet name="RGA016_CandidateForbiddenErrorM" sheetId="72" r:id="rId72"/>
    <sheet name="RGA017_TokenStorageLocalStorage" sheetId="73" r:id="rId73"/>
    <sheet name="RGA018_SsrNoTokenAttachNoOp" sheetId="74" r:id="rId74"/>
    <sheet name="RGA019_ClearAuthClearsCachedUse" sheetId="75" r:id="rId75"/>
    <sheet name="RGA020_RefreshTokenRotationOnSu" sheetId="76" r:id="rId76"/>
    <sheet name="UI001_ManualQuestionPageRespons" sheetId="77" r:id="rId77"/>
    <sheet name="UI002_ManualQuestionPageDarkLig" sheetId="78" r:id="rId78"/>
    <sheet name="UI003_StudioPageResponsiveLayou" sheetId="79" r:id="rId79"/>
    <sheet name="UI004_StudioPageDarkLightTheme" sheetId="80" r:id="rId80"/>
    <sheet name="UI005_GenerateFormResponsiveLay" sheetId="81" r:id="rId81"/>
    <sheet name="UI006_GenerateFormDarkLightThem" sheetId="82" r:id="rId82"/>
    <sheet name="UI007_QuotaModalResponsiveDispl" sheetId="83" r:id="rId83"/>
    <sheet name="UI008_ToastNotificationPosition" sheetId="84" r:id="rId84"/>
    <sheet name="UI009_FileUploadDropzoneVisualS" sheetId="85" r:id="rId85"/>
    <sheet name="UI010_ButtonLoadingDisabledStat" sheetId="86" r:id="rId86"/>
    <sheet name="UI011_FormFieldValidationVisual" sheetId="87" r:id="rId87"/>
    <sheet name="UI012_NavigationSidebarResponsi" sheetId="88" r:id="rId88"/>
    <sheet name="UI013_ModalDialogPositioningZIn" sheetId="89" r:id="rId89"/>
    <sheet name="UI014_TableGridResponsiveOverfl" sheetId="90" r:id="rId90"/>
    <sheet name="UI015_TooltipHoverDisplay" sheetId="91" r:id="rId91"/>
    <sheet name="UI016_LoadingSpinnerSkeletonSta" sheetId="92" r:id="rId92"/>
    <sheet name="UI017_AccessibilityKeyboardNavi" sheetId="93" r:id="rId93"/>
    <sheet name="UI018_BrandingLogoHeaderConsist" sheetId="94" r:id="rId94"/>
    <sheet name="AUTH001_RegisterHR" sheetId="95" r:id="rId95"/>
    <sheet name="AUTH002_Login" sheetId="96" r:id="rId96"/>
    <sheet name="AUTH003_RegisterJobSeeker" sheetId="97" r:id="rId97"/>
    <sheet name="AUTH004_VerifyEmail" sheetId="98" r:id="rId98"/>
    <sheet name="AUTH005_ForgotResetPassword" sheetId="99" r:id="rId99"/>
    <sheet name="AUTH006_AccessControl" sheetId="100" r:id="rId100"/>
    <sheet name="AUTH007_UpdateProfile" sheetId="101" r:id="rId101"/>
    <sheet name="AUTH008_ManageUsers" sheetId="102" r:id="rId102"/>
    <sheet name="BE001_HealthCheckEndpoints" sheetId="103" r:id="rId103"/>
    <sheet name="BE002_InternalApiKeyAuthGate" sheetId="104" r:id="rId104"/>
    <sheet name="BE003_ChatEndpointValidation" sheetId="105" r:id="rId105"/>
    <sheet name="BE004_IngestSystemFilesValidati" sheetId="106" r:id="rId106"/>
    <sheet name="BE005_IngestHrFilesValidation" sheetId="107" r:id="rId107"/>
    <sheet name="BE006_JdValidationRules" sheetId="108" r:id="rId108"/>
    <sheet name="BE007_InterviewPlanStartValidat" sheetId="109" r:id="rId109"/>
    <sheet name="BE008_InterviewPlanMessagesClar" sheetId="110" r:id="rId110"/>
    <sheet name="BE009_InterviewPlanConfirmValid" sheetId="111" r:id="rId111"/>
    <sheet name="BE010_InterviewQuestionsGenerat" sheetId="112" r:id="rId112"/>
    <sheet name="BE011_ErrorResponseEnvelopeCons" sheetId="113" r:id="rId113"/>
    <sheet name="BE012_LlmErrorMapping" sheetId="114" r:id="rId114"/>
    <sheet name="BE013_LegacyEndpointsDeprecatio" sheetId="115" r:id="rId115"/>
    <sheet name="BE014_SynchronousBlockingNoTime" sheetId="116" r:id="rId116"/>
    <sheet name="BE015_NoCorsMiddlewareConfigure" sheetId="117" r:id="rId117"/>
    <sheet name="BE016_NoRateLimitingConfigured" sheetId="118" r:id="rId118"/>
    <sheet name="BE017_StartupNoFailFastValidati" sheetId="119" r:id="rId119"/>
    <sheet name="BE018_FileExtensionAllowList" sheetId="120" r:id="rId12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<sst xmlns="http://schemas.openxmlformats.org/spreadsheetml/2006/main" count="37326" uniqueCount="1709">
  <si>
    <t>Guideline to make and understand Unit Test Case</t>
  </si>
  <si>
    <t>1. Overview</t>
  </si>
  <si>
    <t xml:space="preserve"> - In the template, Unit test cases are based on functions. Each sheet presents test cases for one function.</t>
  </si>
  <si>
    <r>
      <rPr>
        <sz val="10"/>
        <color theme="1"/>
        <rFont val="Tahoma"/>
        <charset val="134"/>
      </rPr>
      <t xml:space="preserve"> - </t>
    </r>
    <r>
      <rPr>
        <b/>
        <sz val="10"/>
        <color theme="1"/>
        <rFont val="Tahoma"/>
        <charset val="134"/>
      </rPr>
      <t>Cover</t>
    </r>
    <r>
      <rPr>
        <sz val="10"/>
        <color theme="1"/>
        <rFont val="Tahoma"/>
        <charset val="134"/>
      </rPr>
      <t>: General information of the project and Unit Test cases</t>
    </r>
  </si>
  <si>
    <r>
      <rPr>
        <sz val="10"/>
        <color theme="1"/>
        <rFont val="Tahoma"/>
        <charset val="134"/>
      </rPr>
      <t xml:space="preserve"> - </t>
    </r>
    <r>
      <rPr>
        <b/>
        <sz val="10"/>
        <color theme="1"/>
        <rFont val="Tahoma"/>
        <charset val="134"/>
      </rPr>
      <t>FunctionList</t>
    </r>
    <r>
      <rPr>
        <sz val="10"/>
        <color theme="1"/>
        <rFont val="Tahoma"/>
        <charset val="134"/>
      </rPr>
      <t xml:space="preserve">: The list of Classes and Functions in the document. 
     + To control that the number of Unit TC meets customer's requirement or the norm, user should fill value for  
     'Normal number of Test cases/KLOC'. </t>
    </r>
  </si>
  <si>
    <r>
      <rPr>
        <sz val="10"/>
        <color theme="1"/>
        <rFont val="Tahoma"/>
        <charset val="134"/>
      </rPr>
      <t xml:space="preserve">     + Click on Function link to open the related Test cases of the function.  
     </t>
    </r>
    <r>
      <rPr>
        <i/>
        <sz val="10"/>
        <color theme="1"/>
        <rFont val="Tahoma"/>
        <charset val="134"/>
      </rPr>
      <t>Note:</t>
    </r>
    <r>
      <rPr>
        <sz val="10"/>
        <color theme="1"/>
        <rFont val="Tahoma"/>
        <charset val="134"/>
      </rPr>
      <t xml:space="preserve"> You should create new Function sheet before creating the link</t>
    </r>
  </si>
  <si>
    <r>
      <rPr>
        <sz val="10"/>
        <color theme="1"/>
        <rFont val="Tahoma"/>
        <charset val="134"/>
      </rPr>
      <t xml:space="preserve"> - </t>
    </r>
    <r>
      <rPr>
        <b/>
        <sz val="10"/>
        <color theme="1"/>
        <rFont val="Tahoma"/>
        <charset val="134"/>
      </rPr>
      <t>Test Report</t>
    </r>
    <r>
      <rPr>
        <sz val="10"/>
        <color theme="1"/>
        <rFont val="Tahoma"/>
        <charset val="134"/>
      </rPr>
      <t>: provive the overview results of Functions Unit test: Test coverage, Test successful coverage 
    (Summary, for normal/abnormal/boundary cases)</t>
    </r>
  </si>
  <si>
    <t xml:space="preserve">     Note:  Should check the formula of "Sub Total" if you add more functions</t>
  </si>
  <si>
    <t>2. Content in Test function sheet</t>
  </si>
  <si>
    <t>2.1 Combination of test cases.</t>
  </si>
  <si>
    <t xml:space="preserve"> - To verify that number of Unit TC meets customer's requirement or not. User has to fill number LOC of tested function and fill value of 'Normal number test cases/KLOC' item in FunctionList sheet, which is required by customer or normal value. The number of lacked TC is shown in 'Lack of test cases' item.</t>
  </si>
  <si>
    <t xml:space="preserve"> - If the number of Unit TC does not meet the requirement, creator should explain the reasons.</t>
  </si>
  <si>
    <t xml:space="preserve"> - If the number of  'Normal number test cases/KLOC' item in FunctionList sheet is not recorded, the number in 'Lack of test cases' is not calculated.</t>
  </si>
  <si>
    <t xml:space="preserve"> 2.2 Condition and confirmation of Test cases.</t>
  </si>
  <si>
    <t xml:space="preserve"> Each test case is the combination of condition and confirmation.</t>
  </si>
  <si>
    <t>a. Condition:</t>
  </si>
  <si>
    <t xml:space="preserve">        - Condition is combination of precondition and values of inputs.</t>
  </si>
  <si>
    <t xml:space="preserve">        - Precondition: it is setting condition that must exist before execution of the test case. 
                    Example: file A is precondition for the test case that needs to access file A.</t>
  </si>
  <si>
    <t xml:space="preserve">        - Values of inputs: it includes 3 types of values: normal, boundary and abnormal.</t>
  </si>
  <si>
    <t xml:space="preserve">                . Normal values are values of inputs used mainly and usually to ensure the function works.</t>
  </si>
  <si>
    <t xml:space="preserve">                . Boundary values are limited values that contain upper and lower values.</t>
  </si>
  <si>
    <t xml:space="preserve">                . Abnormal values are non-expected values. And normally it processes exception cases.   </t>
  </si>
  <si>
    <t xml:space="preserve"> </t>
  </si>
  <si>
    <t xml:space="preserve">        - For examples:</t>
  </si>
  <si>
    <t xml:space="preserve">            Input value belongs to 5&lt;= input &lt;=10.</t>
  </si>
  <si>
    <t xml:space="preserve">               . 6,7,8,9 are normal values.</t>
  </si>
  <si>
    <t xml:space="preserve">               . 5, 10 are boundary values.</t>
  </si>
  <si>
    <t xml:space="preserve">               . -1, 11,... are abnormal values.   </t>
  </si>
  <si>
    <t xml:space="preserve">b. Confirmation: </t>
  </si>
  <si>
    <t xml:space="preserve">        - It is combination of expected result to check output of each function. 
          If the results are the same with confirmation, the test case is passed, other case it is failed. </t>
  </si>
  <si>
    <t xml:space="preserve">        - Confirmation can include:</t>
  </si>
  <si>
    <t xml:space="preserve">                + Output result of the function.</t>
  </si>
  <si>
    <t xml:space="preserve">                + Output log messages in log file.</t>
  </si>
  <si>
    <t xml:space="preserve">                + Output screen message...</t>
  </si>
  <si>
    <t>c. Type of test cases and result:</t>
  </si>
  <si>
    <t xml:space="preserve">        - Type of test case: It includes normal, boundary and abnormal test cases. User selects the type based on the type of input data.</t>
  </si>
  <si>
    <r>
      <rPr>
        <sz val="10"/>
        <color theme="1"/>
        <rFont val="Tahoma"/>
        <charset val="134"/>
      </rPr>
      <t xml:space="preserve">        - Test case result: the actual output results comparing with the Confirmation.
                 </t>
    </r>
    <r>
      <rPr>
        <b/>
        <sz val="10"/>
        <color theme="1"/>
        <rFont val="Tahoma"/>
        <charset val="134"/>
      </rPr>
      <t>P</t>
    </r>
    <r>
      <rPr>
        <sz val="10"/>
        <color theme="1"/>
        <rFont val="Tahoma"/>
        <charset val="134"/>
      </rPr>
      <t xml:space="preserve"> for Passed and </t>
    </r>
    <r>
      <rPr>
        <b/>
        <sz val="10"/>
        <color theme="1"/>
        <rFont val="Tahoma"/>
        <charset val="134"/>
      </rPr>
      <t>F</t>
    </r>
    <r>
      <rPr>
        <sz val="10"/>
        <color theme="1"/>
        <rFont val="Tahoma"/>
        <charset val="134"/>
      </rPr>
      <t xml:space="preserve"> for Failed cases.
          It can 'OK' or 'NG' (it depends on habit of the teams or customers)</t>
    </r>
  </si>
  <si>
    <t xml:space="preserve"> 2.3. Other items:</t>
  </si>
  <si>
    <t xml:space="preserve"> - Function Code: it is ID of the function and updated automatically according to FunctionList sheet.</t>
  </si>
  <si>
    <t xml:space="preserve"> - Function Name: it is name  of the function and updated automatically according to FunctionList sheet.</t>
  </si>
  <si>
    <t xml:space="preserve"> - Created By: Name of creator.</t>
  </si>
  <si>
    <t xml:space="preserve"> - Executed By: Name of person who executes the unit test</t>
  </si>
  <si>
    <t xml:space="preserve"> - Lines of code: Number of Code line of the function.</t>
  </si>
  <si>
    <t xml:space="preserve"> - Test requirement: Brief description about requirements which are tested in this function, it is not mandatory.</t>
  </si>
  <si>
    <t xml:space="preserve">         </t>
  </si>
  <si>
    <t>UNIT TEST DOCUMENT</t>
  </si>
  <si>
    <t>Project Name</t>
  </si>
  <si>
    <t>IQGS – AI-Powered Interview Question Generation System Using RAG and LLM – A Dual-Sided Platform for Recruiters and Job Seekers</t>
  </si>
  <si>
    <t>Creator</t>
  </si>
  <si>
    <t>NamNM</t>
  </si>
  <si>
    <t>Project Code</t>
  </si>
  <si>
    <t>SU26SE102</t>
  </si>
  <si>
    <t>Issue Date</t>
  </si>
  <si>
    <t>Document Code</t>
  </si>
  <si>
    <t>Version</t>
  </si>
  <si>
    <t>v0.1</t>
  </si>
  <si>
    <t>Record of change</t>
  </si>
  <si>
    <t>Effective Date</t>
  </si>
  <si>
    <t>Change Item</t>
  </si>
  <si>
    <t>*A,D,M</t>
  </si>
  <si>
    <t>Change description</t>
  </si>
  <si>
    <t>Reference</t>
  </si>
  <si>
    <t>0.0.1</t>
  </si>
  <si>
    <t>A</t>
  </si>
  <si>
    <t>Add project information and record of change table</t>
  </si>
  <si>
    <t>Function List</t>
  </si>
  <si>
    <t xml:space="preserve">Normal number of Test cases/KLOC </t>
  </si>
  <si>
    <t>Test Environment Setup Description</t>
  </si>
  <si>
    <t>&lt;List enviroment requires in this system
1. Server
2. Database
3. Web Browser
...
&gt;</t>
  </si>
  <si>
    <t>No</t>
  </si>
  <si>
    <t>Requirement
Name</t>
  </si>
  <si>
    <t>Class Name</t>
  </si>
  <si>
    <t>Function Name</t>
  </si>
  <si>
    <t xml:space="preserve"> Function Code(Optional)</t>
  </si>
  <si>
    <t>Sheet Name</t>
  </si>
  <si>
    <t>Description</t>
  </si>
  <si>
    <t>Pre-Condition</t>
  </si>
  <si>
    <t>Manual Question Creation (HR)</t>
  </si>
  <si>
    <t>ManualQuestionModule</t>
  </si>
  <si>
    <t>DisplayManualQuestionForm</t>
  </si>
  <si>
    <t>FE_MQ_001</t>
  </si>
  <si>
    <t>MQ001_DisplayManualQuestionForm</t>
  </si>
  <si>
    <t>Display manual question creation form with default fields when HR opens /hr/generate/manual</t>
  </si>
  <si>
    <t>HR user is logged in; Network is connected</t>
  </si>
  <si>
    <t>ValidateJobTitleRequired</t>
  </si>
  <si>
    <t>FE_MQ_002</t>
  </si>
  <si>
    <t>MQ002_ValidateJobTitleRequired</t>
  </si>
  <si>
    <t>Validate that saving a question set requires a non-blank job title</t>
  </si>
  <si>
    <t>HR is on the manual question page; At least 1 question row is filled</t>
  </si>
  <si>
    <t>ValidateQuestionContentRequired</t>
  </si>
  <si>
    <t>FE_MQ_003</t>
  </si>
  <si>
    <t>MQ003_ValidateQuestionContentRe</t>
  </si>
  <si>
    <t>Validate question content requirement rules before a question set can be saved</t>
  </si>
  <si>
    <t>Job title is valid ("QA Engineer")</t>
  </si>
  <si>
    <t>ValidateDurationBoundaryValue</t>
  </si>
  <si>
    <t>FE_MQ_004</t>
  </si>
  <si>
    <t>MQ004_ValidateDurationBoundaryV</t>
  </si>
  <si>
    <t>Verify interview duration input clamping at its min/max boundaries (input: min=15, max=240, step=5)</t>
  </si>
  <si>
    <t>14 (below min 15); 240 (at max); 9999 (above max 240)</t>
  </si>
  <si>
    <t>SaveQuestionSetSuccess</t>
  </si>
  <si>
    <t>FE_MQ_005</t>
  </si>
  <si>
    <t>MQ005_SaveQuestionSetSuccess</t>
  </si>
  <si>
    <t>Verify the save flow's loading/success UX across browsers (client-side only, no real persistence)</t>
  </si>
  <si>
    <t>Job title and all question rows are valid</t>
  </si>
  <si>
    <t>DeleteQuestionMinLimitGuard</t>
  </si>
  <si>
    <t>FE_MQ_006</t>
  </si>
  <si>
    <t>MQ006_DeleteQuestionMinLimitGua</t>
  </si>
  <si>
    <t>Verify the delete (trash) action is guarded so at least 1 question row always remains</t>
  </si>
  <si>
    <t>Starts with 5 questions, delete down to 1; Starts with 2 questions, delete 1; Exactly 1 question remaining</t>
  </si>
  <si>
    <t>ImportExcelValidFile</t>
  </si>
  <si>
    <t>FE_MQ_007</t>
  </si>
  <si>
    <t>MQ007_ImportExcelValidFile</t>
  </si>
  <si>
    <t>Verify importing questions from a valid .xlsx file (downloaded template)</t>
  </si>
  <si>
    <t>Existing rows present, valid .xlsx from the template; Contains a typo'd Type value (e.g. "Techncal")</t>
  </si>
  <si>
    <t>ImportExcelInvalidFile</t>
  </si>
  <si>
    <t>FE_MQ_008</t>
  </si>
  <si>
    <t>MQ008_ImportExcelInvalidFile</t>
  </si>
  <si>
    <t>Verify rejection handling for unsupported, empty, or unreadable import files</t>
  </si>
  <si>
    <t>a .pdf or .docx file; a valid .xlsx with all rows blank; a corrupted/renamed .xlsx (not a real Excel binary)</t>
  </si>
  <si>
    <t>ExportTxtValidation</t>
  </si>
  <si>
    <t>FE_MQ_009</t>
  </si>
  <si>
    <t>MQ009_ExportTxtValidation</t>
  </si>
  <si>
    <t>Verify "Export .txt" requires a job title and at least 1 filled question before downloading</t>
  </si>
  <si>
    <t>Empty title, 0 questions; Valid title, 0 filled questions; Valid title, &gt;=1 filled question</t>
  </si>
  <si>
    <t>AiQuotaExceededManualLink</t>
  </si>
  <si>
    <t>FE_MQ_010</t>
  </si>
  <si>
    <t>MQ010_AiQuotaExceededManualLink</t>
  </si>
  <si>
    <t>Verify HR can reach manual creation from the AI-quota-exceeded banner/dialog once the Free-plan cooldown is hit</t>
  </si>
  <si>
    <t>Free plan, quota exhausted, on /hr/generate; Free plan, quota exhausted, on Studio JD flow; Premium plan, generateUnlimited = true</t>
  </si>
  <si>
    <t>UnauthorizedRoleAccessManualPage</t>
  </si>
  <si>
    <t>FE_MQ_011</t>
  </si>
  <si>
    <t>MQ011_UnauthorizedRoleAccessMan</t>
  </si>
  <si>
    <t>Verify behavior when a non-HR account directly navigates to /hr/generate/manual by URL (no client-side role guard found in code)</t>
  </si>
  <si>
    <t>Candidate role; Admin role; Guest (not logged in)</t>
  </si>
  <si>
    <t>AI Question Generation Flow (Studio / Generate Form)</t>
  </si>
  <si>
    <t>HRRAGFlowGenerateQuestions</t>
  </si>
  <si>
    <t>JdInputPasteValidation</t>
  </si>
  <si>
    <t>FE_RAG_001</t>
  </si>
  <si>
    <t>RAG001_JdInputPasteValidation</t>
  </si>
  <si>
    <t>Studio: validate JD paste input behavior - no minimum length enforced, Save &amp; Analyze disabled only when empty</t>
  </si>
  <si>
    <t>HR is on the Studio JD input step</t>
  </si>
  <si>
    <t>JdInputUploadFileTypes</t>
  </si>
  <si>
    <t>FE_RAG_002</t>
  </si>
  <si>
    <t>RAG002_JdInputUploadFileTypes</t>
  </si>
  <si>
    <t>Studio: validate accepted JD upload file types (.pdf/.docx/.txt/.jpg/.jpeg/.png) and the missing client-side size check</t>
  </si>
  <si>
    <t>.pdf file; .docx file; .txt file; .jpg / .png image file; unsupported type (.xlsx); accepted type but file is well over the "max 20MB" label</t>
  </si>
  <si>
    <t>KnowledgeDocumentIngestionStatus</t>
  </si>
  <si>
    <t>FE_RAG_003</t>
  </si>
  <si>
    <t>RAG003_KnowledgeDocumentIngesti</t>
  </si>
  <si>
    <t>Studio: verify RAG ingestion status chips for attached Knowledge Base documents and checkbox gating</t>
  </si>
  <si>
    <t>HR has uploaded/attached a knowledge document</t>
  </si>
  <si>
    <t>SourcesPanelLockOnGenerate</t>
  </si>
  <si>
    <t>FE_RAG_004</t>
  </si>
  <si>
    <t>RAG004_SourcesPanelLockOnGenera</t>
  </si>
  <si>
    <t>Studio: verify Sources/Inspector panels lock once generation starts or questions already exist</t>
  </si>
  <si>
    <t>Not generating, no questions yet; Generation in progress (isGeneratingQuestions); Questions already exist from a prior generation</t>
  </si>
  <si>
    <t>GenerateQuestionsSuccessFlow</t>
  </si>
  <si>
    <t>FE_RAG_005</t>
  </si>
  <si>
    <t>RAG005_GenerateQuestionsSuccess</t>
  </si>
  <si>
    <t>Studio: verify the happy-path Generate Questions flow (toast, 2.5s polling, success)</t>
  </si>
  <si>
    <t>Plan is approved and ready to generate</t>
  </si>
  <si>
    <t>GenerateQuestionsAutoRetryReplace</t>
  </si>
  <si>
    <t>FE_RAG_006</t>
  </si>
  <si>
    <t>RAG006_GenerateQuestionsAutoRet</t>
  </si>
  <si>
    <t>Studio: verify auto-retry with replaceExisting:true when backend returns QUESTIONS_ALREADY_EXIST</t>
  </si>
  <si>
    <t>Plan has no existing questions yet; Plan already has questions from a prior generation</t>
  </si>
  <si>
    <t>GenerateQuestionsFailedStatus</t>
  </si>
  <si>
    <t>FE_RAG_007</t>
  </si>
  <si>
    <t>RAG007_GenerateQuestionsFailedS</t>
  </si>
  <si>
    <t>Studio: verify a Failed generation run surfaces the backend errorCode/errorMessage via toast</t>
  </si>
  <si>
    <t>Failed, errorCode and errorMessage both present; Failed, only errorCode present; Failed, neither errorCode nor errorMessage present</t>
  </si>
  <si>
    <t>GenerateQuestionsTimeoutDeadline</t>
  </si>
  <si>
    <t>FE_RAG_008</t>
  </si>
  <si>
    <t>RAG008_GenerateQuestionsTimeout</t>
  </si>
  <si>
    <t>Studio: verify behavior when a generation run exceeds the 5-minute polling deadline</t>
  </si>
  <si>
    <t>Completes just under 5 minutes; Still Pending/Generating past the 5-minute mark</t>
  </si>
  <si>
    <t>BackgroundPollResumeOnReload</t>
  </si>
  <si>
    <t>FE_RAG_009</t>
  </si>
  <si>
    <t>RAG009_BackgroundPollResumeOnRe</t>
  </si>
  <si>
    <t>Studio: verify a Pending/Generating run resumes polling automatically after page reload/tab-switch</t>
  </si>
  <si>
    <t>Run status is Pending; Run status is Generating; Run already Completed before reload</t>
  </si>
  <si>
    <t>QuotaCooldownBlockingModal</t>
  </si>
  <si>
    <t>FE_RAG_010</t>
  </si>
  <si>
    <t>RAG010_QuotaCooldownBlockingMod</t>
  </si>
  <si>
    <t>Studio: verify the full-page blocking quota modal (Free plan cooldown) blocks the entire page, not just Generate</t>
  </si>
  <si>
    <t>Free plan, within 24h cooldown of last generate; Free plan, cooldown period has passed; Premium plan (generateUnlimited = true)</t>
  </si>
  <si>
    <t>PlanApprovedLocksRefine</t>
  </si>
  <si>
    <t>FE_RAG_011</t>
  </si>
  <si>
    <t>RAG011_PlanApprovedLocksRefine</t>
  </si>
  <si>
    <t>Studio: verify refine/apply-settings are blocked once a plan is approved, without hitting the API</t>
  </si>
  <si>
    <t>Plan is in draft / not approved; Plan is approved, HR sends a refine chat message; Plan is approved, HR tries to apply settings</t>
  </si>
  <si>
    <t>QuestionEditDeleteRegenerate</t>
  </si>
  <si>
    <t>FE_RAG_012</t>
  </si>
  <si>
    <t>RAG012_QuestionEditDeleteRegene</t>
  </si>
  <si>
    <t>Studio: verify per-question edit/delete/AI-regenerate actions after generation, including the hard-coded estimatedMinutes bug</t>
  </si>
  <si>
    <t>HR edits a question's content/difficulty/type and saves; HR deletes a question; HR clicks AI-regenerate on a single question; HR double-clicks AI-regenerate rapidly on the same question</t>
  </si>
  <si>
    <t>SaveDraftPublishShare</t>
  </si>
  <si>
    <t>FE_RAG_013</t>
  </si>
  <si>
    <t>RAG013_SaveDraftPublishShare</t>
  </si>
  <si>
    <t>Studio: verify Save Draft / Publish / Unpublish / Create Share link / New Session actions</t>
  </si>
  <si>
    <t>Click Save Draft; Click Publish; Click Unpublish on a published set; Click Create Share link; Start a new session from a shared link</t>
  </si>
  <si>
    <t>JdMinCharVsWordCountMismatch</t>
  </si>
  <si>
    <t>FE_RAG_014</t>
  </si>
  <si>
    <t>RAG014_JdMinCharVsWordCountMism</t>
  </si>
  <si>
    <t>GenerateForm: verify the two independent, inconsistent JD length rules - 400-char UI rule vs. hidden 100-word server rule</t>
  </si>
  <si>
    <t>399 characters (1 below the UI minimum); 420 characters but only 60 words; 600 characters, 110 words; No text typed, JD file attached instead</t>
  </si>
  <si>
    <t>FileUploadTypeSizeValidation</t>
  </si>
  <si>
    <t>FE_RAG_015</t>
  </si>
  <si>
    <t>RAG015_FileUploadTypeSizeValida</t>
  </si>
  <si>
    <t>GenerateForm: validate JD file upload (.pdf/.doc/.docx only, 10MB max - stricter than Studio's upload)</t>
  </si>
  <si>
    <t>.pdf, 2MB; .docx, 5MB; .jpg image (not accepted in this flow); .pdf, 15MB (over the 10MB limit); invalid file type via drag-and-drop</t>
  </si>
  <si>
    <t>HardcodedGenerationSettings</t>
  </si>
  <si>
    <t>FE_RAG_016</t>
  </si>
  <si>
    <t>RAG016_HardcodedGenerationSetti</t>
  </si>
  <si>
    <t>GenerateForm: verify the submit payload always sends numberOfQuestions:10 and difficulty:"medium" regardless of any UI control</t>
  </si>
  <si>
    <t>Submit with pasted JD text; Submit with uploaded file</t>
  </si>
  <si>
    <t>PlanQuestionPollingFlow</t>
  </si>
  <si>
    <t>FE_RAG_017</t>
  </si>
  <si>
    <t>RAG017_PlanQuestionPollingFlow</t>
  </si>
  <si>
    <t>GenerateForm: verify the multi-step polling flow - plan generation -&gt; plan review -&gt; approve -&gt; question generation</t>
  </si>
  <si>
    <t>Plan job completes on the first 3s poll; Plan job takes several 3s polls to complete; A poll request transiently fails (network blip)</t>
  </si>
  <si>
    <t>FailedStateRetryVariants</t>
  </si>
  <si>
    <t>FE_RAG_018</t>
  </si>
  <si>
    <t>RAG018_FailedStateRetryVariants</t>
  </si>
  <si>
    <t>GenerateForm: verify the failed-state screen's conditional retry actions based on server-provided flags</t>
  </si>
  <si>
    <t>canEditInput = true; canRetryPlan = true; canRetryQuestions = true; All retry flags false</t>
  </si>
  <si>
    <t>AskAiPerQuestionChat</t>
  </si>
  <si>
    <t>FE_RAG_019</t>
  </si>
  <si>
    <t>RAG019_AskAiPerQuestionChat</t>
  </si>
  <si>
    <t>GenerateForm: verify the Ask-AI chat panel per question and applying a suggested alternate question</t>
  </si>
  <si>
    <t>Reply text only, no .suggestion field; Reply + .suggestion, HR clicks Apply; Reply + .suggestion, HR does not apply it</t>
  </si>
  <si>
    <t>QuotaBannerInlineCopyMismatch</t>
  </si>
  <si>
    <t>FE_RAG_020</t>
  </si>
  <si>
    <t>RAG020_QuotaBannerInlineCopyMis</t>
  </si>
  <si>
    <t>GenerateForm: verify the inline/non-blocking quota banner (vs. Studio's blocking modal) and its copy discrepancies</t>
  </si>
  <si>
    <t>Free plan, within cooldown</t>
  </si>
  <si>
    <t>SessionPersistenceCrossAccountGuard</t>
  </si>
  <si>
    <t>FE_RAG_021</t>
  </si>
  <si>
    <t>RAG021_SessionPersistenceCrossA</t>
  </si>
  <si>
    <t>GenerateForm: verify localStorage session persistence across reload and the cross-account wipe guard</t>
  </si>
  <si>
    <t>Reload page mid-generation, same HR account; Saved job returns 404/error when reconciling with server; Different HR account logs in on the same browser afterward</t>
  </si>
  <si>
    <t>ConcurrentBackgroundJobs</t>
  </si>
  <si>
    <t>FE_RAG_022</t>
  </si>
  <si>
    <t>RAG022_ConcurrentBackgroundJobs</t>
  </si>
  <si>
    <t>GenerateForm: verify starting a new job while a previous one is still polling in the background</t>
  </si>
  <si>
    <t>HR clicks "Create another question set" while job 1 is still polling; Job 1 (backgrounded) completes while HR is actively working on job 2</t>
  </si>
  <si>
    <t>SaveDraftDuplicateSubmit409</t>
  </si>
  <si>
    <t>FE_RAG_023</t>
  </si>
  <si>
    <t>RAG023_SaveDraftDuplicateSubmit</t>
  </si>
  <si>
    <t>GenerateForm: verify double-clicking Save Draft (409 already-saved response) is treated as silent success, not an error</t>
  </si>
  <si>
    <t>Click Save Draft once; Double-click Save Draft rapidly (2nd request gets 409)</t>
  </si>
  <si>
    <t>PlanRegenerateLimitServerEnforced</t>
  </si>
  <si>
    <t>FE_RAG_024</t>
  </si>
  <si>
    <t>RAG024_PlanRegenerateLimitServe</t>
  </si>
  <si>
    <t>GenerateForm: verify the server-enforced max-5 plan-regenerate limit per draft (no FE counter shown)</t>
  </si>
  <si>
    <t>1st-4th regenerate on the same draft; 6th regenerate attempt (limit of 5 exceeded)</t>
  </si>
  <si>
    <t>Auth / Session Error Handling</t>
  </si>
  <si>
    <t>HRRAGAuthErrorHandling</t>
  </si>
  <si>
    <t>Token401SilentRefreshSuccess</t>
  </si>
  <si>
    <t>FE_RAGAUTH_001</t>
  </si>
  <si>
    <t>RGA001_Token401SilentRefreshSuc</t>
  </si>
  <si>
    <t>Verify a 401 on any HR/RAG-adjacent call triggers a silent token refresh + transparent retry when refresh succeeds</t>
  </si>
  <si>
    <t>Studio getGenerationRun poll request; GenerateForm getGenerationJob poll request; A normal HR action call (e.g. Save Draft)</t>
  </si>
  <si>
    <t>Token401RefreshFailureRedirect</t>
  </si>
  <si>
    <t>FE_RAGAUTH_002</t>
  </si>
  <si>
    <t>RGA002_Token401RefreshFailureRe</t>
  </si>
  <si>
    <t>Verify a 401 with a failed refresh results in silent clearAuth + hard redirect to /login, with zero toast/message</t>
  </si>
  <si>
    <t>Refresh endpoint returns a non-2xx response; Refresh call fails due to a network error; Refresh response has no parseable accessToken/access_token/token field</t>
  </si>
  <si>
    <t>Token401NoRefreshTokenStored</t>
  </si>
  <si>
    <t>FE_RAGAUTH_003</t>
  </si>
  <si>
    <t>RGA003_Token401NoRefreshTokenSt</t>
  </si>
  <si>
    <t>Verify immediate redirect when no refresh token exists in storage at all</t>
  </si>
  <si>
    <t>getRefreshToken() returns null (no refresh token stored)</t>
  </si>
  <si>
    <t>Token401OnRefreshEndpointItself</t>
  </si>
  <si>
    <t>FE_RAGAUTH_004</t>
  </si>
  <si>
    <t>RGA004_Token401OnRefreshEndpoin</t>
  </si>
  <si>
    <t>Verify a 401 on the refresh-token call itself is treated as unrecoverable (no further retry)</t>
  </si>
  <si>
    <t>The failing request's URL matches the refresh-token endpoint itself</t>
  </si>
  <si>
    <t>Token401AlreadyRetriedOnce</t>
  </si>
  <si>
    <t>FE_RAGAUTH_005</t>
  </si>
  <si>
    <t>RGA005_Token401AlreadyRetriedOn</t>
  </si>
  <si>
    <t>Verify a second 401 on an already-retried request is treated as unrecoverable</t>
  </si>
  <si>
    <t>The request already has _retry=true from a prior refresh-and-retry cycle</t>
  </si>
  <si>
    <t>PublicAuthEndpoint401NoInterceptor</t>
  </si>
  <si>
    <t>FE_RAGAUTH_006</t>
  </si>
  <si>
    <t>RGA006_PublicAuthEndpoint401NoI</t>
  </si>
  <si>
    <t>Verify 401s on public auth endpoints (login/register/verify-email/etc.) bypass the refresh/redirect interceptor entirely</t>
  </si>
  <si>
    <t>/api/auth/login returns 401 (wrong credentials); /api/auth/register returns 401; /api/auth/verify-email returns 401 (expired link)</t>
  </si>
  <si>
    <t>Forbidden403NoDedicatedHandling</t>
  </si>
  <si>
    <t>FE_RAGAUTH_007</t>
  </si>
  <si>
    <t>RGA007_Forbidden403NoDedicatedH</t>
  </si>
  <si>
    <t>Verify 403 responses on HR/Studio/RAG-adjacent endpoints have no dedicated handling and fall through to generic messaging</t>
  </si>
  <si>
    <t>Backend returns response.data.detail with a specific message; Backend returns 403 with no parseable body; 403 occurs inside a function that swallows errors and returns false (e.g. approvePlan)</t>
  </si>
  <si>
    <t>NoRoleGateOnHrRoutes</t>
  </si>
  <si>
    <t>FE_RAGAUTH_008</t>
  </si>
  <si>
    <t>RGA008_NoRoleGateOnHrRoutes</t>
  </si>
  <si>
    <t>Verify there is no client-side role gate on /hr/* routes - wrong-role users can load the pages</t>
  </si>
  <si>
    <t>Candidate role navigates directly to /hr/generate; Candidate role navigates directly to /hr/generate-v2 (Studio); Admin role navigates directly to /hr/generate</t>
  </si>
  <si>
    <t>SubscriptionErrorCodeCannedMessages</t>
  </si>
  <si>
    <t>FE_RAGAUTH_009</t>
  </si>
  <si>
    <t>RGA009_SubscriptionErrorCodeCan</t>
  </si>
  <si>
    <t>Verify subscription-specific backend error codes map to canned bilingual messages via extractErrorMessage</t>
  </si>
  <si>
    <t>QUOTA_EXCEEDED; COOLDOWN_ACTIVE; FEATURE_REQUIRES_PREMIUM; PLAN_REGENERATE_LIMIT</t>
  </si>
  <si>
    <t>UnrecognizedErrorCodeFallback</t>
  </si>
  <si>
    <t>FE_RAGAUTH_010</t>
  </si>
  <si>
    <t>RGA010_UnrecognizedErrorCodeFal</t>
  </si>
  <si>
    <t>Verify the extractErrorMessage fallback chain for unrecognized error codes / missing response bodies</t>
  </si>
  <si>
    <t>errorCode present but not one of the 4 known codes; No errorCode, but data.detail is present; No errorCode/detail, only data.title present; No parseable body at all, only axios error.message (e.g. timeout text); Nothing usable anywhere in the error object</t>
  </si>
  <si>
    <t>TimeoutRaw5xxNoFriendlyMessage</t>
  </si>
  <si>
    <t>FE_RAGAUTH_011</t>
  </si>
  <si>
    <t>RGA011_TimeoutRaw5xxNoFriendlyM</t>
  </si>
  <si>
    <t>Verify timeouts and 5xx errors on RAG-adjacent calls show raw/generic text, and that no 429 handling exists</t>
  </si>
  <si>
    <t>generatePlan or refinePlan exceeds its 180s timeout; generateQuestions start-call exceeds its 60s timeout; Backend responds with 500 Internal Server Error; Backend responds with 429 Too Many Requests</t>
  </si>
  <si>
    <t>SessionExpiryMidGenerationPolling</t>
  </si>
  <si>
    <t>FE_RAGAUTH_012</t>
  </si>
  <si>
    <t>RGA012_SessionExpiryMidGenerati</t>
  </si>
  <si>
    <t>Verify what happens when the access token expires mid-poll during a long-running RAG generation</t>
  </si>
  <si>
    <t>Access token expires during polling, refresh token still valid; Access token expires during polling, refresh token also expired/invalid</t>
  </si>
  <si>
    <t>ConcurrentRequests401Dedup</t>
  </si>
  <si>
    <t>FE_RAGAUTH_013</t>
  </si>
  <si>
    <t>RGA013_ConcurrentRequests401Ded</t>
  </si>
  <si>
    <t>Verify multiple simultaneous 401s trigger only one refresh-token call, de-duplicated via refreshInFlight</t>
  </si>
  <si>
    <t>Exactly 2 requests fail with 401 at the same time; 3 or more requests fail with 401 at the same time</t>
  </si>
  <si>
    <t>RagServiceDeadCodeNoAuthHeader</t>
  </si>
  <si>
    <t>FE_RAGAUTH_014</t>
  </si>
  <si>
    <t>RGA014_RagServiceDeadCodeNoAuth</t>
  </si>
  <si>
    <t>Static finding: rag.service.ts / /api/rag/* proxy routes have zero interceptor coverage (latent risk, not exercisable via current UI)</t>
  </si>
  <si>
    <t>src/features/interview/services/rag.service.ts (bare axios.create(), no interceptors); src/app/api/rag/*/route.ts proxy routes (no caller-session/JWT check, only a static internal API key)</t>
  </si>
  <si>
    <t>KbDocPickerOptionalAttach</t>
  </si>
  <si>
    <t>FE_RAG_025</t>
  </si>
  <si>
    <t>RAG025_KbDocPickerOptionalAttac</t>
  </si>
  <si>
    <t>GenerateForm: verify the optional Knowledge Base document picker (KbDocPicker)</t>
  </si>
  <si>
    <t>No KB document selected (optional field); 1 existing KB document selected; Previously-selected document is deleted/unavailable before submit</t>
  </si>
  <si>
    <t>NotesForAiFreeTextField</t>
  </si>
  <si>
    <t>FE_RAG_026</t>
  </si>
  <si>
    <t>RAG026_NotesForAiFreeTextField</t>
  </si>
  <si>
    <t>GenerateForm: verify the optional free-text "Notes for AI" field</t>
  </si>
  <si>
    <t>Left empty (optional); Filled with short guidance text; Filled with a very long note (no visible max-length found)</t>
  </si>
  <si>
    <t>SampleJdModalCopyUse</t>
  </si>
  <si>
    <t>FE_RAG_027</t>
  </si>
  <si>
    <t>RAG027_SampleJdModalCopyUse</t>
  </si>
  <si>
    <t>Studio: verify the Sample JD modal's Copy and Use buttons</t>
  </si>
  <si>
    <t>Open Sample JD modal, click Copy; Open Sample JD modal, click Use</t>
  </si>
  <si>
    <t>ReorderQuestions409Handling</t>
  </si>
  <si>
    <t>FE_RAG_028</t>
  </si>
  <si>
    <t>RAG028_ReorderQuestions409Handl</t>
  </si>
  <si>
    <t>GenerateForm: verify reorderJobQuestions handles a 409 (job state prevents reorder) as a non-error</t>
  </si>
  <si>
    <t>Job is in a reorderable state; Job is in a state that prevents reorder (e.g. mid-regeneration)</t>
  </si>
  <si>
    <t>PublishedSetEditRestrictions</t>
  </si>
  <si>
    <t>FE_RAG_029</t>
  </si>
  <si>
    <t>RAG029_PublishedSetEditRestrict</t>
  </si>
  <si>
    <t>Verify the backend rejects add/edit/delete/reorder while a question set is PUBLISHED</t>
  </si>
  <si>
    <t>Set is a DRAFT; Set is PUBLISHED</t>
  </si>
  <si>
    <t>ApplyPlanSettingsTimeout</t>
  </si>
  <si>
    <t>FE_RAG_030</t>
  </si>
  <si>
    <t>RAG030_ApplyPlanSettingsTimeout</t>
  </si>
  <si>
    <t>Studio: verify applyPlanSettings behavior around its 30s timeout</t>
  </si>
  <si>
    <t>Completes within 30s; Exceeds the 30s timeout</t>
  </si>
  <si>
    <t>RefinePlanChatFlow</t>
  </si>
  <si>
    <t>FE_RAG_031</t>
  </si>
  <si>
    <t>RAG031_RefinePlanChatFlow</t>
  </si>
  <si>
    <t>Studio: verify the refine-plan chat flow (180s timeout, distinct from generatePlan)</t>
  </si>
  <si>
    <t>Refine message sent, plan updates in response; Refine request exceeds its 180s timeout</t>
  </si>
  <si>
    <t>StudioGenerationSettingsToggles</t>
  </si>
  <si>
    <t>FE_RAG_032</t>
  </si>
  <si>
    <t>RAG032_StudioGenerationSettings</t>
  </si>
  <si>
    <t>Studio: verify includeSampleAnswers / includeScoringRubric toggles are respected on Generate</t>
  </si>
  <si>
    <t>Both toggles off; includeSampleAnswers on only; includeScoringRubric on only; Both toggles on</t>
  </si>
  <si>
    <t>NewSetResetsLockedPanels</t>
  </si>
  <si>
    <t>FE_RAG_033</t>
  </si>
  <si>
    <t>RAG033_NewSetResetsLockedPanels</t>
  </si>
  <si>
    <t>Studio: verify the "New Set" action unlocks and resets the Sources/Inspector panels</t>
  </si>
  <si>
    <t>Panels are locked (questions exist) and HR clicks New Set; HR has unsaved plan-refine edits when clicking New Set</t>
  </si>
  <si>
    <t>KnowledgeDocLibraryAttachVsUploadNew</t>
  </si>
  <si>
    <t>FE_RAG_034</t>
  </si>
  <si>
    <t>RAG034_KnowledgeDocLibraryAttac</t>
  </si>
  <si>
    <t>Studio: verify attaching an existing library document vs. uploading a brand-new one</t>
  </si>
  <si>
    <t>Attach an existing document from the library; Upload a brand-new document</t>
  </si>
  <si>
    <t>StudioChatRefineMultiTurn</t>
  </si>
  <si>
    <t>FE_RAG_035</t>
  </si>
  <si>
    <t>RAG035_StudioChatRefineMultiTur</t>
  </si>
  <si>
    <t>Studio: verify multiple sequential refine-chat messages before approving the plan</t>
  </si>
  <si>
    <t>1st refine message sent; 2nd refine message, builds on the 1st refined plan; 3rd refine message, builds on the 2nd refined plan</t>
  </si>
  <si>
    <t>GenerateFormNumberOfQuestionsEditViaPlan</t>
  </si>
  <si>
    <t>FE_RAG_036</t>
  </si>
  <si>
    <t>RAG036_GenerateFormNumberOfQues</t>
  </si>
  <si>
    <t>GenerateForm: verify question count/difficulty can only be changed later via Plan review, not at initial submit</t>
  </si>
  <si>
    <t>HR increases the question count in Plan review; HR changes difficulty in Plan review</t>
  </si>
  <si>
    <t>StudioApprovePlanButtonStates</t>
  </si>
  <si>
    <t>FE_RAG_037</t>
  </si>
  <si>
    <t>RAG037_StudioApprovePlanButtonS</t>
  </si>
  <si>
    <t>Studio: verify the Approve Plan button's loading/disabled/error states</t>
  </si>
  <si>
    <t>Approve request is in flight; Approve succeeds; Approve fails (network error)</t>
  </si>
  <si>
    <t>GenerateFormKbDocPickerRAGStatusGate</t>
  </si>
  <si>
    <t>FE_RAG_038</t>
  </si>
  <si>
    <t>RAG038_GenerateFormKbDocPickerR</t>
  </si>
  <si>
    <t>GenerateForm: verify the KB doc picker also gates selection on RAG ingestion status (Completed only)</t>
  </si>
  <si>
    <t>Still Processing/Queued; Completed</t>
  </si>
  <si>
    <t>StudioQuestionListEmptyStateBeforeGenerate</t>
  </si>
  <si>
    <t>FE_RAG_039</t>
  </si>
  <si>
    <t>RAG039_StudioQuestionListEmptyS</t>
  </si>
  <si>
    <t>Studio: verify the question list's empty-state variants before/around generation</t>
  </si>
  <si>
    <t>No plan created yet; Plan approved but generation not yet run; Generation failed, list still empty</t>
  </si>
  <si>
    <t>LoginSpecificAuthErrors</t>
  </si>
  <si>
    <t>FE_RAGAUTH_015</t>
  </si>
  <si>
    <t>RGA015_LoginSpecificAuthErrors</t>
  </si>
  <si>
    <t>Verify login-page-owned 401/403 handling is separate from the mid-session interceptor path</t>
  </si>
  <si>
    <t>401 - invalid credentials; 403 - account disabled</t>
  </si>
  <si>
    <t>CandidateForbiddenErrorMessages</t>
  </si>
  <si>
    <t>FE_RAGAUTH_016</t>
  </si>
  <si>
    <t>RGA016_CandidateForbiddenErrorM</t>
  </si>
  <si>
    <t>Verify the candidate-scoped ForbiddenError messages on practice-session/feedback 403s (distinct from HR/RAG generic handling)</t>
  </si>
  <si>
    <t>Candidate accesses another account's practice session; Candidate views another account's feedback</t>
  </si>
  <si>
    <t>TokenStorageLocalStorageNotHttpOnly</t>
  </si>
  <si>
    <t>FE_RAGAUTH_017</t>
  </si>
  <si>
    <t>RGA017_TokenStorageLocalStorage</t>
  </si>
  <si>
    <t>Static finding: access/refresh tokens are stored in plain localStorage, not httpOnly cookies (XSS exposure risk)</t>
  </si>
  <si>
    <t>interviewai_access_token key in localStorage; interviewai_refresh_token key in localStorage</t>
  </si>
  <si>
    <t>SsrNoTokenAttachNoOp</t>
  </si>
  <si>
    <t>FE_RAGAUTH_018</t>
  </si>
  <si>
    <t>RGA018_SsrNoTokenAttachNoOp</t>
  </si>
  <si>
    <t>Verify the auth request interceptor no-ops during SSR (window === undefined) and attaches correctly after hydration</t>
  </si>
  <si>
    <t>Server-side render pass (window undefined); Client-side after hydration</t>
  </si>
  <si>
    <t>ClearAuthClearsCachedUserProfile</t>
  </si>
  <si>
    <t>FE_RAGAUTH_019</t>
  </si>
  <si>
    <t>RGA019_ClearAuthClearsCachedUse</t>
  </si>
  <si>
    <t>Verify clearAuth() also clears the cached user profile, not just tokens/role</t>
  </si>
  <si>
    <t>Cached user profile present before a 401-triggered clearAuth(); Cached user profile already absent (already cleared)</t>
  </si>
  <si>
    <t>RefreshTokenRotationOnSuccess</t>
  </si>
  <si>
    <t>FE_RAGAUTH_020</t>
  </si>
  <si>
    <t>RGA020_RefreshTokenRotationOnSu</t>
  </si>
  <si>
    <t>Verify token persistence behavior after a successful refresh call (rotation vs. access-token-only response)</t>
  </si>
  <si>
    <t>Response includes both a new access token and a new refresh token; Response includes only a new access token (refresh token unchanged)</t>
  </si>
  <si>
    <t>UI Visual &amp; Responsive Layout</t>
  </si>
  <si>
    <t>UIVisualLayoutModule</t>
  </si>
  <si>
    <t>ManualQuestionPageResponsiveLayout</t>
  </si>
  <si>
    <t>FE_UI_001</t>
  </si>
  <si>
    <t>UI001_ManualQuestionPageRespons</t>
  </si>
  <si>
    <t>Verify the manual question page layout adapts correctly across viewport sizes</t>
  </si>
  <si>
    <t>Desktop 1920x1080; Laptop 1366x768; Tablet 768x1024 portrait; Mobile 375x667</t>
  </si>
  <si>
    <t>ManualQuestionPageDarkLightTheme</t>
  </si>
  <si>
    <t>FE_UI_002</t>
  </si>
  <si>
    <t>UI002_ManualQuestionPageDarkLig</t>
  </si>
  <si>
    <t>Verify the manual question page renders correctly in both light and dark theme</t>
  </si>
  <si>
    <t>Light theme; Dark theme</t>
  </si>
  <si>
    <t>StudioPageResponsiveLayout</t>
  </si>
  <si>
    <t>FE_UI_003</t>
  </si>
  <si>
    <t>UI003_StudioPageResponsiveLayou</t>
  </si>
  <si>
    <t>Verify Studio's 3-panel layout (Sources | Chat/Plan | Inspector) adapts across viewport sizes</t>
  </si>
  <si>
    <t>Desktop wide (&gt;=1440px); Laptop (1024-1439px); Tablet (768-1023px); Mobile (&lt;768px)</t>
  </si>
  <si>
    <t>StudioPageDarkLightTheme</t>
  </si>
  <si>
    <t>FE_UI_004</t>
  </si>
  <si>
    <t>UI004_StudioPageDarkLightTheme</t>
  </si>
  <si>
    <t>Verify the Studio page renders correctly in both light and dark theme</t>
  </si>
  <si>
    <t>GenerateFormResponsiveLayout</t>
  </si>
  <si>
    <t>FE_UI_005</t>
  </si>
  <si>
    <t>UI005_GenerateFormResponsiveLay</t>
  </si>
  <si>
    <t>Verify GenerateForm's multi-step wizard (form/plan review/question review) adapts across viewport sizes</t>
  </si>
  <si>
    <t>Desktop; Tablet; Mobile</t>
  </si>
  <si>
    <t>GenerateFormDarkLightTheme</t>
  </si>
  <si>
    <t>FE_UI_006</t>
  </si>
  <si>
    <t>UI006_GenerateFormDarkLightThem</t>
  </si>
  <si>
    <t>Verify GenerateForm renders correctly in both light and dark theme</t>
  </si>
  <si>
    <t>QuotaModalResponsiveDisplay</t>
  </si>
  <si>
    <t>FE_UI_007</t>
  </si>
  <si>
    <t>UI007_QuotaModalResponsiveDispl</t>
  </si>
  <si>
    <t>Verify the Studio blocking modal and GenerateForm inline banner render correctly across viewport sizes</t>
  </si>
  <si>
    <t>Studio full-screen modal on Desktop; Studio full-screen modal on Mobile; GenerateForm inline banner on Desktop; GenerateForm inline banner on Mobile</t>
  </si>
  <si>
    <t>ToastNotificationPositioning</t>
  </si>
  <si>
    <t>FE_UI_008</t>
  </si>
  <si>
    <t>UI008_ToastNotificationPosition</t>
  </si>
  <si>
    <t>Verify toast notification display, stacking, wrapping, and mobile behavior</t>
  </si>
  <si>
    <t>Single toast shown; Multiple toasts fired in quick succession; Toast with a long message; Toast shown on a mobile viewport</t>
  </si>
  <si>
    <t>FileUploadDropzoneVisualStates</t>
  </si>
  <si>
    <t>FE_UI_009</t>
  </si>
  <si>
    <t>UI009_FileUploadDropzoneVisualS</t>
  </si>
  <si>
    <t>Verify the JD/document upload dropzone's visual states (Studio and GenerateForm)</t>
  </si>
  <si>
    <t>Idle / default; Drag-over highlight; Uploading in progress; Error (invalid type / too large)</t>
  </si>
  <si>
    <t>ButtonLoadingDisabledStates</t>
  </si>
  <si>
    <t>FE_UI_010</t>
  </si>
  <si>
    <t>UI010_ButtonLoadingDisabledStat</t>
  </si>
  <si>
    <t>Verify primary action buttons (Save/Generate/Submit) show correct visual states across pages</t>
  </si>
  <si>
    <t>Default enabled; Hover; Disabled (invalid form); Loading (submit in flight)</t>
  </si>
  <si>
    <t>FormFieldValidationVisualStates</t>
  </si>
  <si>
    <t>FE_UI_011</t>
  </si>
  <si>
    <t>UI011_FormFieldValidationVisual</t>
  </si>
  <si>
    <t>Verify text input/textarea visual states across HR forms (default/focus/error/disabled)</t>
  </si>
  <si>
    <t>Default; Focused; Error (invalid value, after submit attempt); Disabled</t>
  </si>
  <si>
    <t>NavigationSidebarResponsive</t>
  </si>
  <si>
    <t>FE_UI_012</t>
  </si>
  <si>
    <t>UI012_NavigationSidebarResponsi</t>
  </si>
  <si>
    <t>Verify the HR shell sidebar/navigation adapts across viewport sizes</t>
  </si>
  <si>
    <t>Desktop, sidebar expanded; Desktop, sidebar collapsed to icon-only; Tablet; Mobile</t>
  </si>
  <si>
    <t>ModalDialogPositioningZIndex</t>
  </si>
  <si>
    <t>FE_UI_013</t>
  </si>
  <si>
    <t>UI013_ModalDialogPositioningZIn</t>
  </si>
  <si>
    <t>Verify modal dialogs (Confirm Import, Payment QR, Quota, Downgrade confirm) are positioned and layered correctly</t>
  </si>
  <si>
    <t>Confirm Import modal (Excel import); Payment QR modal (SePay); Quota-exceeded modal; Downgrade-to-Free confirm modal</t>
  </si>
  <si>
    <t>TableGridResponsiveOverflow</t>
  </si>
  <si>
    <t>FE_UI_014</t>
  </si>
  <si>
    <t>UI014_TableGridResponsiveOverfl</t>
  </si>
  <si>
    <t>Verify data tables/grids (payment history, question list) handle overflow responsively</t>
  </si>
  <si>
    <t>Desktop (no scroll needed); Tablet; Mobile</t>
  </si>
  <si>
    <t>TooltipHoverDisplay</t>
  </si>
  <si>
    <t>FE_UI_015</t>
  </si>
  <si>
    <t>UI015_TooltipHoverDisplay</t>
  </si>
  <si>
    <t>Verify tooltip display on hover and keyboard focus (locked panel, RAG status chip, disabled trash icon)</t>
  </si>
  <si>
    <t>Mouse hover on locked panel overlay; Mouse hover on RAG status chip; Mouse hover on disabled trash icon; Keyboard focus (Tab) instead of mouse hover</t>
  </si>
  <si>
    <t>LoadingSpinnerSkeletonStates</t>
  </si>
  <si>
    <t>FE_UI_016</t>
  </si>
  <si>
    <t>UI016_LoadingSpinnerSkeletonSta</t>
  </si>
  <si>
    <t>Verify loading skeletons and AI generation spinners across pages</t>
  </si>
  <si>
    <t>Initial page load (skeleton placeholders); AI generation in progress (spinner + status text); Slow network - spinner shown for an unusually long time</t>
  </si>
  <si>
    <t>AccessibilityKeyboardNavigation</t>
  </si>
  <si>
    <t>FE_UI_017</t>
  </si>
  <si>
    <t>UI017_AccessibilityKeyboardNavi</t>
  </si>
  <si>
    <t>Verify keyboard-only navigation across key interactive flows</t>
  </si>
  <si>
    <t>Tab through Manual Question form fields; Tab through Studio's 3-panel layout; Escape key while a modal is open; Enter/Space activates a focused button</t>
  </si>
  <si>
    <t>BrandingLogoHeaderConsistency</t>
  </si>
  <si>
    <t>FE_UI_018</t>
  </si>
  <si>
    <t>UI018_BrandingLogoHeaderConsist</t>
  </si>
  <si>
    <t>Verify header/logo/branding render consistently across HR pages</t>
  </si>
  <si>
    <t>Manual Question page; Studio page; GenerateForm page; Settings/Billing page</t>
  </si>
  <si>
    <t>Authentication (Register / Login / Verify / Reset)</t>
  </si>
  <si>
    <t>AuthModule</t>
  </si>
  <si>
    <t>RegisterHR</t>
  </si>
  <si>
    <t>FE_AUTH_001</t>
  </si>
  <si>
    <t>AUTH001_RegisterHR</t>
  </si>
  <si>
    <t>Check HR Manager registration form and validations</t>
  </si>
  <si>
    <t>Can connect with server</t>
  </si>
  <si>
    <t>Login</t>
  </si>
  <si>
    <t>FE_AUTH_002</t>
  </si>
  <si>
    <t>AUTH002_Login</t>
  </si>
  <si>
    <t>Validate HR/Candidate login form fields, error handling, and role-based redirect</t>
  </si>
  <si>
    <t>RegisterJobSeeker</t>
  </si>
  <si>
    <t>FE_AUTH_003</t>
  </si>
  <si>
    <t>AUTH003_RegisterJobSeeker</t>
  </si>
  <si>
    <t>Check Job Seeker registration form (step 1) validations</t>
  </si>
  <si>
    <t>VerifyEmail</t>
  </si>
  <si>
    <t>FE_AUTH_004</t>
  </si>
  <si>
    <t>AUTH004_VerifyEmail</t>
  </si>
  <si>
    <t>Check the 6-digit OTP email verification flow and resend behavior</t>
  </si>
  <si>
    <t>No email in the URL query param; Correct 6-digit OTP entered; Wrong or expired OTP entered; Resend clicked while the 60s cooldown is still active; Resend clicked after the cooldown expired; 6 digits pasted at once into the OTP boxes</t>
  </si>
  <si>
    <t>ForgotResetPassword</t>
  </si>
  <si>
    <t>FE_AUTH_005</t>
  </si>
  <si>
    <t>AUTH005_ForgotResetPassword</t>
  </si>
  <si>
    <t>Check the forgot-password request and reset-password form validations</t>
  </si>
  <si>
    <t>Email field left empty; Email format invalid; Valid email submitted</t>
  </si>
  <si>
    <t>Admin Access Control</t>
  </si>
  <si>
    <t>AuthAdminModule</t>
  </si>
  <si>
    <t>AccessControl</t>
  </si>
  <si>
    <t>FE_AUTH_006</t>
  </si>
  <si>
    <t>AUTH006_AccessControl</t>
  </si>
  <si>
    <t>Check AdminRouteGuard behavior across session states and its unguarded-route gap</t>
  </si>
  <si>
    <t>Not authenticated, navigates to a guarded admin page (e.g. /admin/users); Authenticated with HR role, navigates to a guarded admin page; Authenticated with Jobseeker role, navigates to a guarded admin page; Authenticated with Admin role, navigates to a guarded admin page; useUser() is still loading (role/auth not resolved yet); Non-admin navigates directly to an UNGUARDED admin page (e.g. /admin/dashboard)</t>
  </si>
  <si>
    <t>HR Profile Management</t>
  </si>
  <si>
    <t>ProfileModule</t>
  </si>
  <si>
    <t>UpdateProfile</t>
  </si>
  <si>
    <t>FE_AUTH_007</t>
  </si>
  <si>
    <t>AUTH007_UpdateProfile</t>
  </si>
  <si>
    <t>Check profile edit form validations and avatar upload rules</t>
  </si>
  <si>
    <t>Full Name field cleared to empty; LinkedIn or GitHub URL is invalid, field blurred; All fields valid; Avatar file is not JPG/PNG/GIF/WebP; Avatar file exceeds 2MB; Avatar file is valid (e.g. JPG, 500KB); User clicks Cancel after making unsaved edits; User attempts to edit the Email field</t>
  </si>
  <si>
    <t>Admin User Management</t>
  </si>
  <si>
    <t>AdminModule</t>
  </si>
  <si>
    <t>ManageUsers</t>
  </si>
  <si>
    <t>FE_AUTH_008</t>
  </si>
  <si>
    <t>AUTH008_ManageUsers</t>
  </si>
  <si>
    <t>Check the admin Manage Users page - search/filter/pagination, activate/deactivate, and subscription actions</t>
  </si>
  <si>
    <t>Admin types a search term matching a user's name/email; Admin selects a Role filter; Admin selects a Status filter; Admin applies multiple filters then clicks "Clear filters"; Admin clicks Next/Previous at the first/last page; Admin deactivates a user account and confirms; Admin reactivates a suspended account and confirms; Admin grants a Premium subscription (e.g. 3 months); Admin revokes a user's Premium subscription and confirms; User list fails to load (API error)</t>
  </si>
  <si>
    <t>Backend API (RAG_IQGS)</t>
  </si>
  <si>
    <t>HRRAGBackendAPITest</t>
  </si>
  <si>
    <t>HealthCheckEndpoints</t>
  </si>
  <si>
    <t>BE_API_001</t>
  </si>
  <si>
    <t>BE001_HealthCheckEndpoints</t>
  </si>
  <si>
    <t>Verify GET /health and GET /api/v1/health report status based on Ollama connectivity, and require no auth</t>
  </si>
  <si>
    <t>Ollama service reachable; Ollama service unreachable; No X-Internal-Api-Key header sent</t>
  </si>
  <si>
    <t>InternalApiKeyAuthGate</t>
  </si>
  <si>
    <t>BE_API_002</t>
  </si>
  <si>
    <t>BE002_InternalApiKeyAuthGate</t>
  </si>
  <si>
    <t>Verify X-Internal-Api-Key enforcement across protected endpoints, including the fail-open config gap</t>
  </si>
  <si>
    <t>X-Internal-Api-Key header matches CONFIG["internal_api_key"]; X-Internal-Api-Key header is missing entirely; X-Internal-Api-Key header present but the value is wrong; INTERNAL_API_KEY env var is empty/unset on the server</t>
  </si>
  <si>
    <t>ChatEndpointValidation</t>
  </si>
  <si>
    <t>BE_API_003</t>
  </si>
  <si>
    <t>BE003_ChatEndpointValidation</t>
  </si>
  <si>
    <t>Verify POST /api/v1/chat request validation, including the empty-question gap</t>
  </si>
  <si>
    <t>question is a valid non-empty string; question is an empty string ""; Body is malformed JSON / wrong field type; X-Internal-Api-Key missing</t>
  </si>
  <si>
    <t>IngestSystemFilesValidation</t>
  </si>
  <si>
    <t>BE_API_004</t>
  </si>
  <si>
    <t>BE004_IngestSystemFilesValidati</t>
  </si>
  <si>
    <t>Verify POST /api/v1/knowledge/system/files upload validation (extension/size/count/filename)</t>
  </si>
  <si>
    <t>.pdf file, 5MB; .exe file (unsupported extension); .pdf file, 30MB (over the 25MB limit); 21 files attached in one request (over max_upload_files=20); files field sent but empty; filename contains path traversal (e.g. "../../secrets.txt")</t>
  </si>
  <si>
    <t>IngestHrFilesValidation</t>
  </si>
  <si>
    <t>BE_API_005</t>
  </si>
  <si>
    <t>BE005_IngestHrFilesValidation</t>
  </si>
  <si>
    <t>Verify POST /api/v1/knowledge/hr/{owner_id}/files validation, including blank owner_id</t>
  </si>
  <si>
    <t>owner_id is a valid non-empty string, valid file attached; owner_id is blank/empty in the path; owner_id contains special/unexpected characters</t>
  </si>
  <si>
    <t>JdValidationRules</t>
  </si>
  <si>
    <t>BE_API_006</t>
  </si>
  <si>
    <t>BE006_JdValidationRules</t>
  </si>
  <si>
    <t>Verify JD ingest validation rules (min/max chars/words, line count, printable ratio, keyword signal groups)</t>
  </si>
  <si>
    <t>500 characters, 90 words, well-structured; 350 characters (below jd_min_chars=400); 35,000 characters (above jd_max_chars=30000); 60 words (below jd_min_words=80); 5,500 words (above jd_max_words=5000); Only 3 non-empty lines; Text matches fewer than 2 of the 4 keyword signal groups; 70%+ of lines are trivial bullet points</t>
  </si>
  <si>
    <t>InterviewPlanStartValidation</t>
  </si>
  <si>
    <t>BE_API_007</t>
  </si>
  <si>
    <t>BE007_InterviewPlanStartValidat</t>
  </si>
  <si>
    <t>Verify POST /api/v1/interview-plans/start validation and the vector-store-readiness gate</t>
  </si>
  <si>
    <t>Valid owner_id, vector store is_ready=true; owner_id is blank; Vector store is_ready=false (ingest-system/ingest-hr not run yet); Vector store ready, but no chunks match the query in system_kb/hr_kb</t>
  </si>
  <si>
    <t>InterviewPlanMessagesClarifyLoop</t>
  </si>
  <si>
    <t>BE_API_008</t>
  </si>
  <si>
    <t>BE008_InterviewPlanMessagesClar</t>
  </si>
  <si>
    <t>Verify POST /api/v1/interview-plans/messages clarify-turn cap (max_plan_turns=5)</t>
  </si>
  <si>
    <t>1st-4th clarify turn on the same plan session; 5th clarify turn (at the max_plan_turns=5 cap); 6th clarify turn attempted (exceeds the cap); message field is empty</t>
  </si>
  <si>
    <t>InterviewPlanConfirmValidation</t>
  </si>
  <si>
    <t>BE_API_009</t>
  </si>
  <si>
    <t>BE009_InterviewPlanConfirmValid</t>
  </si>
  <si>
    <t>Verify POST /api/v1/interview-plans/confirm validation, including the question_count 1-30 bound</t>
  </si>
  <si>
    <t>plan_draft provided, question_count=10; plan_draft missing entirely; question_count=0; question_count=31; question_types contains a value outside {technical, behavioral, situational}</t>
  </si>
  <si>
    <t>InterviewQuestionsGenerateValidation</t>
  </si>
  <si>
    <t>BE_API_010</t>
  </si>
  <si>
    <t>BE010_InterviewQuestionsGenerat</t>
  </si>
  <si>
    <t>Verify POST /api/v1/interview-questions validation, including the missing question_count bound check on this direct path</t>
  </si>
  <si>
    <t>confirmed_plan object provided; owner_id, role, and level all provided (no confirmed_plan); Neither confirmed_plan nor owner_id/role/level given; question_count=500 sent on this direct (non-plan) generation path</t>
  </si>
  <si>
    <t>ErrorResponseEnvelopeConsistency</t>
  </si>
  <si>
    <t>BE_API_011</t>
  </si>
  <si>
    <t>BE011_ErrorResponseEnvelopeCons</t>
  </si>
  <si>
    <t>API-contract finding: two incompatible error response shapes coexist across the API</t>
  </si>
  <si>
    <t>Business-logic error on a /api/v1/* route (e.g. JD_INVALID, NOT_READY); Raw HTTPException (401 auth failure, blank owner_id 400); FastAPI automatic request validation error (malformed JSON/wrong types)</t>
  </si>
  <si>
    <t>LlmErrorMapping</t>
  </si>
  <si>
    <t>BE_API_012</t>
  </si>
  <si>
    <t>BE012_LlmErrorMapping</t>
  </si>
  <si>
    <t>Verify Ollama-down behavior differs by endpoint - proper 502 LLM_ERROR mapping on plan endpoints vs an unhandled raw 500 on chat/question-generation</t>
  </si>
  <si>
    <t>Ollama unreachable during a plan-start call (wrapped in try/except); Ollama unreachable during a chat call (NOT wrapped in try/except); Ollama unreachable during interview-questions generation (no try/except around the LLM call)</t>
  </si>
  <si>
    <t>LegacyEndpointsDeprecation</t>
  </si>
  <si>
    <t>BE_API_013</t>
  </si>
  <si>
    <t>BE013_LegacyEndpointsDeprecatio</t>
  </si>
  <si>
    <t>Verify legacy (unprefixed) endpoints are still live but hidden from OpenAPI docs, with deprecation headers</t>
  </si>
  <si>
    <t>GET /status (legacy path, no /api/v1 prefix); POST /chat (legacy); POST /generate-questions (legacy); Open /api/v1/docs and look for these legacy routes</t>
  </si>
  <si>
    <t>SynchronousBlockingNoTimeout</t>
  </si>
  <si>
    <t>BE_API_014</t>
  </si>
  <si>
    <t>BE014_SynchronousBlockingNoTime</t>
  </si>
  <si>
    <t>Verify there is no async job/polling pattern - generation calls block synchronously with no configured timeout</t>
  </si>
  <si>
    <t>Ollama responds normally within a few seconds; Ollama hangs/responds very slowly during a generation call</t>
  </si>
  <si>
    <t>NoCorsMiddlewareConfigured</t>
  </si>
  <si>
    <t>BE_API_015</t>
  </si>
  <si>
    <t>BE015_NoCorsMiddlewareConfigure</t>
  </si>
  <si>
    <t>Static finding: no CORSMiddleware configured; browser-based cross-origin calls have undefined preflight behavior</t>
  </si>
  <si>
    <t>Server-to-server call (current architecture - Next.js API routes forward with the internal key); Direct browser fetch from a different origin (not how the app is wired today)</t>
  </si>
  <si>
    <t>NoRateLimitingConfigured</t>
  </si>
  <si>
    <t>BE_API_016</t>
  </si>
  <si>
    <t>BE016_NoRateLimitingConfigured</t>
  </si>
  <si>
    <t>Static finding: no rate limiting exists on any endpoint, including expensive LLM-backed ones</t>
  </si>
  <si>
    <t>Many rapid repeated requests to /api/v1/chat from the same caller; Many rapid repeated requests to /api/v1/interview-questions from the same caller</t>
  </si>
  <si>
    <t>StartupNoFailFastValidation</t>
  </si>
  <si>
    <t>BE_API_017</t>
  </si>
  <si>
    <t>BE017_StartupNoFailFastValidati</t>
  </si>
  <si>
    <t>Static finding: missing/misconfigured env vars do not crash startup, only fail at request time</t>
  </si>
  <si>
    <t>OLLAMA_BASE_URL is missing or invalid; INTERNAL_API_KEY is missing/empty; Chroma persist directory path is misconfigured</t>
  </si>
  <si>
    <t>FileExtensionAllowList</t>
  </si>
  <si>
    <t>BE_API_018</t>
  </si>
  <si>
    <t>BE018_FileExtensionAllowList</t>
  </si>
  <si>
    <t>Verify the ingestion file-extension allow-list (.pdf .docx .txt .md .json .xlsx .xls) is enforced consistently</t>
  </si>
  <si>
    <t>.pdf; .docx; .txt; .md; .json; .xlsx; .xls; .exe; .zip</t>
  </si>
  <si>
    <t>UNIT TEST REPORT</t>
  </si>
  <si>
    <t>Reviewer/Approver</t>
  </si>
  <si>
    <t>&lt;Date when this test report is created&gt;</t>
  </si>
  <si>
    <t>Notes</t>
  </si>
  <si>
    <t>&lt;List modules included in this release&gt; ex: Release 1 includes 2 modules: Module1 and Module2</t>
  </si>
  <si>
    <t>Function code</t>
  </si>
  <si>
    <t>Passed</t>
  </si>
  <si>
    <t>Failed</t>
  </si>
  <si>
    <t>Untested</t>
  </si>
  <si>
    <t>N</t>
  </si>
  <si>
    <t>B</t>
  </si>
  <si>
    <t>Total Test Cases</t>
  </si>
  <si>
    <t>Sub total</t>
  </si>
  <si>
    <t>Test coverage</t>
  </si>
  <si>
    <t>%</t>
  </si>
  <si>
    <t>Test successful coverage</t>
  </si>
  <si>
    <t>Normal case</t>
  </si>
  <si>
    <t>Abnormal case</t>
  </si>
  <si>
    <t>Boundary case</t>
  </si>
  <si>
    <t>Code Module</t>
  </si>
  <si>
    <t>Method</t>
  </si>
  <si>
    <t>Created By</t>
  </si>
  <si>
    <t>Executed By</t>
  </si>
  <si>
    <t>Test requirement</t>
  </si>
  <si>
    <t>N/A/B</t>
  </si>
  <si>
    <t>UTCID01</t>
  </si>
  <si>
    <t>UTCID02</t>
  </si>
  <si>
    <t>UTCID03</t>
  </si>
  <si>
    <t>UTCID04</t>
  </si>
  <si>
    <t>Condition</t>
  </si>
  <si>
    <t xml:space="preserve">Precondition </t>
  </si>
  <si>
    <t>Confirm</t>
  </si>
  <si>
    <t>Return</t>
  </si>
  <si>
    <t>Exception</t>
  </si>
  <si>
    <t>Log message</t>
  </si>
  <si>
    <t>Result</t>
  </si>
  <si>
    <t>Type(N : Normal, A : Abnormal, B : Boundary)</t>
  </si>
  <si>
    <t>Passed/Failed</t>
  </si>
  <si>
    <t>Executed Date</t>
  </si>
  <si>
    <t>Defect ID</t>
  </si>
  <si>
    <t>Scenario ID</t>
  </si>
  <si>
    <t>Automation status</t>
  </si>
  <si>
    <t>DONE</t>
  </si>
  <si>
    <t>SKIPPED — requires waiting out a real 5-minute deadline</t>
  </si>
  <si>
    <t>SKIPPED — not automated (background-job session-swap flow)</t>
  </si>
  <si>
    <t>PARTIAL — only the Retry-Questions branch automated, not Retry-Plan/Edit-Input</t>
  </si>
  <si>
    <t>SKIPPED — not automated (multi-job concurrent background flow)</t>
  </si>
  <si>
    <t>SKIPPED — not automated (session expiry mid-poll)</t>
  </si>
  <si>
    <t>SKIPPED — static code finding, not a UI-observable behavior</t>
  </si>
  <si>
    <t>PARTIAL — Use/Close/Backdrop/Escape covered; Copy-to-clipboard button not tested</t>
  </si>
  <si>
    <t>PARTIAL — attach-from-library covered; upload-new-file comparison not tested</t>
  </si>
  <si>
    <t>SKIPPED — not automated (candidate-portal 403 messages)</t>
  </si>
  <si>
    <t>SKIPPED — SSR-only behavior, not reachable from a browser E2E test</t>
  </si>
  <si>
    <t>PARTIAL — only the Approve-Plan button's loading state tested</t>
  </si>
  <si>
    <t>SKIPPED — not automated (form-field validation visual states)</t>
  </si>
  <si>
    <t>PARTIAL — modal open/close/scroll-lock covered; z-index stacking not asserted</t>
  </si>
  <si>
    <t>SKIPPED — not automated (table/grid overflow)</t>
  </si>
  <si>
    <t>SKIPPED — not automated (tooltip hover display)</t>
  </si>
  <si>
    <t>PARTIAL — Escape-key dismissal tested on 2 modals; general Tab navigation not</t>
  </si>
  <si>
    <t>PARTIAL — only the blank-owner-id case automated, not full HR ingest validation</t>
  </si>
  <si>
    <t>N/A — JD char/word-count validation lives in the .NET backend, not this RAG_IQGS repo</t>
  </si>
  <si>
    <t>SKIPPED — requires a live Ollama connection</t>
  </si>
  <si>
    <t>SKIPPED — by design; would hang the test run (no request timeout configured anywhere)</t>
  </si>
  <si>
    <t>PARTIAL — rejection path automated; 7 accepted-extension cases skipped (need Ollama)</t>
  </si>
  <si>
    <t>Totals</t>
  </si>
  <si>
    <t>114 scenarios</t>
  </si>
  <si>
    <t>91 done · 8 partial · 14 skipped · 1 n/a</t>
  </si>
  <si>
    <t>Real automated test suites:</t>
  </si>
  <si>
    <t/>
  </si>
  <si>
    <t>175 Playwright (FE, tests/e2e/) + 20 pytest (BE, RAG_IQGS/tests/test_e2e_api.py) — all passing, verified stable across repeated runs.</t>
  </si>
  <si>
    <t>Defects found while automating</t>
  </si>
  <si>
    <t>DEF-001</t>
  </si>
  <si>
    <t>FE_RAG_027 (SampleJdModalCopyUse)</t>
  </si>
  <si>
    <t>Summary</t>
  </si>
  <si>
    <t>Clicking "Use this sample" in the Sample JD modal fills the JD textarea but does NOT save it — a stale-closure bug.</t>
  </si>
  <si>
    <t>File</t>
  </si>
  <si>
    <t>src/features/studio/components/sources-panel.tsx</t>
  </si>
  <si>
    <t>Detail</t>
  </si>
  <si>
    <t>onUse() calls onJdChange(content) then immediately void onSaveJd() in the same synchronous handler. onSaveJd is studio.saveJobDescription, a useCallback memoized on [..., jdContent, ...] — the reference captured at render time still closes over the OLD (empty) jdContent, so its own guard `if (!jdContent.trim()) return;` fires and no PUT request ever goes out. No toast, no error — the user must click "Save &amp; Analyze" a second time manually.</t>
  </si>
  <si>
    <t>Repro test</t>
  </si>
  <si>
    <t>tests/e2e/studio-sample-jd.spec.ts — "RAG027-1 (finding)"</t>
  </si>
  <si>
    <t>DEF-002</t>
  </si>
  <si>
    <t>FE_RAG_028 (ReorderQuestions409Handling)</t>
  </si>
  <si>
    <t>A 409 from the server on question reorder is swallowed silently — no error toast, and the client-side order stays out of sync with the server's rejected state.</t>
  </si>
  <si>
    <t>src/features/question/components/review-questions-section.tsx</t>
  </si>
  <si>
    <t>persistReorder()'s no-questionSetId branch calls `void reorderJobQuestions(sessionId, items)` with no .then()/.catch() at all — contrast with the questionSetId branch a few lines above, which DOES show an error toast on failure. interview.service.ts's reorderJobQuestions() also explicitly treats a 409 as "not an error" and returns false without even a console.warn. The UI has already applied the new order optimistically before the rejected request completes, so the user sees a reordered list that was never actually persisted.</t>
  </si>
  <si>
    <t>tests/e2e/generate-form-flow.spec.ts — "RAG-REORDER-1 (finding)"</t>
  </si>
  <si>
    <t>SU26SE102-GSU26SE52</t>
  </si>
  <si>
    <t>FE_MQ_001 - Display manual question creation form with default fields when HR opens /hr/generate/manual</t>
  </si>
  <si>
    <t>Precondition</t>
  </si>
  <si>
    <t>HR user is logged in</t>
  </si>
  <si>
    <t>O</t>
  </si>
  <si>
    <t>Network is connected</t>
  </si>
  <si>
    <t>Browser</t>
  </si>
  <si>
    <t>Chrome</t>
  </si>
  <si>
    <t>-</t>
  </si>
  <si>
    <t>Firefox</t>
  </si>
  <si>
    <t>Safari</t>
  </si>
  <si>
    <t>Job title field is displayed empty</t>
  </si>
  <si>
    <t>Level dropdown defaults to "Mid-level"</t>
  </si>
  <si>
    <t>Interview duration input defaults to 60</t>
  </si>
  <si>
    <t>5 empty question rows are shown</t>
  </si>
  <si>
    <t>Save / Export .txt / Import from Excel buttons are visible</t>
  </si>
  <si>
    <t>"Manual question page rendered successfully"</t>
  </si>
  <si>
    <t>Type (N: Normal, A: Abnormal, B: Boundary)</t>
  </si>
  <si>
    <t>P</t>
  </si>
  <si>
    <t>FE_MQ_002 - Validate that saving a question set requires a non-blank job title</t>
  </si>
  <si>
    <t>HR is on the manual question page</t>
  </si>
  <si>
    <t>At least 1 question row is filled</t>
  </si>
  <si>
    <t>Job title</t>
  </si>
  <si>
    <t>Empty</t>
  </si>
  <si>
    <t>Whitespace only ("   ")</t>
  </si>
  <si>
    <t>Valid ("Backend Developer")</t>
  </si>
  <si>
    <t>Action</t>
  </si>
  <si>
    <t>Click "Save question set"</t>
  </si>
  <si>
    <t>Save succeeds, success toast is shown</t>
  </si>
  <si>
    <t>"Please enter the job title." + red border on the field</t>
  </si>
  <si>
    <t>FE_MQ_003 - Validate question content requirement rules before a question set can be saved</t>
  </si>
  <si>
    <t>Question rows</t>
  </si>
  <si>
    <t>One row has blank content while others are filled</t>
  </si>
  <si>
    <t>All rows are blank (0 filled)</t>
  </si>
  <si>
    <t>All rows are filled with content</t>
  </si>
  <si>
    <t>Save succeeds, toast "Saved ... (N questions)."</t>
  </si>
  <si>
    <t>"Question content cannot be empty."</t>
  </si>
  <si>
    <t>"Please add at least 1 question."</t>
  </si>
  <si>
    <t>FE_MQ_004 - Verify interview duration input clamping at its min/max boundaries (input: min=15, max=240, step=5)</t>
  </si>
  <si>
    <t>Duration input value</t>
  </si>
  <si>
    <t>14 (below min 15)</t>
  </si>
  <si>
    <t>240 (at max)</t>
  </si>
  <si>
    <t>9999 (above max 240)</t>
  </si>
  <si>
    <t>Value is clamped up to 15</t>
  </si>
  <si>
    <t>Value is accepted as 240</t>
  </si>
  <si>
    <t>Value is accepted as 9999 (should clamp to 240)</t>
  </si>
  <si>
    <t>Known defect: onChange only clamps the lower bound, not the upper bound</t>
  </si>
  <si>
    <t>FE_MQ_005 - Verify the save flow's loading/success UX across browsers (client-side only, no real persistence)</t>
  </si>
  <si>
    <t>Save button disables, spinner + "Saving…" shown for ~800ms</t>
  </si>
  <si>
    <t>Success toast "Saved "{role}" ({count} questions)." is shown</t>
  </si>
  <si>
    <t>"Question set saved (client-side only, no backend call)"</t>
  </si>
  <si>
    <t>FE_MQ_006 - Verify the delete (trash) action is guarded so at least 1 question row always remains</t>
  </si>
  <si>
    <t>Question count</t>
  </si>
  <si>
    <t>Starts with 5 questions, delete down to 1</t>
  </si>
  <si>
    <t>Starts with 2 questions, delete 1</t>
  </si>
  <si>
    <t>Exactly 1 question remaining</t>
  </si>
  <si>
    <t>Click the trash icon</t>
  </si>
  <si>
    <t>Trash icon becomes disabled once only 1 question remains</t>
  </si>
  <si>
    <t>Delete succeeds, 1 question remains</t>
  </si>
  <si>
    <t>Click has no effect, question count stays at 1</t>
  </si>
  <si>
    <t>FE_MQ_007 - Verify importing questions from a valid .xlsx file (downloaded template)</t>
  </si>
  <si>
    <t>Import file</t>
  </si>
  <si>
    <t>Existing rows present, valid .xlsx from the template</t>
  </si>
  <si>
    <t>Contains a typo'd Type value (e.g. "Techncal")</t>
  </si>
  <si>
    <t>Import mode</t>
  </si>
  <si>
    <t>Append</t>
  </si>
  <si>
    <t>Replace all</t>
  </si>
  <si>
    <t>Imported questions appended to the end, existing rows kept</t>
  </si>
  <si>
    <t>Existing rows cleared, replaced with imported ones</t>
  </si>
  <si>
    <t>Toast "Imported {count} questions from Excel." is shown</t>
  </si>
  <si>
    <t>Unrecognized Type silently falls back to "Technical" (no error shown)</t>
  </si>
  <si>
    <t>FE_MQ_008 - Verify rejection handling for unsupported, empty, or unreadable import files</t>
  </si>
  <si>
    <t>Selected file</t>
  </si>
  <si>
    <t>a .pdf or .docx file</t>
  </si>
  <si>
    <t>a valid .xlsx with all rows blank</t>
  </si>
  <si>
    <t>a corrupted/renamed .xlsx (not a real Excel binary)</t>
  </si>
  <si>
    <t>"Only .xlsx or .xls files are supported."</t>
  </si>
  <si>
    <t>"No valid data found. Please check the file format."</t>
  </si>
  <si>
    <t>"Could not read the file. Please use the provided Excel template."</t>
  </si>
  <si>
    <t>FE_MQ_009 - Verify "Export .txt" requires a job title and at least 1 filled question before downloading</t>
  </si>
  <si>
    <t>Job title / question state</t>
  </si>
  <si>
    <t>Empty title, 0 questions</t>
  </si>
  <si>
    <t>Valid title, 0 filled questions</t>
  </si>
  <si>
    <t>Valid title, &gt;=1 filled question</t>
  </si>
  <si>
    <t>Click "Export .txt"</t>
  </si>
  <si>
    <t>.txt file downloads with role/level/duration/questions</t>
  </si>
  <si>
    <t>"Enter a role and at least 1 question before exporting."</t>
  </si>
  <si>
    <t>FE_MQ_010 - Verify HR can reach manual creation from the AI-quota-exceeded banner/dialog once the Free-plan cooldown is hit</t>
  </si>
  <si>
    <t>Subscription / quota state</t>
  </si>
  <si>
    <t>Free plan, quota exhausted, on /hr/generate</t>
  </si>
  <si>
    <t>Free plan, quota exhausted, on Studio JD flow</t>
  </si>
  <si>
    <t>Premium plan, generateUnlimited = true</t>
  </si>
  <si>
    <t>Amber banner + "Create manually" link is shown</t>
  </si>
  <si>
    <t>Full-screen alertdialog + "Create manually" button is shown</t>
  </si>
  <si>
    <t>No quota banner/modal is shown, AI generation proceeds normally</t>
  </si>
  <si>
    <t>Clicking "Create manually" navigates to /hr/generate/manual</t>
  </si>
  <si>
    <t>FE_MQ_011 - Verify behavior when a non-HR account directly navigates to /hr/generate/manual by URL (no client-side role guard found in code)</t>
  </si>
  <si>
    <t>Session</t>
  </si>
  <si>
    <t>Candidate role</t>
  </si>
  <si>
    <t>Admin role</t>
  </si>
  <si>
    <t>Guest (not logged in)</t>
  </si>
  <si>
    <t>Enter /hr/generate/manual directly in the address bar</t>
  </si>
  <si>
    <t>Expected: access is blocked/redirected (TBD - confirm with dev)</t>
  </si>
  <si>
    <t>Flagged as potential access-control gap for dev confirmation</t>
  </si>
  <si>
    <t>FE_RAG_001 - Studio: validate JD paste input behavior - no minimum length enforced, Save &amp; Analyze disabled only when empty</t>
  </si>
  <si>
    <t>JD paste content</t>
  </si>
  <si>
    <t>Textarea is completely empty</t>
  </si>
  <si>
    <t>Contains only 10 characters</t>
  </si>
  <si>
    <t>Contains a full valid JD (500+ characters)</t>
  </si>
  <si>
    <t>Contains only whitespace</t>
  </si>
  <si>
    <t>"Save &amp; Analyze" button is disabled</t>
  </si>
  <si>
    <t>"Save &amp; Analyze" button is enabled</t>
  </si>
  <si>
    <t>Live word/char counter updates as typed</t>
  </si>
  <si>
    <t>No minimum-length warning shown even for a 10-char JD (gap vs. GenerateForm's 400-char rule)</t>
  </si>
  <si>
    <t>FE_RAG_002 - Studio: validate accepted JD upload file types (.pdf/.docx/.txt/.jpg/.jpeg/.png) and the missing client-side size check</t>
  </si>
  <si>
    <t>UTCID05</t>
  </si>
  <si>
    <t>UTCID06</t>
  </si>
  <si>
    <t>File selected</t>
  </si>
  <si>
    <t>.pdf file</t>
  </si>
  <si>
    <t>.docx file</t>
  </si>
  <si>
    <t>.txt file</t>
  </si>
  <si>
    <t>.jpg / .png image file</t>
  </si>
  <si>
    <t>unsupported type (.xlsx)</t>
  </si>
  <si>
    <t>accepted type but file is well over the "max 20MB" label</t>
  </si>
  <si>
    <t>File is accepted and uploaded</t>
  </si>
  <si>
    <t>File is rejected (unsupported type)</t>
  </si>
  <si>
    <t>Oversized file is still accepted - no client-side size check despite the "max 20MB" label (DEFECT)</t>
  </si>
  <si>
    <t>FE_RAG_003 - Studio: verify RAG ingestion status chips for attached Knowledge Base documents and checkbox gating</t>
  </si>
  <si>
    <t>RAG ingestion status</t>
  </si>
  <si>
    <t>Queued</t>
  </si>
  <si>
    <t>Processing</t>
  </si>
  <si>
    <t>Completed</t>
  </si>
  <si>
    <t>Status chip displays the matching label</t>
  </si>
  <si>
    <t>Checkbox is disabled with tooltip "requires RAG Completed"</t>
  </si>
  <si>
    <t>Checkbox is enabled, document can be used as a source</t>
  </si>
  <si>
    <t>FE_RAG_004 - Studio: verify Sources/Inspector panels lock once generation starts or questions already exist</t>
  </si>
  <si>
    <t>State</t>
  </si>
  <si>
    <t>Not generating, no questions yet</t>
  </si>
  <si>
    <t>Generation in progress (isGeneratingQuestions)</t>
  </si>
  <si>
    <t>Questions already exist from a prior generation</t>
  </si>
  <si>
    <t>Panels are fully editable</t>
  </si>
  <si>
    <t>Panels show 60% opacity + click-blocked overlay</t>
  </si>
  <si>
    <t>Tooltip "Locked — click New Set to edit Studio" shown on hover</t>
  </si>
  <si>
    <t>FE_RAG_005 - Studio: verify the happy-path Generate Questions flow (toast, 2.5s polling, success)</t>
  </si>
  <si>
    <t>Job progression</t>
  </si>
  <si>
    <t>Completes on the first poll</t>
  </si>
  <si>
    <t>Pending -&gt; Completed after the 2nd poll</t>
  </si>
  <si>
    <t>Generating for several polls before Completed</t>
  </si>
  <si>
    <t>Toast "Sent to RAG — generating questions…" shown immediately on submit</t>
  </si>
  <si>
    <t>Toast "{{count}} questions generated." shown on completion</t>
  </si>
  <si>
    <t>Question list refetches and displays the new questions</t>
  </si>
  <si>
    <t>"generationStarted" then "generationDone" toasts fire in order</t>
  </si>
  <si>
    <t>FE_RAG_006 - Studio: verify auto-retry with replaceExisting:true when backend returns QUESTIONS_ALREADY_EXIST</t>
  </si>
  <si>
    <t>Plan has no existing questions yet</t>
  </si>
  <si>
    <t>Plan already has questions from a prior generation</t>
  </si>
  <si>
    <t>Generates normally, no retry needed</t>
  </si>
  <si>
    <t>1st call fails with QUESTIONS_ALREADY_EXIST, auto-retries with replaceExisting:true, succeeds silently</t>
  </si>
  <si>
    <t>Retry also fails, error toast shown</t>
  </si>
  <si>
    <t>No confirmation dialog warns HR that existing questions will be replaced (GAP)</t>
  </si>
  <si>
    <t>FE_RAG_007 - Studio: verify a Failed generation run surfaces the backend errorCode/errorMessage via toast</t>
  </si>
  <si>
    <t>Job status</t>
  </si>
  <si>
    <t>Failed, errorCode and errorMessage both present</t>
  </si>
  <si>
    <t>Failed, only errorCode present</t>
  </si>
  <si>
    <t>Failed, neither errorCode nor errorMessage present</t>
  </si>
  <si>
    <t>Toast shows "[errorCode] errorMessage"</t>
  </si>
  <si>
    <t>Toast shows "[errorCode] RAG sinh câu hỏi thất bại." (fallback text, Vietnamese even in EN UI)</t>
  </si>
  <si>
    <t>Toast shows "[FAILED] RAG sinh câu hỏi thất bại." (both fallbacks)</t>
  </si>
  <si>
    <t>FE_RAG_008 - Studio: verify behavior when a generation run exceeds the 5-minute polling deadline</t>
  </si>
  <si>
    <t>Job duration</t>
  </si>
  <si>
    <t>Completes just under 5 minutes</t>
  </si>
  <si>
    <t>Still Pending/Generating past the 5-minute mark</t>
  </si>
  <si>
    <t>Completes normally, questions shown</t>
  </si>
  <si>
    <t>Timeout message "Job vẫn {status} sau 5 phút… bấm Làm mới trạng thái." (Vietnamese-only, not localized)</t>
  </si>
  <si>
    <t>FE_RAG_009 - Studio: verify a Pending/Generating run resumes polling automatically after page reload/tab-switch</t>
  </si>
  <si>
    <t>State at reload</t>
  </si>
  <si>
    <t>Run status is Pending</t>
  </si>
  <si>
    <t>Run status is Generating</t>
  </si>
  <si>
    <t>Run already Completed before reload</t>
  </si>
  <si>
    <t>Background poll (3s interval, no deadline) resumes automatically</t>
  </si>
  <si>
    <t>No polling needed, questions already shown</t>
  </si>
  <si>
    <t>FE_RAG_010 - Studio: verify the full-page blocking quota modal (Free plan cooldown) blocks the entire page, not just Generate</t>
  </si>
  <si>
    <t>Subscription state</t>
  </si>
  <si>
    <t>Free plan, within 24h cooldown of last generate</t>
  </si>
  <si>
    <t>Free plan, cooldown period has passed</t>
  </si>
  <si>
    <t>Premium plan (generateUnlimited = true)</t>
  </si>
  <si>
    <t>Full-screen alertdialog blocks the entire page (JD/plan editing also blocked)</t>
  </si>
  <si>
    <t>Title "Daily generation limit reached" with cooldown end time shown</t>
  </si>
  <si>
    <t>"View plans &amp; billing" / "Create manually" are the only escape hatches</t>
  </si>
  <si>
    <t>No modal shown, Studio fully usable</t>
  </si>
  <si>
    <t>FE_RAG_011 - Studio: verify refine/apply-settings are blocked once a plan is approved, without hitting the API</t>
  </si>
  <si>
    <t>Plan state</t>
  </si>
  <si>
    <t>Plan is in draft / not approved</t>
  </si>
  <si>
    <t>Plan is approved, HR sends a refine chat message</t>
  </si>
  <si>
    <t>Plan is approved, HR tries to apply settings</t>
  </si>
  <si>
    <t>Refine/chat message sends normally</t>
  </si>
  <si>
    <t>Toast "Plan is approved — cannot refine. Re-create plan to edit.", no API call made</t>
  </si>
  <si>
    <t>Toast "Plan is approved — cannot apply settings. Re-create plan.", no API call made</t>
  </si>
  <si>
    <t>FE_RAG_012 - Studio: verify per-question edit/delete/AI-regenerate actions after generation, including the hard-coded estimatedMinutes bug</t>
  </si>
  <si>
    <t>HR edits a question's content/difficulty/type and saves</t>
  </si>
  <si>
    <t>HR deletes a question</t>
  </si>
  <si>
    <t>HR clicks AI-regenerate on a single question</t>
  </si>
  <si>
    <t>HR double-clicks AI-regenerate rapidly on the same question</t>
  </si>
  <si>
    <t>PUT sent with new content/difficulty/type; estimatedMinutes always sent as 5 regardless of actual value (DEFECT)</t>
  </si>
  <si>
    <t>DELETE removes the question from the list</t>
  </si>
  <si>
    <t>POST regenerate replaces question content via RAG, list refetches</t>
  </si>
  <si>
    <t>No loading-state guard found - rapid double-click may fire duplicate regenerate requests (GAP)</t>
  </si>
  <si>
    <t>FE_RAG_013 - Studio: verify Save Draft / Publish / Unpublish / Create Share link / New Session actions</t>
  </si>
  <si>
    <t>Click Save Draft</t>
  </si>
  <si>
    <t>Click Publish</t>
  </si>
  <si>
    <t>Click Unpublish on a published set</t>
  </si>
  <si>
    <t>Click Create Share link</t>
  </si>
  <si>
    <t>Start a new session from a shared link</t>
  </si>
  <si>
    <t>Toast "draftSaved" shown</t>
  </si>
  <si>
    <t>Toast "published" shown</t>
  </si>
  <si>
    <t>Toast "unpublished" shown</t>
  </si>
  <si>
    <t>Toast "shareCreated" shown with a shareable link</t>
  </si>
  <si>
    <t>Toast "newSessionCreated" shown</t>
  </si>
  <si>
    <t>FE_RAG_014 - GenerateForm: verify the two independent, inconsistent JD length rules - 400-char UI rule vs. hidden 100-word server rule</t>
  </si>
  <si>
    <t>JD text state</t>
  </si>
  <si>
    <t>399 characters (1 below the UI minimum)</t>
  </si>
  <si>
    <t>420 characters but only 60 words</t>
  </si>
  <si>
    <t>600 characters, 110 words</t>
  </si>
  <si>
    <t>No text typed, JD file attached instead</t>
  </si>
  <si>
    <t>Orange border + "Too short — please enter at least 400 characters (~80 words)" shown</t>
  </si>
  <si>
    <t>"Create Plan" button enabled (UI rule passes)</t>
  </si>
  <si>
    <t>Server rejects: "Mô tả công việc cần ít nhất 100 từ (hiện tại: 60 từ)." (hard-coded Vietnamese, shown even in EN UI)</t>
  </si>
  <si>
    <t>Submit succeeds</t>
  </si>
  <si>
    <t>UI shows the button as ready while a hidden server rule still blocks submission (DISCREPANCY)</t>
  </si>
  <si>
    <t>FE_RAG_015 - GenerateForm: validate JD file upload (.pdf/.doc/.docx only, 10MB max - stricter than Studio's upload)</t>
  </si>
  <si>
    <t>.pdf, 2MB</t>
  </si>
  <si>
    <t>.docx, 5MB</t>
  </si>
  <si>
    <t>.jpg image (not accepted in this flow)</t>
  </si>
  <si>
    <t>.pdf, 15MB (over the 10MB limit)</t>
  </si>
  <si>
    <t>invalid file type via drag-and-drop</t>
  </si>
  <si>
    <t>File accepted</t>
  </si>
  <si>
    <t>Inline/toast "fe.invalidType" error shown</t>
  </si>
  <si>
    <t>Inline/toast "fe.tooLarge" error shown</t>
  </si>
  <si>
    <t>FE_RAG_016 - GenerateForm: verify the submit payload always sends numberOfQuestions:10 and difficulty:"medium" regardless of any UI control</t>
  </si>
  <si>
    <t>Submission method</t>
  </si>
  <si>
    <t>Submit with pasted JD text</t>
  </si>
  <si>
    <t>Submit with uploaded file</t>
  </si>
  <si>
    <t>Request payload includes numberOfQuestions:10 and difficulty:"medium" hard-coded</t>
  </si>
  <si>
    <t>These values can only be changed later via Plan edit, not at initial submit (LIMITATION)</t>
  </si>
  <si>
    <t>FE_RAG_017 - GenerateForm: verify the multi-step polling flow - plan generation -&gt; plan review -&gt; approve -&gt; question generation</t>
  </si>
  <si>
    <t>Polling scenario</t>
  </si>
  <si>
    <t>Plan job completes on the first 3s poll</t>
  </si>
  <si>
    <t>Plan job takes several 3s polls to complete</t>
  </si>
  <si>
    <t>A poll request transiently fails (network blip)</t>
  </si>
  <si>
    <t>View transitions form -&gt; polling(plan) -&gt; plan_review</t>
  </si>
  <si>
    <t>Polling backs off to 5s retry after a transient error, continues indefinitely (no deadline/cap)</t>
  </si>
  <si>
    <t>FE_RAG_018 - GenerateForm: verify the failed-state screen's conditional retry actions based on server-provided flags</t>
  </si>
  <si>
    <t>Server flags on failure</t>
  </si>
  <si>
    <t>canEditInput = true</t>
  </si>
  <si>
    <t>canRetryPlan = true</t>
  </si>
  <si>
    <t>canRetryQuestions = true</t>
  </si>
  <si>
    <t>All retry flags false</t>
  </si>
  <si>
    <t>JD textarea + file upload + "Gửi lại" resubmit button shown</t>
  </si>
  <si>
    <t>"Retry Plan" button shown</t>
  </si>
  <si>
    <t>"Retry Questions" button shown</t>
  </si>
  <si>
    <t>Only "Bắt đầu lại" (Start over) button shown</t>
  </si>
  <si>
    <t>If the retry call itself fails: "Retry failed." or "Cập nhật input thất bại." shown</t>
  </si>
  <si>
    <t>FE_RAG_019 - GenerateForm: verify the Ask-AI chat panel per question and applying a suggested alternate question</t>
  </si>
  <si>
    <t>AI response</t>
  </si>
  <si>
    <t>Reply text only, no .suggestion field</t>
  </si>
  <si>
    <t>Reply + .suggestion, HR clicks Apply</t>
  </si>
  <si>
    <t>Reply + .suggestion, HR does not apply it</t>
  </si>
  <si>
    <t>Chat reply is shown in the panel</t>
  </si>
  <si>
    <t>Question content is replaced with the suggestion after clicking Apply</t>
  </si>
  <si>
    <t>Question content remains unchanged</t>
  </si>
  <si>
    <t>FE_RAG_020 - GenerateForm: verify the inline/non-blocking quota banner (vs. Studio's blocking modal) and its copy discrepancies</t>
  </si>
  <si>
    <t>Inline amber banner shown at top of form; rest of form (JD input, upload) remains usable</t>
  </si>
  <si>
    <t>Title reads "Monthly limit reached" (inconsistent with Studio's "Daily generation limit reached" - BUG)</t>
  </si>
  <si>
    <t>Body text does not interpolate {{time}} even though code calls replace() (token missing from source string - BUG)</t>
  </si>
  <si>
    <t>Submit button disabled, rest of form stays editable</t>
  </si>
  <si>
    <t>FE_RAG_021 - GenerateForm: verify localStorage session persistence across reload and the cross-account wipe guard</t>
  </si>
  <si>
    <t>Scenario</t>
  </si>
  <si>
    <t>Reload page mid-generation, same HR account</t>
  </si>
  <si>
    <t>Saved job returns 404/error when reconciling with server</t>
  </si>
  <si>
    <t>Different HR account logs in on the same browser afterward</t>
  </si>
  <si>
    <t>Session (jobId/view/plan/jdText) restores from localStorage, continues seamlessly</t>
  </si>
  <si>
    <t>localStorage session is cleared, resets silently to a blank form</t>
  </si>
  <si>
    <t>All hr_gen_* keys wiped when logged-in user id differs from stored owner; HR-B never sees HR-A's session</t>
  </si>
  <si>
    <t>FE_RAG_022 - GenerateForm: verify starting a new job while a previous one is still polling in the background</t>
  </si>
  <si>
    <t>HR clicks "Create another question set" while job 1 is still polling</t>
  </si>
  <si>
    <t>Job 1 (backgrounded) completes while HR is actively working on job 2</t>
  </si>
  <si>
    <t>Job 1 is pushed into the hr_gen_bg_jobs localStorage list, new blank form shown for job 2</t>
  </si>
  <si>
    <t>A badge/notification elsewhere in the shell reflects job 1's completion</t>
  </si>
  <si>
    <t>FE_RAG_023 - GenerateForm: verify double-clicking Save Draft (409 already-saved response) is treated as silent success, not an error</t>
  </si>
  <si>
    <t>Click Save Draft once</t>
  </si>
  <si>
    <t>Double-click Save Draft rapidly (2nd request gets 409)</t>
  </si>
  <si>
    <t>Draft saves normally, success toast shown</t>
  </si>
  <si>
    <t>2nd request's 409 treated as "already saved" silently (returns null), no error toast shown</t>
  </si>
  <si>
    <t>FE_RAG_024 - GenerateForm: verify the server-enforced max-5 plan-regenerate limit per draft (no FE counter shown)</t>
  </si>
  <si>
    <t>Regenerate attempt count</t>
  </si>
  <si>
    <t>1st-4th regenerate on the same draft</t>
  </si>
  <si>
    <t>6th regenerate attempt (limit of 5 exceeded)</t>
  </si>
  <si>
    <t>Regenerates normally, no warning</t>
  </si>
  <si>
    <t>Error toast: "You've used all plan regenerations for this draft (max 5)." (PLAN_REGENERATE_LIMIT)</t>
  </si>
  <si>
    <t>No counter/progress indicator shown anywhere in the FE UI before the limit is hit (GAP)</t>
  </si>
  <si>
    <t>FE_RAGAUTH_001 - Verify a 401 on any HR/RAG-adjacent call triggers a silent token refresh + transparent retry when refresh succeeds</t>
  </si>
  <si>
    <t>Request that receives 401</t>
  </si>
  <si>
    <t>Studio getGenerationRun poll request</t>
  </si>
  <si>
    <t>GenerateForm getGenerationJob poll request</t>
  </si>
  <si>
    <t>A normal HR action call (e.g. Save Draft)</t>
  </si>
  <si>
    <t>refreshAccessToken() called, POST /api/auth/refresh-token succeeds</t>
  </si>
  <si>
    <t>Original request retried transparently with the new token, no visible interruption</t>
  </si>
  <si>
    <t>In-progress polling continues seamlessly</t>
  </si>
  <si>
    <t>FE_RAGAUTH_002 - Verify a 401 with a failed refresh results in silent clearAuth + hard redirect to /login, with zero toast/message</t>
  </si>
  <si>
    <t>Refresh attempt outcome</t>
  </si>
  <si>
    <t>Refresh endpoint returns a non-2xx response</t>
  </si>
  <si>
    <t>Refresh call fails due to a network error</t>
  </si>
  <si>
    <t>Refresh response has no parseable accessToken/access_token/token field</t>
  </si>
  <si>
    <t>clearAuth() removes interviewai_auth, interviewai_user_role, tokens, cached profile</t>
  </si>
  <si>
    <t>window.location.assign("/login") triggers a hard full-page navigation</t>
  </si>
  <si>
    <t>No toast or "session expired" message is shown anywhere before the redirect</t>
  </si>
  <si>
    <t>Any in-progress RAG generation polling is silently abandoned since the page unloads (GAP)</t>
  </si>
  <si>
    <t>FE_RAGAUTH_003 - Verify immediate redirect when no refresh token exists in storage at all</t>
  </si>
  <si>
    <t>performRefresh() short-circuits to false without any network call</t>
  </si>
  <si>
    <t>clearAuth() + redirectToLogin() fire immediately</t>
  </si>
  <si>
    <t>FE_RAGAUTH_004 - Verify a 401 on the refresh-token call itself is treated as unrecoverable (no further retry)</t>
  </si>
  <si>
    <t>clearAuth() + redirectToLogin() fire immediately, no further refresh attempt</t>
  </si>
  <si>
    <t>FE_RAGAUTH_005 - Verify a second 401 on an already-retried request is treated as unrecoverable</t>
  </si>
  <si>
    <t>clearAuth() + redirectToLogin() fire immediately, no second refresh attempted</t>
  </si>
  <si>
    <t>FE_RAGAUTH_006 - Verify 401s on public auth endpoints (login/register/verify-email/etc.) bypass the refresh/redirect interceptor entirely</t>
  </si>
  <si>
    <t>Failing endpoint</t>
  </si>
  <si>
    <t>/api/auth/login returns 401 (wrong credentials)</t>
  </si>
  <si>
    <t>/api/auth/register returns 401</t>
  </si>
  <si>
    <t>/api/auth/verify-email returns 401 (expired link)</t>
  </si>
  <si>
    <t>Interceptor rejects without attempting refresh or redirect</t>
  </si>
  <si>
    <t>The calling page's own error handling shows the appropriate inline message</t>
  </si>
  <si>
    <t>FE_RAGAUTH_007 - Verify 403 responses on HR/Studio/RAG-adjacent endpoints have no dedicated handling and fall through to generic messaging</t>
  </si>
  <si>
    <t>403 response shape</t>
  </si>
  <si>
    <t>Backend returns response.data.detail with a specific message</t>
  </si>
  <si>
    <t>Backend returns 403 with no parseable body</t>
  </si>
  <si>
    <t>403 occurs inside a function that swallows errors and returns false (e.g. approvePlan)</t>
  </si>
  <si>
    <t>extractErrorMessage surfaces the backend's detail text via toast</t>
  </si>
  <si>
    <t>Generic fallback "Something went wrong. Please try again." shown</t>
  </si>
  <si>
    <t>Hard-coded generic message shown, indistinguishable from any other failure type</t>
  </si>
  <si>
    <t>FE_RAGAUTH_008 - Verify there is no client-side role gate on /hr/* routes - wrong-role users can load the pages</t>
  </si>
  <si>
    <t>Session role / target URL</t>
  </si>
  <si>
    <t>Candidate role navigates directly to /hr/generate</t>
  </si>
  <si>
    <t>Candidate role navigates directly to /hr/generate-v2 (Studio)</t>
  </si>
  <si>
    <t>Admin role navigates directly to /hr/generate</t>
  </si>
  <si>
    <t>Page renders the full HR UI client-side with no immediate redirect or "access denied" screen</t>
  </si>
  <si>
    <t>Blocking only occurs later, generically, when an actual API call 403s</t>
  </si>
  <si>
    <t>FE_RAGAUTH_009 - Verify subscription-specific backend error codes map to canned bilingual messages via extractErrorMessage</t>
  </si>
  <si>
    <t>Backend errorCode</t>
  </si>
  <si>
    <t>QUOTA_EXCEEDED</t>
  </si>
  <si>
    <t>COOLDOWN_ACTIVE</t>
  </si>
  <si>
    <t>FEATURE_REQUIRES_PREMIUM</t>
  </si>
  <si>
    <t>PLAN_REGENERATE_LIMIT</t>
  </si>
  <si>
    <t>"You've used up your quota for this period. Upgrade to Premium or buy an extra Ask-AI pack."</t>
  </si>
  <si>
    <t>"Free plan allows one question set per 24 hours. Please wait or upgrade to Premium."</t>
  </si>
  <si>
    <t>"This feature requires the Premium plan."</t>
  </si>
  <si>
    <t>"You've used all plan regenerations for this draft (max 5)."</t>
  </si>
  <si>
    <t>FE_RAGAUTH_010 - Verify the extractErrorMessage fallback chain for unrecognized error codes / missing response bodies</t>
  </si>
  <si>
    <t>Error response shape</t>
  </si>
  <si>
    <t>errorCode present but not one of the 4 known codes</t>
  </si>
  <si>
    <t>No errorCode, but data.detail is present</t>
  </si>
  <si>
    <t>No errorCode/detail, only data.title present</t>
  </si>
  <si>
    <t>No parseable body at all, only axios error.message (e.g. timeout text)</t>
  </si>
  <si>
    <t>Nothing usable anywhere in the error object</t>
  </si>
  <si>
    <t>Unknown errorCode is ignored, falls through to the detail/title/message/error chain</t>
  </si>
  <si>
    <t>Falls through to data.detail/title as available</t>
  </si>
  <si>
    <t>Shows the raw axios message text (e.g. "timeout of 60000ms exceeded")</t>
  </si>
  <si>
    <t>Shows the final generic fallback "Something went wrong. Please try again."</t>
  </si>
  <si>
    <t>FE_RAGAUTH_011 - Verify timeouts and 5xx errors on RAG-adjacent calls show raw/generic text, and that no 429 handling exists</t>
  </si>
  <si>
    <t>Failure type</t>
  </si>
  <si>
    <t>generatePlan or refinePlan exceeds its 180s timeout</t>
  </si>
  <si>
    <t>generateQuestions start-call exceeds its 60s timeout</t>
  </si>
  <si>
    <t>Backend responds with 500 Internal Server Error</t>
  </si>
  <si>
    <t>Backend responds with 429 Too Many Requests</t>
  </si>
  <si>
    <t>Raw axios message shown, e.g. "timeout of 180000ms exceeded" (not a friendly message)</t>
  </si>
  <si>
    <t>Raw axios message shown, e.g. "timeout of 60000ms exceeded"</t>
  </si>
  <si>
    <t>Generic extractErrorMessage fallback chain applies, no 5xx-specific copy</t>
  </si>
  <si>
    <t>No 429-specific handling exists anywhere in the codebase; falls through to the same generic chain</t>
  </si>
  <si>
    <t>FE_RAGAUTH_012 - Verify what happens when the access token expires mid-poll during a long-running RAG generation</t>
  </si>
  <si>
    <t>Refresh outcome mid-poll</t>
  </si>
  <si>
    <t>Access token expires during polling, refresh token still valid</t>
  </si>
  <si>
    <t>Access token expires during polling, refresh token also expired/invalid</t>
  </si>
  <si>
    <t>Next poll 401s, silent refresh+retry succeeds, polling continues with zero visible interruption</t>
  </si>
  <si>
    <t>Refresh fails, hard redirect to /login fires mid-poll, in-progress generation silently abandoned</t>
  </si>
  <si>
    <t>HR must return to Studio/History after next login to discover whether the job actually completed server-side</t>
  </si>
  <si>
    <t>FE_RAGAUTH_013 - Verify multiple simultaneous 401s trigger only one refresh-token call, de-duplicated via refreshInFlight</t>
  </si>
  <si>
    <t>Concurrent 401 count</t>
  </si>
  <si>
    <t>Exactly 2 requests fail with 401 at the same time</t>
  </si>
  <si>
    <t>3 or more requests fail with 401 at the same time</t>
  </si>
  <si>
    <t>Only ONE POST /api/auth/refresh-token call is made, all failed requests await the same promise</t>
  </si>
  <si>
    <t>All original requests are retried with the same new token once refresh resolves</t>
  </si>
  <si>
    <t>FE_RAGAUTH_014 - Static finding: rag.service.ts / /api/rag/* proxy routes have zero interceptor coverage (latent risk, not exercisable via current UI)</t>
  </si>
  <si>
    <t>Code path audited</t>
  </si>
  <si>
    <t>src/features/interview/services/rag.service.ts (bare axios.create(), no interceptors)</t>
  </si>
  <si>
    <t>src/app/api/rag/*/route.ts proxy routes (no caller-session/JWT check, only a static internal API key)</t>
  </si>
  <si>
    <t>Confirmed dead code - not imported/called by any active component currently</t>
  </si>
  <si>
    <t>If ever reactivated, requests would carry no Authorization header and get no 401-refresh handling (LATENT RISK)</t>
  </si>
  <si>
    <t>Not exercisable as a manual UI test case today; tracked here as a static-analysis finding</t>
  </si>
  <si>
    <t>FE_RAG_025 - GenerateForm: verify the optional Knowledge Base document picker (KbDocPicker)</t>
  </si>
  <si>
    <t>No KB document selected (optional field)</t>
  </si>
  <si>
    <t>1 existing KB document selected</t>
  </si>
  <si>
    <t>Previously-selected document is deleted/unavailable before submit</t>
  </si>
  <si>
    <t>Submits without a knowledgeDocumentId</t>
  </si>
  <si>
    <t>Submits with the selected knowledgeDocumentId</t>
  </si>
  <si>
    <t>Submit fails or proceeds without the doc (needs confirmation), no crash</t>
  </si>
  <si>
    <t>FE_RAG_026 - GenerateForm: verify the optional free-text "Notes for AI" field</t>
  </si>
  <si>
    <t>Notes field</t>
  </si>
  <si>
    <t>Left empty (optional)</t>
  </si>
  <si>
    <t>Filled with short guidance text</t>
  </si>
  <si>
    <t>Filled with a very long note (no visible max-length found)</t>
  </si>
  <si>
    <t>Submits normally, hrNote omitted/empty</t>
  </si>
  <si>
    <t>Submits normally with hrNote included in payload</t>
  </si>
  <si>
    <t>No client-side max-length enforced on this field (unverified boundary)</t>
  </si>
  <si>
    <t>FE_RAG_027 - Studio: verify the Sample JD modal's Copy and Use buttons</t>
  </si>
  <si>
    <t>Open Sample JD modal, click Copy</t>
  </si>
  <si>
    <t>Open Sample JD modal, click Use</t>
  </si>
  <si>
    <t>Sample JD text copied to clipboard, modal stays open</t>
  </si>
  <si>
    <t>Sample JD text inserted directly into the JD textarea, modal closes</t>
  </si>
  <si>
    <t>FE_RAG_028 - GenerateForm: verify reorderJobQuestions handles a 409 (job state prevents reorder) as a non-error</t>
  </si>
  <si>
    <t>Job is in a reorderable state</t>
  </si>
  <si>
    <t>Job is in a state that prevents reorder (e.g. mid-regeneration)</t>
  </si>
  <si>
    <t>Reorder succeeds, new order persists</t>
  </si>
  <si>
    <t>Reorder call returns 409, treated as a non-error (no error toast), order silently unchanged</t>
  </si>
  <si>
    <t>FE_RAG_029 - Verify the backend rejects add/edit/delete/reorder while a question set is PUBLISHED</t>
  </si>
  <si>
    <t>Question set state</t>
  </si>
  <si>
    <t>Set is a DRAFT</t>
  </si>
  <si>
    <t>Set is PUBLISHED</t>
  </si>
  <si>
    <t>Add/edit/delete/reorder actions succeed</t>
  </si>
  <si>
    <t>Add/edit/delete/reorder actions are rejected by the backend</t>
  </si>
  <si>
    <t>FE_RAG_030 - Studio: verify applyPlanSettings behavior around its 30s timeout</t>
  </si>
  <si>
    <t>Request duration</t>
  </si>
  <si>
    <t>Completes within 30s</t>
  </si>
  <si>
    <t>Exceeds the 30s timeout</t>
  </si>
  <si>
    <t>Toast "settingsApplied" shown</t>
  </si>
  <si>
    <t>Raw axios timeout message surfaces via extractErrorMessage fallback (no friendly copy)</t>
  </si>
  <si>
    <t>FE_RAG_031 - Studio: verify the refine-plan chat flow (180s timeout, distinct from generatePlan)</t>
  </si>
  <si>
    <t>Refine message sent, plan updates in response</t>
  </si>
  <si>
    <t>Refine request exceeds its 180s timeout</t>
  </si>
  <si>
    <t>Toast "planRefining" then "planRefined" shown, updated plan rendered</t>
  </si>
  <si>
    <t>Raw axios timeout message surfaces (e.g. "timeout of 180000ms exceeded")</t>
  </si>
  <si>
    <t>FE_RAG_032 - Studio: verify includeSampleAnswers / includeScoringRubric toggles are respected on Generate</t>
  </si>
  <si>
    <t>Toggle state</t>
  </si>
  <si>
    <t>Both toggles off</t>
  </si>
  <si>
    <t>includeSampleAnswers on only</t>
  </si>
  <si>
    <t>includeScoringRubric on only</t>
  </si>
  <si>
    <t>Both toggles on</t>
  </si>
  <si>
    <t>Generated questions omit sample answers and scoring rubric</t>
  </si>
  <si>
    <t>Generated questions include sample answers only</t>
  </si>
  <si>
    <t>Generated questions include scoring rubric only</t>
  </si>
  <si>
    <t>Generated questions include both sample answers and scoring rubric</t>
  </si>
  <si>
    <t>FE_RAG_033 - Studio: verify the "New Set" action unlocks and resets the Sources/Inspector panels</t>
  </si>
  <si>
    <t>Panels are locked (questions exist) and HR clicks New Set</t>
  </si>
  <si>
    <t>HR has unsaved plan-refine edits when clicking New Set</t>
  </si>
  <si>
    <t>Panels unlock, JD/sources/questions reset to a blank state</t>
  </si>
  <si>
    <t>No confirmation prompt found before discarding unsaved edits (GAP, needs confirmation)</t>
  </si>
  <si>
    <t>FE_RAG_034 - Studio: verify attaching an existing library document vs. uploading a brand-new one</t>
  </si>
  <si>
    <t>Attach an existing document from the library</t>
  </si>
  <si>
    <t>Upload a brand-new document</t>
  </si>
  <si>
    <t>Existing doc attached immediately, status reflects its current ingestion state</t>
  </si>
  <si>
    <t>New doc uploaded, toast "Uploaded — RAG ingestion queued.", starts at Queued/Processing</t>
  </si>
  <si>
    <t>FE_RAG_035 - Studio: verify multiple sequential refine-chat messages before approving the plan</t>
  </si>
  <si>
    <t>Refine turn</t>
  </si>
  <si>
    <t>1st refine message sent</t>
  </si>
  <si>
    <t>2nd refine message, builds on the 1st refined plan</t>
  </si>
  <si>
    <t>3rd refine message, builds on the 2nd refined plan</t>
  </si>
  <si>
    <t>Each turn updates the plan and chat history incrementally, prior refinements preserved</t>
  </si>
  <si>
    <t>FE_RAG_036 - GenerateForm: verify question count/difficulty can only be changed later via Plan review, not at initial submit</t>
  </si>
  <si>
    <t>Action in Plan review step</t>
  </si>
  <si>
    <t>HR increases the question count in Plan review</t>
  </si>
  <si>
    <t>HR changes difficulty in Plan review</t>
  </si>
  <si>
    <t>updateJobPlan persists the new question count before approving</t>
  </si>
  <si>
    <t>updateJobPlan persists the new difficulty before approving</t>
  </si>
  <si>
    <t>FE_RAG_037 - Studio: verify the Approve Plan button's loading/disabled/error states</t>
  </si>
  <si>
    <t>Approve request is in flight</t>
  </si>
  <si>
    <t>Approve succeeds</t>
  </si>
  <si>
    <t>Approve fails (network error)</t>
  </si>
  <si>
    <t>Button disabled with a loading spinner</t>
  </si>
  <si>
    <t>Toast "planApprovedMsg" shown, chat locks</t>
  </si>
  <si>
    <t>Generic error toast shown via extractErrorMessage, plan remains unapproved</t>
  </si>
  <si>
    <t>FE_RAG_038 - GenerateForm: verify the KB doc picker also gates selection on RAG ingestion status (Completed only)</t>
  </si>
  <si>
    <t>Document RAG status</t>
  </si>
  <si>
    <t>Still Processing/Queued</t>
  </si>
  <si>
    <t>Document is not selectable in the picker</t>
  </si>
  <si>
    <t>Document is selectable and can be attached to the job</t>
  </si>
  <si>
    <t>FE_RAG_039 - Studio: verify the question list's empty-state variants before/around generation</t>
  </si>
  <si>
    <t>No plan created yet</t>
  </si>
  <si>
    <t>Plan approved but generation not yet run</t>
  </si>
  <si>
    <t>Generation failed, list still empty</t>
  </si>
  <si>
    <t>Empty state prompts HR to create/approve a plan first</t>
  </si>
  <si>
    <t>Empty state reflects the failed generation with a retry affordance</t>
  </si>
  <si>
    <t>FE_RAGAUTH_015 - Verify login-page-owned 401/403 handling is separate from the mid-session interceptor path</t>
  </si>
  <si>
    <t>Login attempt</t>
  </si>
  <si>
    <t>401 - invalid credentials</t>
  </si>
  <si>
    <t>403 - account disabled</t>
  </si>
  <si>
    <t>Inline "invalidCredentials" message shown on the login form, no redirect</t>
  </si>
  <si>
    <t>Inline "accountDisabled" message shown on the login form, no redirect</t>
  </si>
  <si>
    <t>FE_RAGAUTH_016 - Verify the candidate-scoped ForbiddenError messages on practice-session/feedback 403s (distinct from HR/RAG generic handling)</t>
  </si>
  <si>
    <t>403 scenario</t>
  </si>
  <si>
    <t>Candidate accesses another account's practice session</t>
  </si>
  <si>
    <t>Candidate views another account's feedback</t>
  </si>
  <si>
    <t>"You don't have access to practice this question set."</t>
  </si>
  <si>
    <t>"This session belongs to another account, so we can't show its feedback here."</t>
  </si>
  <si>
    <t>FE_RAGAUTH_017 - Static finding: access/refresh tokens are stored in plain localStorage, not httpOnly cookies (XSS exposure risk)</t>
  </si>
  <si>
    <t>Token audited</t>
  </si>
  <si>
    <t>interviewai_access_token key in localStorage</t>
  </si>
  <si>
    <t>interviewai_refresh_token key in localStorage</t>
  </si>
  <si>
    <t>Token is readable by any JS running on the page (e.g. via DevTools console), not httpOnly-protected</t>
  </si>
  <si>
    <t>Flag as a security hardening candidate for the dev/security team (LATENT RISK)</t>
  </si>
  <si>
    <t>FE_RAGAUTH_018 - Verify the auth request interceptor no-ops during SSR (window === undefined) and attaches correctly after hydration</t>
  </si>
  <si>
    <t>Render context</t>
  </si>
  <si>
    <t>Server-side render pass (window undefined)</t>
  </si>
  <si>
    <t>Client-side after hydration</t>
  </si>
  <si>
    <t>No Authorization header attached, no crash during SSR</t>
  </si>
  <si>
    <t>Authorization header attached correctly on subsequent client-side requests</t>
  </si>
  <si>
    <t>FE_RAGAUTH_019 - Verify clearAuth() also clears the cached user profile, not just tokens/role</t>
  </si>
  <si>
    <t>Cached user profile present before a 401-triggered clearAuth()</t>
  </si>
  <si>
    <t>Cached user profile already absent (already cleared)</t>
  </si>
  <si>
    <t>clearCachedUserProfile() removes the cached profile alongside tokens/role</t>
  </si>
  <si>
    <t>No-op, nothing to clear, no error thrown</t>
  </si>
  <si>
    <t>FE_RAGAUTH_020 - Verify token persistence behavior after a successful refresh call (rotation vs. access-token-only response)</t>
  </si>
  <si>
    <t>Refresh response shape</t>
  </si>
  <si>
    <t>Response includes both a new access token and a new refresh token</t>
  </si>
  <si>
    <t>Response includes only a new access token (refresh token unchanged)</t>
  </si>
  <si>
    <t>Both tokens persisted via setAuthTokens, old refresh token replaced</t>
  </si>
  <si>
    <t>Only the access token is updated, prior refresh token remains valid for the next cycle</t>
  </si>
  <si>
    <t>FE_UI_001 - Verify the manual question page layout adapts correctly across viewport sizes</t>
  </si>
  <si>
    <t>Viewport</t>
  </si>
  <si>
    <t>Desktop 1920x1080</t>
  </si>
  <si>
    <t>Laptop 1366x768</t>
  </si>
  <si>
    <t>Tablet 768x1024 portrait</t>
  </si>
  <si>
    <t>Mobile 375x667</t>
  </si>
  <si>
    <t>Question cards display full width, all fields visible without horizontal scroll</t>
  </si>
  <si>
    <t>Layout stacks to a single column, sticky footer Save button stays accessible</t>
  </si>
  <si>
    <t>No content is clipped or overlapping at any breakpoint</t>
  </si>
  <si>
    <t>FE_UI_002 - Verify the manual question page renders correctly in both light and dark theme</t>
  </si>
  <si>
    <t>Theme</t>
  </si>
  <si>
    <t>Light theme</t>
  </si>
  <si>
    <t>Dark theme</t>
  </si>
  <si>
    <t>Text contrast remains readable in both themes</t>
  </si>
  <si>
    <t>Card backgrounds, borders, and buttons switch correctly to the active theme's palette</t>
  </si>
  <si>
    <t>No hardcoded light-only colors leak through in dark mode (e.g. a white card on a dark page)</t>
  </si>
  <si>
    <t>FE_UI_003 - Verify Studio's 3-panel layout (Sources | Chat/Plan | Inspector) adapts across viewport sizes</t>
  </si>
  <si>
    <t>Desktop wide (&gt;=1440px)</t>
  </si>
  <si>
    <t>Laptop (1024-1439px)</t>
  </si>
  <si>
    <t>Tablet (768-1023px)</t>
  </si>
  <si>
    <t>Mobile (&lt;768px)</t>
  </si>
  <si>
    <t>All 3 panels visible side by side</t>
  </si>
  <si>
    <t>Panels remain usable but narrower, no overlap</t>
  </si>
  <si>
    <t>Panels stack or become tabbed/collapsible sections</t>
  </si>
  <si>
    <t>Locked-panel overlay/tooltip still renders correctly at this size</t>
  </si>
  <si>
    <t>FE_UI_004 - Verify the Studio page renders correctly in both light and dark theme</t>
  </si>
  <si>
    <t>RAG status chips, locked-panel overlay, and chat bubbles remain legible in both themes</t>
  </si>
  <si>
    <t>No hardcoded light-only colors leak through in dark mode</t>
  </si>
  <si>
    <t>FE_UI_005 - Verify GenerateForm's multi-step wizard (form/plan review/question review) adapts across viewport sizes</t>
  </si>
  <si>
    <t>Desktop</t>
  </si>
  <si>
    <t>Tablet</t>
  </si>
  <si>
    <t>Mobile</t>
  </si>
  <si>
    <t>Step indicator, JD textarea, and file upload area render correctly</t>
  </si>
  <si>
    <t>Question review cards stack to a single column on narrow viewports</t>
  </si>
  <si>
    <t>Ask-AI chat panel remains reachable, not clipped off-screen</t>
  </si>
  <si>
    <t>FE_UI_006 - Verify GenerateForm renders correctly in both light and dark theme</t>
  </si>
  <si>
    <t>Progress/step indicators and quota banner remain legible in both themes</t>
  </si>
  <si>
    <t>FE_UI_007 - Verify the Studio blocking modal and GenerateForm inline banner render correctly across viewport sizes</t>
  </si>
  <si>
    <t>Studio full-screen modal on Desktop</t>
  </si>
  <si>
    <t>Studio full-screen modal on Mobile</t>
  </si>
  <si>
    <t>GenerateForm inline banner on Desktop</t>
  </si>
  <si>
    <t>GenerateForm inline banner on Mobile</t>
  </si>
  <si>
    <t>Modal is centered, fully covers the page, text readable without zooming</t>
  </si>
  <si>
    <t>Modal buttons ("View plans &amp; billing" / "Create manually") stay tappable, not cut off at the bottom</t>
  </si>
  <si>
    <t>Inline banner sits above the form without pushing critical content off-screen</t>
  </si>
  <si>
    <t>FE_UI_008 - Verify toast notification display, stacking, wrapping, and mobile behavior</t>
  </si>
  <si>
    <t>Single toast shown</t>
  </si>
  <si>
    <t>Multiple toasts fired in quick succession</t>
  </si>
  <si>
    <t>Toast with a long message</t>
  </si>
  <si>
    <t>Toast shown on a mobile viewport</t>
  </si>
  <si>
    <t>Toast appears in a consistent corner/position, auto-dismisses after its duration</t>
  </si>
  <si>
    <t>Multiple toasts stack without overlapping each other</t>
  </si>
  <si>
    <t>Long text wraps within the toast width instead of overflowing</t>
  </si>
  <si>
    <t>Toast remains fully visible and readable on a mobile viewport</t>
  </si>
  <si>
    <t>FE_UI_009 - Verify the JD/document upload dropzone's visual states (Studio and GenerateForm)</t>
  </si>
  <si>
    <t>Idle / default</t>
  </si>
  <si>
    <t>Drag-over highlight</t>
  </si>
  <si>
    <t>Uploading in progress</t>
  </si>
  <si>
    <t>Error (invalid type / too large)</t>
  </si>
  <si>
    <t>Dashed border, upload icon, and hint text shown in idle state</t>
  </si>
  <si>
    <t>Border/background highlights while a file is dragged over the dropzone</t>
  </si>
  <si>
    <t>Progress indicator or disabled state shown while uploading</t>
  </si>
  <si>
    <t>Border turns red/error color with inline error text on an invalid file</t>
  </si>
  <si>
    <t>FE_UI_010 - Verify primary action buttons (Save/Generate/Submit) show correct visual states across pages</t>
  </si>
  <si>
    <t>Button state</t>
  </si>
  <si>
    <t>Default enabled</t>
  </si>
  <si>
    <t>Hover</t>
  </si>
  <si>
    <t>Disabled (invalid form)</t>
  </si>
  <si>
    <t>Loading (submit in flight)</t>
  </si>
  <si>
    <t>Button shows its default color/label</t>
  </si>
  <si>
    <t>Button shows a hover state (color/elevation change)</t>
  </si>
  <si>
    <t>Button is visibly greyed out and unclickable when the form is invalid</t>
  </si>
  <si>
    <t>Button shows a spinner, label changes (e.g. "Saving…"), unclickable while in flight</t>
  </si>
  <si>
    <t>FE_UI_011 - Verify text input/textarea visual states across HR forms (default/focus/error/disabled)</t>
  </si>
  <si>
    <t>Field state</t>
  </si>
  <si>
    <t>Default</t>
  </si>
  <si>
    <t>Focused</t>
  </si>
  <si>
    <t>Error (invalid value, after submit attempt)</t>
  </si>
  <si>
    <t>Disabled</t>
  </si>
  <si>
    <t>Neutral border/background shown</t>
  </si>
  <si>
    <t>Focus ring/outline shown</t>
  </si>
  <si>
    <t>Red border + inline error message shown</t>
  </si>
  <si>
    <t>Muted background, not editable, cursor shows not-allowed</t>
  </si>
  <si>
    <t>FE_UI_012 - Verify the HR shell sidebar/navigation adapts across viewport sizes</t>
  </si>
  <si>
    <t>Viewport / state</t>
  </si>
  <si>
    <t>Desktop, sidebar expanded</t>
  </si>
  <si>
    <t>Desktop, sidebar collapsed to icon-only</t>
  </si>
  <si>
    <t>Full sidebar with labels shown</t>
  </si>
  <si>
    <t>Icon-only sidebar, tooltips on hover reveal labels</t>
  </si>
  <si>
    <t>Sidebar adapts to tablet width without overlapping content</t>
  </si>
  <si>
    <t>Sidebar becomes a hamburger-triggered drawer on mobile</t>
  </si>
  <si>
    <t>FE_UI_013 - Verify modal dialogs (Confirm Import, Payment QR, Quota, Downgrade confirm) are positioned and layered correctly</t>
  </si>
  <si>
    <t>Modal</t>
  </si>
  <si>
    <t>Confirm Import modal (Excel import)</t>
  </si>
  <si>
    <t>Payment QR modal (SePay)</t>
  </si>
  <si>
    <t>Quota-exceeded modal</t>
  </si>
  <si>
    <t>Downgrade-to-Free confirm modal</t>
  </si>
  <si>
    <t>Modal is centered with a dimmed backdrop, sits above all page content</t>
  </si>
  <si>
    <t>Backdrop click / Escape closes the modal where applicable</t>
  </si>
  <si>
    <t>Modal content does not overflow its container on smaller screens</t>
  </si>
  <si>
    <t>FE_UI_014 - Verify data tables/grids (payment history, question list) handle overflow responsively</t>
  </si>
  <si>
    <t>Desktop (no scroll needed)</t>
  </si>
  <si>
    <t>All columns visible without scrolling</t>
  </si>
  <si>
    <t>Table scrolls horizontally within its own container, page layout stays intact</t>
  </si>
  <si>
    <t>Column headers remain readable while scrolling</t>
  </si>
  <si>
    <t>FE_UI_015 - Verify tooltip display on hover and keyboard focus (locked panel, RAG status chip, disabled trash icon)</t>
  </si>
  <si>
    <t>Trigger</t>
  </si>
  <si>
    <t>Mouse hover on locked panel overlay</t>
  </si>
  <si>
    <t>Mouse hover on RAG status chip</t>
  </si>
  <si>
    <t>Mouse hover on disabled trash icon</t>
  </si>
  <si>
    <t>Keyboard focus (Tab) instead of mouse hover</t>
  </si>
  <si>
    <t>Tooltip text appears near the cursor after a short hover delay</t>
  </si>
  <si>
    <t>Tooltip dismisses when the pointer moves away</t>
  </si>
  <si>
    <t>Tooltip also appears on keyboard focus, not just mouse hover</t>
  </si>
  <si>
    <t>Keyboard-focus tooltip support is unverified (possible accessibility gap)</t>
  </si>
  <si>
    <t>FE_UI_016 - Verify loading skeletons and AI generation spinners across pages</t>
  </si>
  <si>
    <t>Initial page load (skeleton placeholders)</t>
  </si>
  <si>
    <t>AI generation in progress (spinner + status text)</t>
  </si>
  <si>
    <t>Slow network - spinner shown for an unusually long time</t>
  </si>
  <si>
    <t>Skeleton placeholders match the eventual content's layout, no layout shift on load</t>
  </si>
  <si>
    <t>Spinner + status text (e.g. "Generating plan...") shown during AI calls</t>
  </si>
  <si>
    <t>No indefinite spinner without feedback (matches the 5-min Studio deadline UX)</t>
  </si>
  <si>
    <t>FE_UI_017 - Verify keyboard-only navigation across key interactive flows</t>
  </si>
  <si>
    <t>Interaction</t>
  </si>
  <si>
    <t>Tab through Manual Question form fields</t>
  </si>
  <si>
    <t>Tab through Studio's 3-panel layout</t>
  </si>
  <si>
    <t>Escape key while a modal is open</t>
  </si>
  <si>
    <t>Enter/Space activates a focused button</t>
  </si>
  <si>
    <t>Tab order follows the visual/logical reading order, no focus traps</t>
  </si>
  <si>
    <t>Focus ring/outline is visible on the currently focused element</t>
  </si>
  <si>
    <t>Escape closes the topmost open modal</t>
  </si>
  <si>
    <t>Enter/Space activates the focused button, matching a mouse click</t>
  </si>
  <si>
    <t>FE_UI_018 - Verify header/logo/branding render consistently across HR pages</t>
  </si>
  <si>
    <t>Page</t>
  </si>
  <si>
    <t>Manual Question page</t>
  </si>
  <si>
    <t>Studio page</t>
  </si>
  <si>
    <t>GenerateForm page</t>
  </si>
  <si>
    <t>Settings/Billing page</t>
  </si>
  <si>
    <t>Logo, page title, and user menu render consistently in the same position</t>
  </si>
  <si>
    <t>Active nav item is visually highlighted to match the current page</t>
  </si>
  <si>
    <t>FE_AUTH_001 - Check HR Manager registration form and validations</t>
  </si>
  <si>
    <t>UTCID07</t>
  </si>
  <si>
    <t>Company Name</t>
  </si>
  <si>
    <t>"Tech ABC" (Valid)</t>
  </si>
  <si>
    <t>Null / Empty</t>
  </si>
  <si>
    <t>Full Name</t>
  </si>
  <si>
    <t>"John Doe" (Valid)</t>
  </si>
  <si>
    <t>Work Email</t>
  </si>
  <si>
    <t>hr@techabc.com (Valid)</t>
  </si>
  <si>
    <t>Password</t>
  </si>
  <si>
    <t>"Pass$123" (Valid)</t>
  </si>
  <si>
    <t>Confirm Password</t>
  </si>
  <si>
    <t>"Pass$123" (Matched)</t>
  </si>
  <si>
    <t>"Pass$456" (Mismatched)</t>
  </si>
  <si>
    <t>Redirect "Verify your email"</t>
  </si>
  <si>
    <t>Stay on form</t>
  </si>
  <si>
    <t>"Company Name is required"</t>
  </si>
  <si>
    <t>"Full Name is required"</t>
  </si>
  <si>
    <t>"Work Email is required"</t>
  </si>
  <si>
    <t>"Password is required"</t>
  </si>
  <si>
    <t>"Confirm Password is required"</t>
  </si>
  <si>
    <t>"Passwords do not match"</t>
  </si>
  <si>
    <t>"Register HR Success"</t>
  </si>
  <si>
    <t>FE_AUTH_002 - Validate HR/Candidate login form fields, error handling, and role-based redirect</t>
  </si>
  <si>
    <t>Email field left empty</t>
  </si>
  <si>
    <t>Password field left empty (valid email entered)</t>
  </si>
  <si>
    <t>Valid HR credentials</t>
  </si>
  <si>
    <t>Valid email, wrong password</t>
  </si>
  <si>
    <t>Valid credentials, account disabled</t>
  </si>
  <si>
    <t>Valid credentials, email not verified</t>
  </si>
  <si>
    <t>Valid Jobseeker credentials</t>
  </si>
  <si>
    <t>Redirects to /hr/dashboard</t>
  </si>
  <si>
    <t>Redirects to /jobseeker</t>
  </si>
  <si>
    <t>Stays on the login form</t>
  </si>
  <si>
    <t>"Email is required"</t>
  </si>
  <si>
    <t>"Email or password is incorrect. Please try again."</t>
  </si>
  <si>
    <t>"Your account has been disabled. Please contact the administrator."</t>
  </si>
  <si>
    <t>Unverified-email confirm dialog opens with Resend/Close options</t>
  </si>
  <si>
    <t>FE_AUTH_003 - Check Job Seeker registration form (step 1) validations</t>
  </si>
  <si>
    <t>Valid</t>
  </si>
  <si>
    <t>Email</t>
  </si>
  <si>
    <t>Valid format</t>
  </si>
  <si>
    <t>Invalid format</t>
  </si>
  <si>
    <t>Valid (8+ chars, has upper/lower/digit/special)</t>
  </si>
  <si>
    <t>Too short (&lt; 8 characters)</t>
  </si>
  <si>
    <t>Missing a complexity class (e.g. no special character)</t>
  </si>
  <si>
    <t>Matches Password</t>
  </si>
  <si>
    <t>Mismatched</t>
  </si>
  <si>
    <t>Server response</t>
  </si>
  <si>
    <t>Email already registered (409)</t>
  </si>
  <si>
    <t>Advances to Step 2 (Target Role / Seniority / Tech Stack)</t>
  </si>
  <si>
    <t>Stays on Step 1 with a field error</t>
  </si>
  <si>
    <t>Jumps back to Step 1, email field shows a duplicate-email error</t>
  </si>
  <si>
    <t>"Họ tên là bắt buộc" (Full name required)</t>
  </si>
  <si>
    <t>"Vui lòng nhập email hợp lệ" (invalid email)</t>
  </si>
  <si>
    <t>"Password must be at least 8 characters"</t>
  </si>
  <si>
    <t>"Password must contain 1 uppercase, 1 lowercase, 1 number and 1 special character"</t>
  </si>
  <si>
    <t>"This email is already registered."</t>
  </si>
  <si>
    <t>FE_AUTH_004 - Check the 6-digit OTP email verification flow and resend behavior</t>
  </si>
  <si>
    <t>No email in the URL query param</t>
  </si>
  <si>
    <t>Correct 6-digit OTP entered</t>
  </si>
  <si>
    <t>Wrong or expired OTP entered</t>
  </si>
  <si>
    <t>Resend clicked while the 60s cooldown is still active</t>
  </si>
  <si>
    <t>Resend clicked after the cooldown expired</t>
  </si>
  <si>
    <t>6 digits pasted at once into the OTP boxes</t>
  </si>
  <si>
    <t>Shows "No email found. Please register again." + back-to-login link</t>
  </si>
  <si>
    <t>Success panel "Email verified!", auto-redirects to /login after 3s</t>
  </si>
  <si>
    <t>OTP boxes clear and refocus</t>
  </si>
  <si>
    <t>Resend button stays disabled, shows "Resend in {{seconds}}s"</t>
  </si>
  <si>
    <t>New code sent, toast "A new verification code has been sent to your email.", cooldown restarts</t>
  </si>
  <si>
    <t>All 6 boxes auto-fill from the pasted value</t>
  </si>
  <si>
    <t>"Invalid or expired verification code. Please try again."</t>
  </si>
  <si>
    <t>FE_AUTH_005 - Check the forgot-password request and reset-password form validations</t>
  </si>
  <si>
    <t>UTCID08</t>
  </si>
  <si>
    <t>Forgot-password form</t>
  </si>
  <si>
    <t>Email format invalid</t>
  </si>
  <si>
    <t>Valid email submitted</t>
  </si>
  <si>
    <t>Reset-password form</t>
  </si>
  <si>
    <t>No token in the URL</t>
  </si>
  <si>
    <t>Token is expired / invalid / already used</t>
  </si>
  <si>
    <t>New password is less than 8 characters</t>
  </si>
  <si>
    <t>Confirm password does not match the new password</t>
  </si>
  <si>
    <t>Valid token, valid matching new password</t>
  </si>
  <si>
    <t>"Email is required."</t>
  </si>
  <si>
    <t>"Please enter a valid email address."</t>
  </si>
  <si>
    <t>Generic success screen "Check your inbox" shown regardless of whether the email exists</t>
  </si>
  <si>
    <t>Token-error panel "This reset link is invalid or has expired." + "Request a new link"</t>
  </si>
  <si>
    <t>"Password must be at least 8 characters."</t>
  </si>
  <si>
    <t>"Passwords do not match."</t>
  </si>
  <si>
    <t>Redirects to /login?reset=success; login page then shows a "Password reset successfully." toast</t>
  </si>
  <si>
    <t>FE_AUTH_006 - Check AdminRouteGuard behavior across session states and its unguarded-route gap</t>
  </si>
  <si>
    <t>Session state</t>
  </si>
  <si>
    <t>Not authenticated, navigates to a guarded admin page (e.g. /admin/users)</t>
  </si>
  <si>
    <t>Authenticated with HR role, navigates to a guarded admin page</t>
  </si>
  <si>
    <t>Authenticated with Jobseeker role, navigates to a guarded admin page</t>
  </si>
  <si>
    <t>Authenticated with Admin role, navigates to a guarded admin page</t>
  </si>
  <si>
    <t>useUser() is still loading (role/auth not resolved yet)</t>
  </si>
  <si>
    <t>Non-admin navigates directly to an UNGUARDED admin page (e.g. /admin/dashboard)</t>
  </si>
  <si>
    <t>Silently redirected to /login, no toast</t>
  </si>
  <si>
    <t>Toast "You do not have permission to access this page.", redirected to /hr/dashboard</t>
  </si>
  <si>
    <t>Toast "You do not have permission to access this page.", redirected to /jobseeker</t>
  </si>
  <si>
    <t>Page renders normally, children shown</t>
  </si>
  <si>
    <t>Centered loading spinner shown instead of children or a redirect</t>
  </si>
  <si>
    <t>Page renders with no access check at all - AdminRouteGuard is only wired into 4 of the admin pages (GAP)</t>
  </si>
  <si>
    <t>FE_AUTH_007 - Check profile edit form validations and avatar upload rules</t>
  </si>
  <si>
    <t>Full Name field cleared to empty</t>
  </si>
  <si>
    <t>LinkedIn or GitHub URL is invalid, field blurred</t>
  </si>
  <si>
    <t>All fields valid</t>
  </si>
  <si>
    <t>Avatar file is not JPG/PNG/GIF/WebP</t>
  </si>
  <si>
    <t>Avatar file exceeds 2MB</t>
  </si>
  <si>
    <t>Avatar file is valid (e.g. JPG, 500KB)</t>
  </si>
  <si>
    <t>User clicks Cancel after making unsaved edits</t>
  </si>
  <si>
    <t>User attempts to edit the Email field</t>
  </si>
  <si>
    <t>Save is blocked, toast "Could not save profile. Please try again."</t>
  </si>
  <si>
    <t>Save button disabled, toast "Enter a valid URL (e.g. https://…)"</t>
  </si>
  <si>
    <t>Save succeeds, toast "Profile saved successfully."</t>
  </si>
  <si>
    <t>Toast "Please choose a JPG, PNG, GIF, or WebP image."</t>
  </si>
  <si>
    <t>Toast "Image must be 2MB or smaller."</t>
  </si>
  <si>
    <t>Avatar preview updates immediately, uploaded before Save is clicked</t>
  </si>
  <si>
    <t>Form reverts to the last-loaded snapshot, unsaved edits discarded</t>
  </si>
  <si>
    <t>Email field is greyed out/disabled with a read-only hint</t>
  </si>
  <si>
    <t>FE_AUTH_008 - Check the admin Manage Users page - search/filter/pagination, activate/deactivate, and subscription actions</t>
  </si>
  <si>
    <t>UTCID09</t>
  </si>
  <si>
    <t>UTCID010</t>
  </si>
  <si>
    <t>Admin types a search term matching a user's name/email</t>
  </si>
  <si>
    <t>Admin selects a Role filter</t>
  </si>
  <si>
    <t>Admin selects a Status filter</t>
  </si>
  <si>
    <t>Admin applies multiple filters then clicks "Clear filters"</t>
  </si>
  <si>
    <t>Admin clicks Next/Previous at the first/last page</t>
  </si>
  <si>
    <t>Admin deactivates a user account and confirms</t>
  </si>
  <si>
    <t>Admin reactivates a suspended account and confirms</t>
  </si>
  <si>
    <t>Admin grants a Premium subscription (e.g. 3 months)</t>
  </si>
  <si>
    <t>Admin revokes a user's Premium subscription and confirms</t>
  </si>
  <si>
    <t>User list fails to load (API error)</t>
  </si>
  <si>
    <t>List filters to matching rows (debounced 300ms)</t>
  </si>
  <si>
    <t>List filters to the selected role, page resets to 1</t>
  </si>
  <si>
    <t>List filters to the selected status, page resets to 1</t>
  </si>
  <si>
    <t>All filters reset, full list restored, page resets to 1</t>
  </si>
  <si>
    <t>Next/Prev buttons disabled at the first/last page boundary</t>
  </si>
  <si>
    <t>Toast "Account status updated.", user shows as Suspended</t>
  </si>
  <si>
    <t>Toast "Account status updated.", user shows as Active</t>
  </si>
  <si>
    <t>Toast success, user's plan updated to Premium with the chosen period</t>
  </si>
  <si>
    <t>Toast success, user downgraded to Free</t>
  </si>
  <si>
    <t>Toast "Failed to load users. Please try again." with a Retry action</t>
  </si>
  <si>
    <t>Premium grant/revoke actions are hidden when the target user's role is ADMIN (by design)</t>
  </si>
  <si>
    <t>BE_API_001 - Verify GET /health and GET /api/v1/health report status based on Ollama connectivity, and require no auth</t>
  </si>
  <si>
    <t>Request</t>
  </si>
  <si>
    <t>Ollama service reachable</t>
  </si>
  <si>
    <t>Ollama service unreachable</t>
  </si>
  <si>
    <t>No X-Internal-Api-Key header sent</t>
  </si>
  <si>
    <t>200 OK, status healthy, system_chunks/hr_chunks counts returned</t>
  </si>
  <si>
    <t>502, success=false, error.code=LLM_ERROR</t>
  </si>
  <si>
    <t>Request succeeds without any API key (health endpoints are unauthenticated)</t>
  </si>
  <si>
    <t>BE_API_002 - Verify X-Internal-Api-Key enforcement across protected endpoints, including the fail-open config gap</t>
  </si>
  <si>
    <t>X-Internal-Api-Key header matches CONFIG["internal_api_key"]</t>
  </si>
  <si>
    <t>X-Internal-Api-Key header is missing entirely</t>
  </si>
  <si>
    <t>X-Internal-Api-Key header present but the value is wrong</t>
  </si>
  <si>
    <t>INTERNAL_API_KEY env var is empty/unset on the server</t>
  </si>
  <si>
    <t>Request proceeds to the endpoint handler</t>
  </si>
  <si>
    <t>401, raw body {"detail": "Invalid internal API key"} (not wrapped in the ApiResponse envelope)</t>
  </si>
  <si>
    <t>Auth is silently disabled for ALL protected endpoints when the config key is empty (fail-open, not fail-closed)</t>
  </si>
  <si>
    <t>BE_API_003 - Verify POST /api/v1/chat request validation, including the empty-question gap</t>
  </si>
  <si>
    <t>Request body</t>
  </si>
  <si>
    <t>question is a valid non-empty string</t>
  </si>
  <si>
    <t>question is an empty string ""</t>
  </si>
  <si>
    <t>Body is malformed JSON / wrong field type</t>
  </si>
  <si>
    <t>X-Internal-Api-Key missing</t>
  </si>
  <si>
    <t>200, answer returned in the ApiResponse envelope</t>
  </si>
  <si>
    <t>200 with a low-quality/garbage answer - no server-side validation rejects an empty question</t>
  </si>
  <si>
    <t>422, FastAPI validation error body {"detail":[...]}</t>
  </si>
  <si>
    <t>401 Invalid internal API key</t>
  </si>
  <si>
    <t>Empty question is never rejected server-side (GAP)</t>
  </si>
  <si>
    <t>BE_API_004 - Verify POST /api/v1/knowledge/system/files upload validation (extension/size/count/filename)</t>
  </si>
  <si>
    <t>Upload</t>
  </si>
  <si>
    <t>.pdf file, 5MB</t>
  </si>
  <si>
    <t>.exe file (unsupported extension)</t>
  </si>
  <si>
    <t>.pdf file, 30MB (over the 25MB limit)</t>
  </si>
  <si>
    <t>21 files attached in one request (over max_upload_files=20)</t>
  </si>
  <si>
    <t>files field sent but empty</t>
  </si>
  <si>
    <t>filename contains path traversal (e.g. "../../secrets.txt")</t>
  </si>
  <si>
    <t>200, file ingested successfully</t>
  </si>
  <si>
    <t>422, error.code=INGEST_FAILED</t>
  </si>
  <si>
    <t>400, raw HTTPException for an empty files array</t>
  </si>
  <si>
    <t>Filename is sanitized/rejected, not written outside the intended directory</t>
  </si>
  <si>
    <t>BE_API_005 - Verify POST /api/v1/knowledge/hr/{owner_id}/files validation, including blank owner_id</t>
  </si>
  <si>
    <t>owner_id is a valid non-empty string, valid file attached</t>
  </si>
  <si>
    <t>owner_id is blank/empty in the path</t>
  </si>
  <si>
    <t>owner_id contains special/unexpected characters</t>
  </si>
  <si>
    <t>200, file ingested under the HR-specific knowledge base</t>
  </si>
  <si>
    <t>400, raw HTTPException for blank owner_id</t>
  </si>
  <si>
    <t>Behavior for a special-character owner_id is unverified (edge case worth confirming)</t>
  </si>
  <si>
    <t>BE_API_006 - Verify JD ingest validation rules (min/max chars/words, line count, printable ratio, keyword signal groups)</t>
  </si>
  <si>
    <t>JD content</t>
  </si>
  <si>
    <t>500 characters, 90 words, well-structured</t>
  </si>
  <si>
    <t>350 characters (below jd_min_chars=400)</t>
  </si>
  <si>
    <t>35,000 characters (above jd_max_chars=30000)</t>
  </si>
  <si>
    <t>60 words (below jd_min_words=80)</t>
  </si>
  <si>
    <t>5,500 words (above jd_max_words=5000)</t>
  </si>
  <si>
    <t>Only 3 non-empty lines</t>
  </si>
  <si>
    <t>Text matches fewer than 2 of the 4 keyword signal groups</t>
  </si>
  <si>
    <t>70%+ of lines are trivial bullet points</t>
  </si>
  <si>
    <t>Ingestion proceeds normally</t>
  </si>
  <si>
    <t>422, error.code=JD_INVALID with a per-file validation_errors list</t>
  </si>
  <si>
    <t>BE_API_007 - Verify POST /api/v1/interview-plans/start validation and the vector-store-readiness gate</t>
  </si>
  <si>
    <t>Request / state</t>
  </si>
  <si>
    <t>Valid owner_id, vector store is_ready=true</t>
  </si>
  <si>
    <t>owner_id is blank</t>
  </si>
  <si>
    <t>Vector store is_ready=false (ingest-system/ingest-hr not run yet)</t>
  </si>
  <si>
    <t>Vector store ready, but no chunks match the query in system_kb/hr_kb</t>
  </si>
  <si>
    <t>200, plan draft returned</t>
  </si>
  <si>
    <t>422/PLAN_ERROR, "owner_id không hợp lệ."</t>
  </si>
  <si>
    <t>422, error.code=NOT_READY, "Chưa có dữ liệu. Chạy ingest-system và ingest-hr trước."</t>
  </si>
  <si>
    <t>422, error.code=PLAN_ERROR, "Không tìm thấy tài liệu liên quan trong system_kb hoặc hr_kb."</t>
  </si>
  <si>
    <t>BE_API_008 - Verify POST /api/v1/interview-plans/messages clarify-turn cap (max_plan_turns=5)</t>
  </si>
  <si>
    <t>1st-4th clarify turn on the same plan session</t>
  </si>
  <si>
    <t>5th clarify turn (at the max_plan_turns=5 cap)</t>
  </si>
  <si>
    <t>6th clarify turn attempted (exceeds the cap)</t>
  </si>
  <si>
    <t>message field is empty</t>
  </si>
  <si>
    <t>200, plan updated based on the clarify message</t>
  </si>
  <si>
    <t>Error: "Đã vượt quá 5 lượt clarify..."</t>
  </si>
  <si>
    <t>Empty message is passed through with no explicit rejection (unverified, needs confirmation)</t>
  </si>
  <si>
    <t>BE_API_009 - Verify POST /api/v1/interview-plans/confirm validation, including the question_count 1-30 bound</t>
  </si>
  <si>
    <t>plan_draft provided, question_count=10</t>
  </si>
  <si>
    <t>plan_draft missing entirely</t>
  </si>
  <si>
    <t>question_count=0</t>
  </si>
  <si>
    <t>question_count=31</t>
  </si>
  <si>
    <t>question_types contains a value outside {technical, behavioral, situational}</t>
  </si>
  <si>
    <t>200, plan confirmed</t>
  </si>
  <si>
    <t>Error, plan_draft required</t>
  </si>
  <si>
    <t>Error: "question_count phải từ 1 đến 30."</t>
  </si>
  <si>
    <t>question_types validated against the allowed set, invalid values rejected</t>
  </si>
  <si>
    <t>BE_API_010 - Verify POST /api/v1/interview-questions validation, including the missing question_count bound check on this direct path</t>
  </si>
  <si>
    <t>confirmed_plan object provided</t>
  </si>
  <si>
    <t>owner_id, role, and level all provided (no confirmed_plan)</t>
  </si>
  <si>
    <t>Neither confirmed_plan nor owner_id/role/level given</t>
  </si>
  <si>
    <t>question_count=500 sent on this direct (non-plan) generation path</t>
  </si>
  <si>
    <t>200, questions generated from the confirmed plan</t>
  </si>
  <si>
    <t>200, questions generated from owner_id/role/level</t>
  </si>
  <si>
    <t>400, "Cần confirmed_plan hoặc owner_id/role/level."</t>
  </si>
  <si>
    <t>question_count is NOT bounds-checked on this path (unlike the plan-confirm path) - KNOWN GAP</t>
  </si>
  <si>
    <t>BE_API_011 - API-contract finding: two incompatible error response shapes coexist across the API</t>
  </si>
  <si>
    <t>Error source</t>
  </si>
  <si>
    <t>Business-logic error on a /api/v1/* route (e.g. JD_INVALID, NOT_READY)</t>
  </si>
  <si>
    <t>Raw HTTPException (401 auth failure, blank owner_id 400)</t>
  </si>
  <si>
    <t>FastAPI automatic request validation error (malformed JSON/wrong types)</t>
  </si>
  <si>
    <t>Response follows the ApiResponse envelope: {success,data,error:{code,message,details},meta}</t>
  </si>
  <si>
    <t>Response is plain {"detail": "..."} - does NOT follow the ApiResponse envelope</t>
  </si>
  <si>
    <t>API consumers must handle 2 different error body shapes depending on the failure type (CONTRACT INCONSISTENCY)</t>
  </si>
  <si>
    <t>BE_API_012 - Verify Ollama-down behavior differs by endpoint - proper 502 LLM_ERROR mapping on plan endpoints vs an unhandled raw 500 on chat/question-generation</t>
  </si>
  <si>
    <t>Ollama unreachable during a plan-start call (wrapped in try/except)</t>
  </si>
  <si>
    <t>Ollama unreachable during a chat call (NOT wrapped in try/except)</t>
  </si>
  <si>
    <t>Ollama unreachable during interview-questions generation (no try/except around the LLM call)</t>
  </si>
  <si>
    <t>502, error.code=LLM_ERROR, ApiResponse envelope</t>
  </si>
  <si>
    <t>Raw unhandled 500 with a generic body, NOT the ApiResponse envelope (INCONSISTENT LLM failure handling)</t>
  </si>
  <si>
    <t>BE_API_013 - Verify legacy (unprefixed) endpoints are still live but hidden from OpenAPI docs, with deprecation headers</t>
  </si>
  <si>
    <t>GET /status (legacy path, no /api/v1 prefix)</t>
  </si>
  <si>
    <t>POST /chat (legacy)</t>
  </si>
  <si>
    <t>POST /generate-questions (legacy)</t>
  </si>
  <si>
    <t>Open /api/v1/docs and look for these legacy routes</t>
  </si>
  <si>
    <t>200, response includes Deprecation and Sunset: 2026-09-01 headers</t>
  </si>
  <si>
    <t>Legacy routes are absent from the OpenAPI docs despite being fully functional</t>
  </si>
  <si>
    <t>Still requires a valid X-Internal-Api-Key like all v1 routes</t>
  </si>
  <si>
    <t>BE_API_014 - Verify there is no async job/polling pattern - generation calls block synchronously with no configured timeout</t>
  </si>
  <si>
    <t>Ollama responds normally within a few seconds</t>
  </si>
  <si>
    <t>Ollama hangs/responds very slowly during a generation call</t>
  </si>
  <si>
    <t>HTTP response returns promptly once generation completes (fully synchronous, no job ID/polling)</t>
  </si>
  <si>
    <t>Request hangs indefinitely from the client's perspective - no timeout configured (RISK)</t>
  </si>
  <si>
    <t>BE_API_015 - Static finding: no CORSMiddleware configured; browser-based cross-origin calls have undefined preflight behavior</t>
  </si>
  <si>
    <t>Caller</t>
  </si>
  <si>
    <t>Server-to-server call (current architecture - Next.js API routes forward with the internal key)</t>
  </si>
  <si>
    <t>Direct browser fetch from a different origin (not how the app is wired today)</t>
  </si>
  <si>
    <t>Request succeeds normally, no CORS involved</t>
  </si>
  <si>
    <t>OPTIONS preflight / cross-origin headers are undefined (no CORSMiddleware) - would fail in a browser if ever called directly (LATENT RISK)</t>
  </si>
  <si>
    <t>BE_API_016 - Static finding: no rate limiting exists on any endpoint, including expensive LLM-backed ones</t>
  </si>
  <si>
    <t>Many rapid repeated requests to /api/v1/chat from the same caller</t>
  </si>
  <si>
    <t>Many rapid repeated requests to /api/v1/interview-questions from the same caller</t>
  </si>
  <si>
    <t>All requests are accepted and processed, no 429 or throttling of any kind (LATENT RISK for cost/availability)</t>
  </si>
  <si>
    <t>BE_API_017 - Static finding: missing/misconfigured env vars do not crash startup, only fail at request time</t>
  </si>
  <si>
    <t>Startup config</t>
  </si>
  <si>
    <t>OLLAMA_BASE_URL is missing or invalid</t>
  </si>
  <si>
    <t>INTERNAL_API_KEY is missing/empty</t>
  </si>
  <si>
    <t>Chroma persist directory path is misconfigured</t>
  </si>
  <si>
    <t>App boots successfully; failure only surfaces later at request time via /health status:error</t>
  </si>
  <si>
    <t>App boots successfully; auth is silently disabled for all endpoints</t>
  </si>
  <si>
    <t>Depends on whether the Chroma client raises at import time - potential hard crash on boot vs silent misbehavior (needs confirmation)</t>
  </si>
  <si>
    <t>BE_API_018 - Verify the ingestion file-extension allow-list (.pdf .docx .txt .md .json .xlsx .xls) is enforced consistently</t>
  </si>
  <si>
    <t>File extension</t>
  </si>
  <si>
    <t>.pdf</t>
  </si>
  <si>
    <t>.docx</t>
  </si>
  <si>
    <t>.txt</t>
  </si>
  <si>
    <t>.md</t>
  </si>
  <si>
    <t>.json</t>
  </si>
  <si>
    <t>.xlsx</t>
  </si>
  <si>
    <t>.xls</t>
  </si>
  <si>
    <t>.exe</t>
  </si>
  <si>
    <t>.zip</t>
  </si>
  <si>
    <t>File is accepted and ingested</t>
  </si>
  <si>
    <t>422, error.code=INGEST_FAILED, extension not in the allow-list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</si>
</sst>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mm/dd"/>
  </numFmts>
  <fonts count="59">
    <font>
      <sz val="11"/>
      <color theme="1"/>
      <name val="Calibri"/>
      <charset val="134"/>
      <scheme val="minor"/>
    </font>
    <font>
      <b/>
      <sz val="8"/>
      <name val="Tahoma"/>
      <charset val="134"/>
    </font>
    <font>
      <i/>
      <sz val="8"/>
      <name val="Tahoma"/>
      <charset val="134"/>
    </font>
    <font>
      <sz val="8"/>
      <name val="Tahoma"/>
      <charset val="134"/>
    </font>
    <font>
      <b/>
      <sz val="8"/>
      <color rgb="FFFFFFFF"/>
      <name val="Tahoma"/>
      <charset val="134"/>
    </font>
    <font>
      <b/>
      <sz val="11"/>
      <color rgb="FFFFFFFF"/>
      <name val="Calibri"/>
      <charset val="134"/>
      <scheme val="minor"/>
    </font>
    <font>
      <sz val="11"/>
      <color rgb="FF1B7A3D"/>
      <name val="Calibri"/>
      <charset val="134"/>
      <scheme val="minor"/>
    </font>
    <font>
      <sz val="11"/>
      <color rgb="FFB00020"/>
      <name val="Calibri"/>
      <charset val="134"/>
      <scheme val="minor"/>
    </font>
    <font>
      <sz val="11"/>
      <color rgb="FF9C6500"/>
      <name val="Calibri"/>
      <charset val="134"/>
      <scheme val="minor"/>
    </font>
    <font>
      <i/>
      <sz val="11"/>
      <color rgb="FF808080"/>
      <name val="Calibri"/>
      <charset val="134"/>
      <scheme val="minor"/>
    </font>
    <font>
      <b/>
      <sz val="11"/>
      <name val="Calibri"/>
      <charset val="134"/>
      <scheme val="minor"/>
    </font>
    <font>
      <i/>
      <sz val="11"/>
      <name val="Calibri"/>
      <charset val="134"/>
      <scheme val="minor"/>
    </font>
    <font>
      <b/>
      <sz val="13"/>
      <color rgb="FFFFFFFF"/>
      <name val="Calibri"/>
      <charset val="134"/>
      <scheme val="minor"/>
    </font>
    <font>
      <b/>
      <sz val="8"/>
      <color theme="1"/>
      <name val="Tahoma"/>
      <charset val="134"/>
    </font>
    <font>
      <sz val="11"/>
      <name val="Calibri"/>
      <charset val="134"/>
    </font>
    <font>
      <i/>
      <sz val="8"/>
      <color theme="1"/>
      <name val="Tahoma"/>
      <charset val="134"/>
    </font>
    <font>
      <sz val="8"/>
      <color theme="1"/>
      <name val="Tahoma"/>
      <charset val="134"/>
    </font>
    <font>
      <sz val="8"/>
      <color rgb="FFFFFFFF"/>
      <name val="Tahoma"/>
      <charset val="134"/>
    </font>
    <font>
      <b/>
      <sz val="12"/>
      <color theme="1"/>
      <name val="Courier New"/>
      <charset val="134"/>
    </font>
    <font>
      <b/>
      <sz val="8"/>
      <color theme="1"/>
      <name val="Courier New"/>
      <charset val="134"/>
    </font>
    <font>
      <sz val="11"/>
      <color theme="1"/>
      <name val="MS PGothic"/>
      <charset val="134"/>
    </font>
    <font>
      <sz val="8"/>
      <color theme="1"/>
      <name val="Courier New"/>
      <charset val="134"/>
    </font>
    <font>
      <sz val="8"/>
      <color rgb="FF008000"/>
      <name val="Tahoma"/>
      <charset val="134"/>
    </font>
    <font>
      <b/>
      <sz val="20"/>
      <color rgb="FF000000"/>
      <name val="Tahoma"/>
      <charset val="134"/>
    </font>
    <font>
      <b/>
      <sz val="10"/>
      <color theme="1"/>
      <name val="Tahoma"/>
      <charset val="134"/>
    </font>
    <font>
      <sz val="10"/>
      <color theme="1"/>
      <name val="Tahoma"/>
      <charset val="134"/>
    </font>
    <font>
      <i/>
      <sz val="10"/>
      <color theme="1"/>
      <name val="Tahoma"/>
      <charset val="134"/>
    </font>
    <font>
      <b/>
      <sz val="10"/>
      <color rgb="FF993300"/>
      <name val="Tahoma"/>
      <charset val="134"/>
    </font>
    <font>
      <i/>
      <sz val="10"/>
      <color rgb="FF008000"/>
      <name val="Tahoma"/>
      <charset val="134"/>
    </font>
    <font>
      <b/>
      <sz val="10"/>
      <color rgb="FFFFFFFF"/>
      <name val="Tahoma"/>
      <charset val="134"/>
    </font>
    <font>
      <b/>
      <sz val="10"/>
      <color rgb="FF000000"/>
      <name val="Tahoma"/>
      <charset val="134"/>
    </font>
    <font>
      <b/>
      <sz val="10"/>
      <color rgb="FFFF0000"/>
      <name val="Tahoma"/>
      <charset val="134"/>
    </font>
    <font>
      <b/>
      <sz val="26"/>
      <color rgb="FFFF0000"/>
      <name val="Tahoma"/>
      <charset val="134"/>
    </font>
    <font>
      <b/>
      <sz val="18"/>
      <color theme="1"/>
      <name val="Tahoma"/>
      <charset val="134"/>
    </font>
    <font>
      <b/>
      <sz val="11"/>
      <color theme="1"/>
      <name val="Tahoma"/>
      <charset val="134"/>
    </font>
    <font>
      <b/>
      <sz val="12"/>
      <color theme="1"/>
      <name val="Tahoma"/>
      <charset val="134"/>
    </font>
    <font>
      <b/>
      <sz val="14"/>
      <color theme="1"/>
      <name val="Tahoma"/>
      <charset val="134"/>
    </font>
    <font>
      <sz val="11"/>
      <color theme="1"/>
      <name val="Tahoma"/>
      <charset val="134"/>
    </font>
    <font>
      <i/>
      <sz val="11"/>
      <color theme="1"/>
      <name val="Tahoma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000080"/>
        <bgColor indexed="64"/>
      </patternFill>
    </fill>
    <fill>
      <patternFill patternType="solid">
        <fgColor rgb="FFFFE0E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000080"/>
        <bgColor rgb="FF000080"/>
      </patternFill>
    </fill>
    <fill>
      <patternFill patternType="solid">
        <fgColor rgb="FFFF9900"/>
        <bgColor rgb="FFFF9900"/>
      </patternFill>
    </fill>
    <fill>
      <patternFill patternType="solid">
        <fgColor rgb="FF333399"/>
        <bgColor rgb="FF333399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82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/>
      <right style="double">
        <color rgb="FF000000"/>
      </right>
      <top style="double">
        <color rgb="FF000000"/>
      </top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 style="medium">
        <color rgb="FFFFFFFF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double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/>
      <right/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double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double">
        <color rgb="FF000000"/>
      </right>
      <top/>
      <bottom/>
      <diagonal/>
    </border>
    <border>
      <left style="thin">
        <color rgb="FF000000"/>
      </left>
      <right/>
      <top style="double">
        <color rgb="FF000000"/>
      </top>
      <bottom style="thin">
        <color rgb="FF000000"/>
      </bottom>
      <diagonal/>
    </border>
    <border>
      <left/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double">
        <color rgb="FF000000"/>
      </top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/>
      <bottom style="double">
        <color rgb="FF000000"/>
      </bottom>
      <diagonal/>
    </border>
    <border>
      <left/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/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39" fillId="0" borderId="0" applyFont="0" applyFill="0" applyBorder="0" applyAlignment="0" applyProtection="0">
      <alignment vertical="center"/>
    </xf>
    <xf numFmtId="44" fontId="39" fillId="0" borderId="0" applyFont="0" applyFill="0" applyBorder="0" applyAlignment="0" applyProtection="0">
      <alignment vertical="center"/>
    </xf>
    <xf numFmtId="9" fontId="39" fillId="0" borderId="0" applyFont="0" applyFill="0" applyBorder="0" applyAlignment="0" applyProtection="0">
      <alignment vertical="center"/>
    </xf>
    <xf numFmtId="177" fontId="39" fillId="0" borderId="0" applyFont="0" applyFill="0" applyBorder="0" applyAlignment="0" applyProtection="0">
      <alignment vertical="center"/>
    </xf>
    <xf numFmtId="42" fontId="39" fillId="0" borderId="0" applyFont="0" applyFill="0" applyBorder="0" applyAlignment="0" applyProtection="0">
      <alignment vertical="center"/>
    </xf>
    <xf numFmtId="0" fontId="40" fillId="0" borderId="0" applyNumberFormat="0" applyFill="0" applyBorder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39" fillId="9" borderId="74" applyNumberFormat="0" applyFont="0" applyAlignment="0" applyProtection="0">
      <alignment vertical="center"/>
    </xf>
    <xf numFmtId="0" fontId="42" fillId="0" borderId="0" applyNumberFormat="0" applyFill="0" applyBorder="0" applyAlignment="0" applyProtection="0">
      <alignment vertical="center"/>
    </xf>
    <xf numFmtId="0" fontId="43" fillId="0" borderId="0" applyNumberFormat="0" applyFill="0" applyBorder="0" applyAlignment="0" applyProtection="0">
      <alignment vertical="center"/>
    </xf>
    <xf numFmtId="0" fontId="44" fillId="0" borderId="0" applyNumberFormat="0" applyFill="0" applyBorder="0" applyAlignment="0" applyProtection="0">
      <alignment vertical="center"/>
    </xf>
    <xf numFmtId="0" fontId="45" fillId="0" borderId="75" applyNumberFormat="0" applyFill="0" applyAlignment="0" applyProtection="0">
      <alignment vertical="center"/>
    </xf>
    <xf numFmtId="0" fontId="46" fillId="0" borderId="75" applyNumberFormat="0" applyFill="0" applyAlignment="0" applyProtection="0">
      <alignment vertical="center"/>
    </xf>
    <xf numFmtId="0" fontId="47" fillId="0" borderId="76" applyNumberFormat="0" applyFill="0" applyAlignment="0" applyProtection="0">
      <alignment vertical="center"/>
    </xf>
    <xf numFmtId="0" fontId="47" fillId="0" borderId="0" applyNumberFormat="0" applyFill="0" applyBorder="0" applyAlignment="0" applyProtection="0">
      <alignment vertical="center"/>
    </xf>
    <xf numFmtId="0" fontId="48" fillId="10" borderId="77" applyNumberFormat="0" applyAlignment="0" applyProtection="0">
      <alignment vertical="center"/>
    </xf>
    <xf numFmtId="0" fontId="49" fillId="11" borderId="78" applyNumberFormat="0" applyAlignment="0" applyProtection="0">
      <alignment vertical="center"/>
    </xf>
    <xf numFmtId="0" fontId="50" fillId="11" borderId="77" applyNumberFormat="0" applyAlignment="0" applyProtection="0">
      <alignment vertical="center"/>
    </xf>
    <xf numFmtId="0" fontId="51" fillId="12" borderId="79" applyNumberFormat="0" applyAlignment="0" applyProtection="0">
      <alignment vertical="center"/>
    </xf>
    <xf numFmtId="0" fontId="52" fillId="0" borderId="80" applyNumberFormat="0" applyFill="0" applyAlignment="0" applyProtection="0">
      <alignment vertical="center"/>
    </xf>
    <xf numFmtId="0" fontId="53" fillId="0" borderId="81" applyNumberFormat="0" applyFill="0" applyAlignment="0" applyProtection="0">
      <alignment vertical="center"/>
    </xf>
    <xf numFmtId="0" fontId="54" fillId="13" borderId="0" applyNumberFormat="0" applyBorder="0" applyAlignment="0" applyProtection="0">
      <alignment vertical="center"/>
    </xf>
    <xf numFmtId="0" fontId="55" fillId="14" borderId="0" applyNumberFormat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57" fillId="16" borderId="0" applyNumberFormat="0" applyBorder="0" applyAlignment="0" applyProtection="0">
      <alignment vertical="center"/>
    </xf>
    <xf numFmtId="0" fontId="58" fillId="17" borderId="0" applyNumberFormat="0" applyBorder="0" applyAlignment="0" applyProtection="0">
      <alignment vertical="center"/>
    </xf>
    <xf numFmtId="0" fontId="58" fillId="18" borderId="0" applyNumberFormat="0" applyBorder="0" applyAlignment="0" applyProtection="0">
      <alignment vertical="center"/>
    </xf>
    <xf numFmtId="0" fontId="57" fillId="19" borderId="0" applyNumberFormat="0" applyBorder="0" applyAlignment="0" applyProtection="0">
      <alignment vertical="center"/>
    </xf>
    <xf numFmtId="0" fontId="57" fillId="20" borderId="0" applyNumberFormat="0" applyBorder="0" applyAlignment="0" applyProtection="0">
      <alignment vertical="center"/>
    </xf>
    <xf numFmtId="0" fontId="58" fillId="21" borderId="0" applyNumberFormat="0" applyBorder="0" applyAlignment="0" applyProtection="0">
      <alignment vertical="center"/>
    </xf>
    <xf numFmtId="0" fontId="58" fillId="22" borderId="0" applyNumberFormat="0" applyBorder="0" applyAlignment="0" applyProtection="0">
      <alignment vertical="center"/>
    </xf>
    <xf numFmtId="0" fontId="57" fillId="23" borderId="0" applyNumberFormat="0" applyBorder="0" applyAlignment="0" applyProtection="0">
      <alignment vertical="center"/>
    </xf>
    <xf numFmtId="0" fontId="57" fillId="24" borderId="0" applyNumberFormat="0" applyBorder="0" applyAlignment="0" applyProtection="0">
      <alignment vertical="center"/>
    </xf>
    <xf numFmtId="0" fontId="58" fillId="25" borderId="0" applyNumberFormat="0" applyBorder="0" applyAlignment="0" applyProtection="0">
      <alignment vertical="center"/>
    </xf>
    <xf numFmtId="0" fontId="58" fillId="26" borderId="0" applyNumberFormat="0" applyBorder="0" applyAlignment="0" applyProtection="0">
      <alignment vertical="center"/>
    </xf>
    <xf numFmtId="0" fontId="57" fillId="27" borderId="0" applyNumberFormat="0" applyBorder="0" applyAlignment="0" applyProtection="0">
      <alignment vertical="center"/>
    </xf>
    <xf numFmtId="0" fontId="57" fillId="28" borderId="0" applyNumberFormat="0" applyBorder="0" applyAlignment="0" applyProtection="0">
      <alignment vertical="center"/>
    </xf>
    <xf numFmtId="0" fontId="58" fillId="29" borderId="0" applyNumberFormat="0" applyBorder="0" applyAlignment="0" applyProtection="0">
      <alignment vertical="center"/>
    </xf>
    <xf numFmtId="0" fontId="58" fillId="30" borderId="0" applyNumberFormat="0" applyBorder="0" applyAlignment="0" applyProtection="0">
      <alignment vertical="center"/>
    </xf>
    <xf numFmtId="0" fontId="57" fillId="31" borderId="0" applyNumberFormat="0" applyBorder="0" applyAlignment="0" applyProtection="0">
      <alignment vertical="center"/>
    </xf>
    <xf numFmtId="0" fontId="57" fillId="32" borderId="0" applyNumberFormat="0" applyBorder="0" applyAlignment="0" applyProtection="0">
      <alignment vertical="center"/>
    </xf>
    <xf numFmtId="0" fontId="58" fillId="33" borderId="0" applyNumberFormat="0" applyBorder="0" applyAlignment="0" applyProtection="0">
      <alignment vertical="center"/>
    </xf>
    <xf numFmtId="0" fontId="58" fillId="34" borderId="0" applyNumberFormat="0" applyBorder="0" applyAlignment="0" applyProtection="0">
      <alignment vertical="center"/>
    </xf>
    <xf numFmtId="0" fontId="57" fillId="35" borderId="0" applyNumberFormat="0" applyBorder="0" applyAlignment="0" applyProtection="0">
      <alignment vertical="center"/>
    </xf>
    <xf numFmtId="0" fontId="57" fillId="36" borderId="0" applyNumberFormat="0" applyBorder="0" applyAlignment="0" applyProtection="0">
      <alignment vertical="center"/>
    </xf>
    <xf numFmtId="0" fontId="58" fillId="37" borderId="0" applyNumberFormat="0" applyBorder="0" applyAlignment="0" applyProtection="0">
      <alignment vertical="center"/>
    </xf>
    <xf numFmtId="0" fontId="58" fillId="38" borderId="0" applyNumberFormat="0" applyBorder="0" applyAlignment="0" applyProtection="0">
      <alignment vertical="center"/>
    </xf>
    <xf numFmtId="0" fontId="57" fillId="39" borderId="0" applyNumberFormat="0" applyBorder="0" applyAlignment="0" applyProtection="0">
      <alignment vertical="center"/>
    </xf>
  </cellStyleXfs>
  <cellXfs count="243">
    <xf numFmtId="0" fontId="0" fillId="0" borderId="0" xfId="0"/>
    <xf numFmtId="0" fontId="1" fillId="0" borderId="1" xfId="0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1" fillId="0" borderId="2" xfId="0" applyFont="1" applyBorder="1" applyAlignment="1">
      <alignment vertical="center" wrapText="1"/>
    </xf>
    <xf numFmtId="0" fontId="3" fillId="0" borderId="3" xfId="0" applyFont="1" applyBorder="1" applyAlignment="1">
      <alignment vertical="center" wrapText="1"/>
    </xf>
    <xf numFmtId="0" fontId="1" fillId="0" borderId="4" xfId="0" applyFont="1" applyBorder="1" applyAlignment="1">
      <alignment vertical="center" wrapText="1"/>
    </xf>
    <xf numFmtId="0" fontId="3" fillId="0" borderId="5" xfId="0" applyFont="1" applyBorder="1" applyAlignment="1">
      <alignment vertical="center" wrapText="1"/>
    </xf>
    <xf numFmtId="0" fontId="1" fillId="0" borderId="5" xfId="0" applyFont="1" applyBorder="1" applyAlignment="1">
      <alignment vertical="center" wrapText="1"/>
    </xf>
    <xf numFmtId="0" fontId="3" fillId="0" borderId="6" xfId="0" applyFont="1" applyBorder="1" applyAlignment="1">
      <alignment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4" xfId="0" applyFont="1" applyBorder="1" applyAlignment="1">
      <alignment vertical="center" wrapText="1"/>
    </xf>
    <xf numFmtId="0" fontId="4" fillId="2" borderId="5" xfId="0" applyFont="1" applyFill="1" applyBorder="1" applyAlignment="1">
      <alignment horizontal="center" vertical="center" textRotation="180" wrapText="1"/>
    </xf>
    <xf numFmtId="0" fontId="4" fillId="2" borderId="6" xfId="0" applyFont="1" applyFill="1" applyBorder="1" applyAlignment="1">
      <alignment horizontal="center" vertical="center" textRotation="180" wrapText="1"/>
    </xf>
    <xf numFmtId="0" fontId="4" fillId="2" borderId="4" xfId="0" applyFont="1" applyFill="1" applyBorder="1" applyAlignment="1">
      <alignment horizontal="center" vertical="center" wrapText="1"/>
    </xf>
    <xf numFmtId="0" fontId="1" fillId="0" borderId="5" xfId="0" applyFont="1" applyBorder="1" applyAlignment="1">
      <alignment horizontal="left" vertical="top" wrapText="1"/>
    </xf>
    <xf numFmtId="0" fontId="3" fillId="0" borderId="5" xfId="0" applyFont="1" applyBorder="1" applyAlignment="1">
      <alignment horizontal="right" vertical="top" wrapText="1"/>
    </xf>
    <xf numFmtId="0" fontId="4" fillId="2" borderId="7" xfId="0" applyFont="1" applyFill="1" applyBorder="1" applyAlignment="1">
      <alignment horizontal="center" vertical="center" wrapText="1"/>
    </xf>
    <xf numFmtId="0" fontId="3" fillId="0" borderId="5" xfId="0" applyFont="1" applyBorder="1" applyAlignment="1">
      <alignment horizontal="left" vertical="top" wrapText="1"/>
    </xf>
    <xf numFmtId="0" fontId="3" fillId="0" borderId="8" xfId="0" applyFont="1" applyBorder="1" applyAlignment="1">
      <alignment horizontal="left" vertical="top" wrapText="1"/>
    </xf>
    <xf numFmtId="0" fontId="3" fillId="0" borderId="8" xfId="0" applyFont="1" applyBorder="1" applyAlignment="1">
      <alignment vertical="center" wrapText="1"/>
    </xf>
    <xf numFmtId="0" fontId="3" fillId="0" borderId="9" xfId="0" applyFont="1" applyBorder="1" applyAlignment="1">
      <alignment vertical="center" wrapText="1"/>
    </xf>
    <xf numFmtId="0" fontId="5" fillId="2" borderId="1" xfId="0" applyFont="1" applyFill="1" applyBorder="1" applyAlignment="1">
      <alignment vertical="center"/>
    </xf>
    <xf numFmtId="0" fontId="5" fillId="2" borderId="2" xfId="0" applyFont="1" applyFill="1" applyBorder="1" applyAlignment="1">
      <alignment vertical="center"/>
    </xf>
    <xf numFmtId="0" fontId="5" fillId="2" borderId="3" xfId="0" applyFont="1" applyFill="1" applyBorder="1" applyAlignment="1">
      <alignment vertical="center"/>
    </xf>
    <xf numFmtId="0" fontId="0" fillId="0" borderId="4" xfId="0" applyBorder="1" applyAlignment="1">
      <alignment vertical="center" wrapText="1"/>
    </xf>
    <xf numFmtId="0" fontId="0" fillId="0" borderId="5" xfId="0" applyBorder="1" applyAlignment="1">
      <alignment vertical="center" wrapText="1"/>
    </xf>
    <xf numFmtId="0" fontId="6" fillId="0" borderId="6" xfId="0" applyFont="1" applyBorder="1" applyAlignment="1">
      <alignment vertical="center" wrapText="1"/>
    </xf>
    <xf numFmtId="0" fontId="7" fillId="0" borderId="6" xfId="0" applyFont="1" applyBorder="1" applyAlignment="1">
      <alignment vertical="center" wrapText="1"/>
    </xf>
    <xf numFmtId="0" fontId="8" fillId="0" borderId="6" xfId="0" applyFont="1" applyBorder="1" applyAlignment="1">
      <alignment vertical="center" wrapText="1"/>
    </xf>
    <xf numFmtId="0" fontId="9" fillId="0" borderId="6" xfId="0" applyFont="1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8" fillId="0" borderId="9" xfId="0" applyFont="1" applyBorder="1" applyAlignment="1">
      <alignment vertical="center" wrapText="1"/>
    </xf>
    <xf numFmtId="0" fontId="10" fillId="0" borderId="1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0" fillId="0" borderId="3" xfId="0" applyFont="1" applyBorder="1" applyAlignment="1">
      <alignment vertical="center" wrapText="1"/>
    </xf>
    <xf numFmtId="0" fontId="11" fillId="0" borderId="7" xfId="0" applyFont="1" applyBorder="1" applyAlignment="1">
      <alignment vertical="center" wrapText="1"/>
    </xf>
    <xf numFmtId="0" fontId="11" fillId="0" borderId="8" xfId="0" applyFont="1" applyBorder="1" applyAlignment="1">
      <alignment vertical="center" wrapText="1"/>
    </xf>
    <xf numFmtId="0" fontId="11" fillId="0" borderId="9" xfId="0" applyFont="1" applyBorder="1" applyAlignment="1">
      <alignment vertical="center" wrapText="1"/>
    </xf>
    <xf numFmtId="0" fontId="12" fillId="2" borderId="10" xfId="0" applyFont="1" applyFill="1" applyBorder="1" applyAlignment="1">
      <alignment horizontal="left" vertical="center" wrapText="1"/>
    </xf>
    <xf numFmtId="0" fontId="10" fillId="3" borderId="1" xfId="0" applyFont="1" applyFill="1" applyBorder="1" applyAlignment="1">
      <alignment vertical="center" wrapText="1"/>
    </xf>
    <xf numFmtId="0" fontId="10" fillId="0" borderId="6" xfId="0" applyFont="1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13" fillId="4" borderId="11" xfId="0" applyFont="1" applyFill="1" applyBorder="1" applyAlignment="1">
      <alignment horizontal="left" wrapText="1"/>
    </xf>
    <xf numFmtId="0" fontId="14" fillId="0" borderId="12" xfId="0" applyFont="1" applyBorder="1"/>
    <xf numFmtId="49" fontId="15" fillId="4" borderId="13" xfId="0" applyNumberFormat="1" applyFont="1" applyFill="1" applyBorder="1" applyAlignment="1">
      <alignment horizontal="left" wrapText="1"/>
    </xf>
    <xf numFmtId="0" fontId="14" fillId="0" borderId="14" xfId="0" applyFont="1" applyBorder="1"/>
    <xf numFmtId="0" fontId="13" fillId="4" borderId="15" xfId="0" applyFont="1" applyFill="1" applyBorder="1" applyAlignment="1">
      <alignment horizontal="left" wrapText="1"/>
    </xf>
    <xf numFmtId="0" fontId="14" fillId="0" borderId="16" xfId="0" applyFont="1" applyBorder="1"/>
    <xf numFmtId="49" fontId="16" fillId="4" borderId="13" xfId="0" applyNumberFormat="1" applyFont="1" applyFill="1" applyBorder="1" applyAlignment="1">
      <alignment horizontal="center" wrapText="1"/>
    </xf>
    <xf numFmtId="0" fontId="14" fillId="0" borderId="17" xfId="0" applyFont="1" applyBorder="1"/>
    <xf numFmtId="0" fontId="16" fillId="0" borderId="0" xfId="0" applyFont="1"/>
    <xf numFmtId="0" fontId="13" fillId="4" borderId="18" xfId="0" applyFont="1" applyFill="1" applyBorder="1" applyAlignment="1">
      <alignment horizontal="left" wrapText="1"/>
    </xf>
    <xf numFmtId="0" fontId="14" fillId="0" borderId="19" xfId="0" applyFont="1" applyBorder="1"/>
    <xf numFmtId="0" fontId="15" fillId="4" borderId="20" xfId="0" applyFont="1" applyFill="1" applyBorder="1" applyAlignment="1">
      <alignment horizontal="left" wrapText="1"/>
    </xf>
    <xf numFmtId="0" fontId="14" fillId="0" borderId="21" xfId="0" applyFont="1" applyBorder="1"/>
    <xf numFmtId="0" fontId="13" fillId="4" borderId="20" xfId="0" applyFont="1" applyFill="1" applyBorder="1" applyAlignment="1">
      <alignment horizontal="left" wrapText="1"/>
    </xf>
    <xf numFmtId="0" fontId="15" fillId="4" borderId="21" xfId="0" applyFont="1" applyFill="1" applyBorder="1" applyAlignment="1">
      <alignment horizontal="left" wrapText="1"/>
    </xf>
    <xf numFmtId="0" fontId="15" fillId="4" borderId="21" xfId="0" applyFont="1" applyFill="1" applyBorder="1" applyAlignment="1">
      <alignment wrapText="1"/>
    </xf>
    <xf numFmtId="0" fontId="15" fillId="4" borderId="22" xfId="0" applyFont="1" applyFill="1" applyBorder="1" applyAlignment="1">
      <alignment wrapText="1"/>
    </xf>
    <xf numFmtId="0" fontId="13" fillId="4" borderId="23" xfId="0" applyFont="1" applyFill="1" applyBorder="1" applyAlignment="1">
      <alignment horizontal="left" wrapText="1"/>
    </xf>
    <xf numFmtId="0" fontId="14" fillId="0" borderId="24" xfId="0" applyFont="1" applyBorder="1"/>
    <xf numFmtId="0" fontId="15" fillId="4" borderId="25" xfId="0" applyFont="1" applyFill="1" applyBorder="1" applyAlignment="1">
      <alignment horizontal="left" wrapText="1"/>
    </xf>
    <xf numFmtId="0" fontId="14" fillId="0" borderId="26" xfId="0" applyFont="1" applyBorder="1"/>
    <xf numFmtId="0" fontId="14" fillId="0" borderId="27" xfId="0" applyFont="1" applyBorder="1"/>
    <xf numFmtId="0" fontId="13" fillId="4" borderId="23" xfId="0" applyFont="1" applyFill="1" applyBorder="1" applyAlignment="1">
      <alignment horizontal="center" vertical="center"/>
    </xf>
    <xf numFmtId="0" fontId="13" fillId="4" borderId="25" xfId="0" applyFont="1" applyFill="1" applyBorder="1" applyAlignment="1">
      <alignment horizontal="center" vertical="center" wrapText="1"/>
    </xf>
    <xf numFmtId="0" fontId="13" fillId="4" borderId="26" xfId="0" applyFont="1" applyFill="1" applyBorder="1" applyAlignment="1">
      <alignment horizontal="center" vertical="center" wrapText="1"/>
    </xf>
    <xf numFmtId="49" fontId="16" fillId="0" borderId="0" xfId="0" applyNumberFormat="1" applyFont="1"/>
    <xf numFmtId="0" fontId="16" fillId="4" borderId="28" xfId="0" applyFont="1" applyFill="1" applyBorder="1" applyAlignment="1">
      <alignment horizontal="center" vertical="center"/>
    </xf>
    <xf numFmtId="0" fontId="14" fillId="0" borderId="29" xfId="0" applyFont="1" applyBorder="1"/>
    <xf numFmtId="0" fontId="16" fillId="4" borderId="30" xfId="0" applyFont="1" applyFill="1" applyBorder="1" applyAlignment="1">
      <alignment horizontal="center" vertical="center"/>
    </xf>
    <xf numFmtId="0" fontId="14" fillId="0" borderId="31" xfId="0" applyFont="1" applyBorder="1"/>
    <xf numFmtId="0" fontId="14" fillId="0" borderId="32" xfId="0" applyFont="1" applyBorder="1"/>
    <xf numFmtId="0" fontId="16" fillId="0" borderId="33" xfId="0" applyFont="1" applyBorder="1"/>
    <xf numFmtId="0" fontId="13" fillId="0" borderId="0" xfId="0" applyFont="1" applyAlignment="1">
      <alignment horizontal="left"/>
    </xf>
    <xf numFmtId="0" fontId="16" fillId="0" borderId="0" xfId="0" applyFont="1" applyAlignment="1">
      <alignment horizontal="right"/>
    </xf>
    <xf numFmtId="0" fontId="17" fillId="5" borderId="34" xfId="0" applyFont="1" applyFill="1" applyBorder="1"/>
    <xf numFmtId="0" fontId="4" fillId="5" borderId="35" xfId="0" applyFont="1" applyFill="1" applyBorder="1" applyAlignment="1">
      <alignment horizontal="left"/>
    </xf>
    <xf numFmtId="0" fontId="17" fillId="5" borderId="35" xfId="0" applyFont="1" applyFill="1" applyBorder="1"/>
    <xf numFmtId="0" fontId="17" fillId="5" borderId="35" xfId="0" applyFont="1" applyFill="1" applyBorder="1" applyAlignment="1">
      <alignment horizontal="right"/>
    </xf>
    <xf numFmtId="0" fontId="4" fillId="5" borderId="35" xfId="0" applyFont="1" applyFill="1" applyBorder="1" applyAlignment="1">
      <alignment vertical="top" textRotation="180"/>
    </xf>
    <xf numFmtId="0" fontId="4" fillId="5" borderId="36" xfId="0" applyFont="1" applyFill="1" applyBorder="1" applyAlignment="1">
      <alignment vertical="top" textRotation="180"/>
    </xf>
    <xf numFmtId="0" fontId="13" fillId="0" borderId="0" xfId="0" applyFont="1"/>
    <xf numFmtId="0" fontId="4" fillId="5" borderId="37" xfId="0" applyFont="1" applyFill="1" applyBorder="1" applyAlignment="1">
      <alignment vertical="center"/>
    </xf>
    <xf numFmtId="0" fontId="13" fillId="4" borderId="25" xfId="0" applyFont="1" applyFill="1" applyBorder="1" applyAlignment="1">
      <alignment horizontal="left" vertical="top"/>
    </xf>
    <xf numFmtId="0" fontId="16" fillId="4" borderId="26" xfId="0" applyFont="1" applyFill="1" applyBorder="1" applyAlignment="1">
      <alignment horizontal="center" vertical="top"/>
    </xf>
    <xf numFmtId="0" fontId="16" fillId="4" borderId="24" xfId="0" applyFont="1" applyFill="1" applyBorder="1" applyAlignment="1">
      <alignment horizontal="right" vertical="top"/>
    </xf>
    <xf numFmtId="0" fontId="15" fillId="6" borderId="38" xfId="0" applyFont="1" applyFill="1" applyBorder="1" applyAlignment="1">
      <alignment horizontal="right"/>
    </xf>
    <xf numFmtId="0" fontId="18" fillId="0" borderId="5" xfId="0" applyFont="1" applyBorder="1" applyAlignment="1">
      <alignment horizontal="center"/>
    </xf>
    <xf numFmtId="0" fontId="18" fillId="0" borderId="39" xfId="0" applyFont="1" applyBorder="1" applyAlignment="1">
      <alignment horizontal="center"/>
    </xf>
    <xf numFmtId="0" fontId="4" fillId="5" borderId="40" xfId="0" applyFont="1" applyFill="1" applyBorder="1" applyAlignment="1">
      <alignment vertical="center"/>
    </xf>
    <xf numFmtId="0" fontId="15" fillId="6" borderId="0" xfId="0" applyFont="1" applyFill="1" applyAlignment="1">
      <alignment horizontal="right"/>
    </xf>
    <xf numFmtId="0" fontId="16" fillId="0" borderId="0" xfId="0" applyFont="1" applyAlignment="1">
      <alignment vertical="top"/>
    </xf>
    <xf numFmtId="0" fontId="16" fillId="6" borderId="0" xfId="0" applyFont="1" applyFill="1" applyAlignment="1">
      <alignment horizontal="right"/>
    </xf>
    <xf numFmtId="0" fontId="19" fillId="0" borderId="0" xfId="0" applyFont="1" applyAlignment="1">
      <alignment horizontal="center"/>
    </xf>
    <xf numFmtId="0" fontId="13" fillId="4" borderId="41" xfId="0" applyFont="1" applyFill="1" applyBorder="1" applyAlignment="1">
      <alignment horizontal="left" vertical="top"/>
    </xf>
    <xf numFmtId="0" fontId="16" fillId="4" borderId="42" xfId="0" applyFont="1" applyFill="1" applyBorder="1" applyAlignment="1">
      <alignment horizontal="center" vertical="top"/>
    </xf>
    <xf numFmtId="0" fontId="16" fillId="4" borderId="43" xfId="0" applyFont="1" applyFill="1" applyBorder="1" applyAlignment="1">
      <alignment horizontal="right" vertical="top"/>
    </xf>
    <xf numFmtId="0" fontId="16" fillId="6" borderId="44" xfId="0" applyFont="1" applyFill="1" applyBorder="1" applyAlignment="1">
      <alignment horizontal="right"/>
    </xf>
    <xf numFmtId="0" fontId="18" fillId="0" borderId="45" xfId="0" applyFont="1" applyBorder="1" applyAlignment="1">
      <alignment horizontal="center"/>
    </xf>
    <xf numFmtId="0" fontId="18" fillId="0" borderId="46" xfId="0" applyFont="1" applyBorder="1" applyAlignment="1">
      <alignment horizontal="center"/>
    </xf>
    <xf numFmtId="0" fontId="4" fillId="5" borderId="37" xfId="0" applyFont="1" applyFill="1" applyBorder="1" applyAlignment="1">
      <alignment vertical="top"/>
    </xf>
    <xf numFmtId="0" fontId="13" fillId="4" borderId="20" xfId="0" applyFont="1" applyFill="1" applyBorder="1"/>
    <xf numFmtId="0" fontId="13" fillId="4" borderId="21" xfId="0" applyFont="1" applyFill="1" applyBorder="1"/>
    <xf numFmtId="0" fontId="16" fillId="4" borderId="19" xfId="0" applyFont="1" applyFill="1" applyBorder="1" applyAlignment="1">
      <alignment horizontal="right"/>
    </xf>
    <xf numFmtId="0" fontId="16" fillId="6" borderId="47" xfId="0" applyFont="1" applyFill="1" applyBorder="1" applyAlignment="1">
      <alignment horizontal="left"/>
    </xf>
    <xf numFmtId="0" fontId="18" fillId="0" borderId="47" xfId="0" applyFont="1" applyBorder="1" applyAlignment="1">
      <alignment horizontal="center"/>
    </xf>
    <xf numFmtId="0" fontId="18" fillId="0" borderId="48" xfId="0" applyFont="1" applyBorder="1" applyAlignment="1">
      <alignment horizontal="center"/>
    </xf>
    <xf numFmtId="0" fontId="4" fillId="5" borderId="40" xfId="0" applyFont="1" applyFill="1" applyBorder="1" applyAlignment="1">
      <alignment vertical="top"/>
    </xf>
    <xf numFmtId="0" fontId="13" fillId="4" borderId="25" xfId="0" applyFont="1" applyFill="1" applyBorder="1"/>
    <xf numFmtId="0" fontId="16" fillId="4" borderId="26" xfId="0" applyFont="1" applyFill="1" applyBorder="1"/>
    <xf numFmtId="0" fontId="16" fillId="4" borderId="24" xfId="0" applyFont="1" applyFill="1" applyBorder="1" applyAlignment="1">
      <alignment horizontal="right"/>
    </xf>
    <xf numFmtId="0" fontId="16" fillId="6" borderId="5" xfId="0" applyFont="1" applyFill="1" applyBorder="1" applyAlignment="1">
      <alignment horizontal="left"/>
    </xf>
    <xf numFmtId="0" fontId="20" fillId="4" borderId="26" xfId="0" applyFont="1" applyFill="1" applyBorder="1"/>
    <xf numFmtId="0" fontId="16" fillId="6" borderId="5" xfId="0" applyFont="1" applyFill="1" applyBorder="1"/>
    <xf numFmtId="0" fontId="13" fillId="4" borderId="49" xfId="0" applyFont="1" applyFill="1" applyBorder="1"/>
    <xf numFmtId="0" fontId="16" fillId="4" borderId="38" xfId="0" applyFont="1" applyFill="1" applyBorder="1"/>
    <xf numFmtId="0" fontId="16" fillId="4" borderId="50" xfId="0" applyFont="1" applyFill="1" applyBorder="1" applyAlignment="1">
      <alignment horizontal="right"/>
    </xf>
    <xf numFmtId="0" fontId="16" fillId="6" borderId="51" xfId="0" applyFont="1" applyFill="1" applyBorder="1" applyAlignment="1">
      <alignment horizontal="left"/>
    </xf>
    <xf numFmtId="0" fontId="18" fillId="0" borderId="51" xfId="0" applyFont="1" applyBorder="1" applyAlignment="1">
      <alignment horizontal="center"/>
    </xf>
    <xf numFmtId="0" fontId="18" fillId="0" borderId="52" xfId="0" applyFont="1" applyBorder="1" applyAlignment="1">
      <alignment horizontal="center"/>
    </xf>
    <xf numFmtId="0" fontId="16" fillId="0" borderId="53" xfId="0" applyFont="1" applyBorder="1" applyAlignment="1">
      <alignment horizontal="left"/>
    </xf>
    <xf numFmtId="0" fontId="16" fillId="0" borderId="0" xfId="0" applyFont="1" applyAlignment="1">
      <alignment horizontal="left"/>
    </xf>
    <xf numFmtId="0" fontId="16" fillId="0" borderId="54" xfId="0" applyFont="1" applyBorder="1" applyAlignment="1">
      <alignment horizontal="left"/>
    </xf>
    <xf numFmtId="0" fontId="16" fillId="0" borderId="55" xfId="0" applyFont="1" applyBorder="1" applyAlignment="1">
      <alignment horizontal="left"/>
    </xf>
    <xf numFmtId="0" fontId="21" fillId="0" borderId="55" xfId="0" applyFont="1" applyBorder="1" applyAlignment="1">
      <alignment horizontal="center"/>
    </xf>
    <xf numFmtId="0" fontId="21" fillId="0" borderId="56" xfId="0" applyFont="1" applyBorder="1" applyAlignment="1">
      <alignment horizontal="center"/>
    </xf>
    <xf numFmtId="0" fontId="16" fillId="0" borderId="57" xfId="0" applyFont="1" applyBorder="1" applyAlignment="1">
      <alignment horizontal="left"/>
    </xf>
    <xf numFmtId="0" fontId="14" fillId="0" borderId="35" xfId="0" applyFont="1" applyBorder="1"/>
    <xf numFmtId="0" fontId="14" fillId="0" borderId="58" xfId="0" applyFont="1" applyBorder="1"/>
    <xf numFmtId="0" fontId="16" fillId="0" borderId="59" xfId="0" applyFont="1" applyBorder="1" applyAlignment="1">
      <alignment horizontal="left"/>
    </xf>
    <xf numFmtId="0" fontId="21" fillId="0" borderId="59" xfId="0" applyFont="1" applyBorder="1" applyAlignment="1">
      <alignment horizontal="center"/>
    </xf>
    <xf numFmtId="0" fontId="21" fillId="0" borderId="60" xfId="0" applyFont="1" applyBorder="1" applyAlignment="1">
      <alignment horizontal="center"/>
    </xf>
    <xf numFmtId="0" fontId="16" fillId="0" borderId="25" xfId="0" applyFont="1" applyBorder="1" applyAlignment="1">
      <alignment horizontal="left"/>
    </xf>
    <xf numFmtId="0" fontId="22" fillId="0" borderId="5" xfId="0" applyFont="1" applyBorder="1" applyAlignment="1">
      <alignment horizontal="left"/>
    </xf>
    <xf numFmtId="0" fontId="21" fillId="0" borderId="5" xfId="0" applyFont="1" applyBorder="1" applyAlignment="1">
      <alignment horizontal="center"/>
    </xf>
    <xf numFmtId="0" fontId="21" fillId="0" borderId="39" xfId="0" applyFont="1" applyBorder="1" applyAlignment="1">
      <alignment horizontal="center"/>
    </xf>
    <xf numFmtId="0" fontId="16" fillId="0" borderId="25" xfId="0" applyFont="1" applyBorder="1" applyAlignment="1">
      <alignment horizontal="left" vertical="top"/>
    </xf>
    <xf numFmtId="0" fontId="16" fillId="0" borderId="5" xfId="0" applyFont="1" applyBorder="1"/>
    <xf numFmtId="178" fontId="16" fillId="0" borderId="5" xfId="0" applyNumberFormat="1" applyFont="1" applyBorder="1" applyAlignment="1">
      <alignment vertical="top" textRotation="255"/>
    </xf>
    <xf numFmtId="178" fontId="16" fillId="0" borderId="39" xfId="0" applyNumberFormat="1" applyFont="1" applyBorder="1" applyAlignment="1">
      <alignment vertical="top" textRotation="255"/>
    </xf>
    <xf numFmtId="0" fontId="4" fillId="5" borderId="61" xfId="0" applyFont="1" applyFill="1" applyBorder="1" applyAlignment="1">
      <alignment vertical="top"/>
    </xf>
    <xf numFmtId="0" fontId="16" fillId="0" borderId="41" xfId="0" applyFont="1" applyBorder="1" applyAlignment="1">
      <alignment horizontal="left" vertical="top"/>
    </xf>
    <xf numFmtId="0" fontId="14" fillId="0" borderId="42" xfId="0" applyFont="1" applyBorder="1"/>
    <xf numFmtId="0" fontId="14" fillId="0" borderId="43" xfId="0" applyFont="1" applyBorder="1"/>
    <xf numFmtId="0" fontId="16" fillId="0" borderId="45" xfId="0" applyFont="1" applyBorder="1"/>
    <xf numFmtId="0" fontId="16" fillId="0" borderId="45" xfId="0" applyFont="1" applyBorder="1" applyAlignment="1">
      <alignment textRotation="255"/>
    </xf>
    <xf numFmtId="0" fontId="16" fillId="0" borderId="46" xfId="0" applyFont="1" applyBorder="1" applyAlignment="1">
      <alignment textRotation="255"/>
    </xf>
    <xf numFmtId="0" fontId="3" fillId="4" borderId="5" xfId="0" applyFont="1" applyFill="1" applyBorder="1" applyAlignment="1">
      <alignment vertical="center" wrapText="1"/>
    </xf>
    <xf numFmtId="0" fontId="23" fillId="4" borderId="0" xfId="0" applyFont="1" applyFill="1" applyAlignment="1">
      <alignment horizontal="center"/>
    </xf>
    <xf numFmtId="0" fontId="14" fillId="0" borderId="0" xfId="0" applyFont="1"/>
    <xf numFmtId="0" fontId="24" fillId="4" borderId="0" xfId="0" applyFont="1" applyFill="1"/>
    <xf numFmtId="15" fontId="25" fillId="4" borderId="0" xfId="0" applyNumberFormat="1" applyFont="1" applyFill="1"/>
    <xf numFmtId="0" fontId="24" fillId="4" borderId="5" xfId="0" applyFont="1" applyFill="1" applyBorder="1" applyAlignment="1">
      <alignment horizontal="left" vertical="center"/>
    </xf>
    <xf numFmtId="0" fontId="26" fillId="4" borderId="25" xfId="0" applyFont="1" applyFill="1" applyBorder="1" applyAlignment="1">
      <alignment horizontal="left"/>
    </xf>
    <xf numFmtId="0" fontId="24" fillId="4" borderId="25" xfId="0" applyFont="1" applyFill="1" applyBorder="1" applyAlignment="1">
      <alignment horizontal="left"/>
    </xf>
    <xf numFmtId="0" fontId="24" fillId="4" borderId="25" xfId="0" applyFont="1" applyFill="1" applyBorder="1" applyAlignment="1">
      <alignment horizontal="center"/>
    </xf>
    <xf numFmtId="0" fontId="24" fillId="4" borderId="5" xfId="0" applyFont="1" applyFill="1" applyBorder="1" applyAlignment="1">
      <alignment vertical="center"/>
    </xf>
    <xf numFmtId="58" fontId="26" fillId="4" borderId="25" xfId="0" applyNumberFormat="1" applyFont="1" applyFill="1" applyBorder="1" applyAlignment="1">
      <alignment horizontal="left" vertical="top"/>
    </xf>
    <xf numFmtId="0" fontId="26" fillId="4" borderId="25" xfId="0" applyFont="1" applyFill="1" applyBorder="1" applyAlignment="1">
      <alignment vertical="top"/>
    </xf>
    <xf numFmtId="0" fontId="27" fillId="4" borderId="0" xfId="0" applyFont="1" applyFill="1"/>
    <xf numFmtId="0" fontId="28" fillId="4" borderId="0" xfId="0" applyFont="1" applyFill="1"/>
    <xf numFmtId="0" fontId="29" fillId="5" borderId="62" xfId="0" applyFont="1" applyFill="1" applyBorder="1" applyAlignment="1">
      <alignment horizontal="center"/>
    </xf>
    <xf numFmtId="0" fontId="29" fillId="5" borderId="63" xfId="0" applyFont="1" applyFill="1" applyBorder="1" applyAlignment="1">
      <alignment horizontal="center"/>
    </xf>
    <xf numFmtId="0" fontId="29" fillId="5" borderId="63" xfId="0" applyFont="1" applyFill="1" applyBorder="1" applyAlignment="1">
      <alignment horizontal="center" wrapText="1"/>
    </xf>
    <xf numFmtId="0" fontId="29" fillId="5" borderId="64" xfId="0" applyFont="1" applyFill="1" applyBorder="1" applyAlignment="1">
      <alignment horizontal="center"/>
    </xf>
    <xf numFmtId="0" fontId="29" fillId="5" borderId="65" xfId="0" applyFont="1" applyFill="1" applyBorder="1" applyAlignment="1">
      <alignment horizontal="center" wrapText="1"/>
    </xf>
    <xf numFmtId="49" fontId="3" fillId="4" borderId="5" xfId="0" applyNumberFormat="1" applyFont="1" applyFill="1" applyBorder="1" applyAlignment="1">
      <alignment vertical="center" wrapText="1"/>
    </xf>
    <xf numFmtId="0" fontId="3" fillId="5" borderId="5" xfId="0" applyFont="1" applyFill="1" applyBorder="1" applyAlignment="1">
      <alignment vertical="center" wrapText="1"/>
    </xf>
    <xf numFmtId="10" fontId="3" fillId="4" borderId="5" xfId="0" applyNumberFormat="1" applyFont="1" applyFill="1" applyBorder="1" applyAlignment="1">
      <alignment vertical="center" wrapText="1"/>
    </xf>
    <xf numFmtId="9" fontId="3" fillId="4" borderId="5" xfId="0" applyNumberFormat="1" applyFont="1" applyFill="1" applyBorder="1" applyAlignment="1">
      <alignment vertical="center" wrapText="1"/>
    </xf>
    <xf numFmtId="2" fontId="3" fillId="4" borderId="5" xfId="0" applyNumberFormat="1" applyFont="1" applyFill="1" applyBorder="1" applyAlignment="1">
      <alignment vertical="center" wrapText="1"/>
    </xf>
    <xf numFmtId="1" fontId="3" fillId="4" borderId="5" xfId="0" applyNumberFormat="1" applyFont="1" applyFill="1" applyBorder="1" applyAlignment="1">
      <alignment vertical="center" wrapText="1"/>
    </xf>
    <xf numFmtId="0" fontId="23" fillId="4" borderId="0" xfId="0" applyFont="1" applyFill="1" applyAlignment="1">
      <alignment horizontal="left"/>
    </xf>
    <xf numFmtId="0" fontId="30" fillId="4" borderId="0" xfId="0" applyFont="1" applyFill="1" applyAlignment="1">
      <alignment horizontal="left"/>
    </xf>
    <xf numFmtId="0" fontId="31" fillId="4" borderId="0" xfId="0" applyFont="1" applyFill="1" applyAlignment="1">
      <alignment horizontal="left"/>
    </xf>
    <xf numFmtId="1" fontId="24" fillId="4" borderId="25" xfId="0" applyNumberFormat="1" applyFont="1" applyFill="1" applyBorder="1"/>
    <xf numFmtId="1" fontId="24" fillId="4" borderId="25" xfId="0" applyNumberFormat="1" applyFont="1" applyFill="1" applyBorder="1" applyAlignment="1">
      <alignment horizontal="left"/>
    </xf>
    <xf numFmtId="0" fontId="26" fillId="4" borderId="26" xfId="0" applyFont="1" applyFill="1" applyBorder="1" applyAlignment="1">
      <alignment horizontal="left"/>
    </xf>
    <xf numFmtId="0" fontId="26" fillId="4" borderId="24" xfId="0" applyFont="1" applyFill="1" applyBorder="1" applyAlignment="1">
      <alignment horizontal="left"/>
    </xf>
    <xf numFmtId="1" fontId="24" fillId="4" borderId="25" xfId="0" applyNumberFormat="1" applyFont="1" applyFill="1" applyBorder="1" applyAlignment="1">
      <alignment vertical="center" wrapText="1"/>
    </xf>
    <xf numFmtId="0" fontId="26" fillId="4" borderId="25" xfId="0" applyFont="1" applyFill="1" applyBorder="1" applyAlignment="1">
      <alignment horizontal="left" vertical="top" wrapText="1"/>
    </xf>
    <xf numFmtId="0" fontId="25" fillId="4" borderId="0" xfId="0" applyFont="1" applyFill="1" applyAlignment="1">
      <alignment wrapText="1"/>
    </xf>
    <xf numFmtId="1" fontId="27" fillId="4" borderId="0" xfId="0" applyNumberFormat="1" applyFont="1" applyFill="1"/>
    <xf numFmtId="1" fontId="25" fillId="4" borderId="0" xfId="0" applyNumberFormat="1" applyFont="1" applyFill="1" applyAlignment="1">
      <alignment vertical="center"/>
    </xf>
    <xf numFmtId="0" fontId="25" fillId="4" borderId="0" xfId="0" applyFont="1" applyFill="1" applyAlignment="1">
      <alignment horizontal="left" vertical="center"/>
    </xf>
    <xf numFmtId="0" fontId="25" fillId="4" borderId="0" xfId="0" applyFont="1" applyFill="1" applyAlignment="1">
      <alignment horizontal="left" vertical="center" wrapText="1"/>
    </xf>
    <xf numFmtId="0" fontId="25" fillId="4" borderId="0" xfId="0" applyFont="1" applyFill="1" applyAlignment="1">
      <alignment vertical="center"/>
    </xf>
    <xf numFmtId="1" fontId="29" fillId="7" borderId="66" xfId="0" applyNumberFormat="1" applyFont="1" applyFill="1" applyBorder="1" applyAlignment="1">
      <alignment horizontal="center" vertical="center"/>
    </xf>
    <xf numFmtId="1" fontId="29" fillId="7" borderId="62" xfId="0" applyNumberFormat="1" applyFont="1" applyFill="1" applyBorder="1" applyAlignment="1">
      <alignment horizontal="center" vertical="center" wrapText="1"/>
    </xf>
    <xf numFmtId="1" fontId="29" fillId="7" borderId="62" xfId="0" applyNumberFormat="1" applyFont="1" applyFill="1" applyBorder="1" applyAlignment="1">
      <alignment horizontal="center" vertical="center"/>
    </xf>
    <xf numFmtId="0" fontId="29" fillId="7" borderId="63" xfId="0" applyFont="1" applyFill="1" applyBorder="1" applyAlignment="1">
      <alignment horizontal="center" vertical="center"/>
    </xf>
    <xf numFmtId="0" fontId="29" fillId="7" borderId="63" xfId="0" applyFont="1" applyFill="1" applyBorder="1" applyAlignment="1">
      <alignment horizontal="center" vertical="center" wrapText="1"/>
    </xf>
    <xf numFmtId="0" fontId="29" fillId="7" borderId="64" xfId="0" applyFont="1" applyFill="1" applyBorder="1" applyAlignment="1">
      <alignment horizontal="center" vertical="center"/>
    </xf>
    <xf numFmtId="0" fontId="29" fillId="7" borderId="67" xfId="0" applyFont="1" applyFill="1" applyBorder="1" applyAlignment="1">
      <alignment horizontal="center" vertical="center"/>
    </xf>
    <xf numFmtId="0" fontId="24" fillId="4" borderId="0" xfId="0" applyFont="1" applyFill="1" applyAlignment="1">
      <alignment horizontal="center"/>
    </xf>
    <xf numFmtId="0" fontId="25" fillId="0" borderId="0" xfId="0" applyFont="1" applyAlignment="1">
      <alignment horizontal="left"/>
    </xf>
    <xf numFmtId="0" fontId="25" fillId="0" borderId="0" xfId="0" applyFont="1"/>
    <xf numFmtId="0" fontId="32" fillId="0" borderId="25" xfId="0" applyFont="1" applyBorder="1" applyAlignment="1">
      <alignment horizontal="center" vertical="center"/>
    </xf>
    <xf numFmtId="0" fontId="23" fillId="0" borderId="25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7" fillId="4" borderId="0" xfId="0" applyFont="1" applyFill="1" applyAlignment="1">
      <alignment horizontal="left"/>
    </xf>
    <xf numFmtId="0" fontId="28" fillId="0" borderId="0" xfId="0" applyFont="1" applyAlignment="1">
      <alignment horizontal="left"/>
    </xf>
    <xf numFmtId="0" fontId="24" fillId="4" borderId="5" xfId="0" applyFont="1" applyFill="1" applyBorder="1" applyAlignment="1">
      <alignment horizontal="left"/>
    </xf>
    <xf numFmtId="0" fontId="26" fillId="0" borderId="25" xfId="0" applyFont="1" applyBorder="1" applyAlignment="1">
      <alignment horizontal="left"/>
    </xf>
    <xf numFmtId="0" fontId="25" fillId="0" borderId="24" xfId="0" applyFont="1" applyBorder="1"/>
    <xf numFmtId="58" fontId="26" fillId="0" borderId="24" xfId="0" applyNumberFormat="1" applyFont="1" applyBorder="1" applyAlignment="1">
      <alignment horizontal="left"/>
    </xf>
    <xf numFmtId="0" fontId="26" fillId="0" borderId="25" xfId="0" applyFont="1" applyBorder="1" applyAlignment="1">
      <alignment horizontal="left" vertical="center"/>
    </xf>
    <xf numFmtId="0" fontId="26" fillId="0" borderId="24" xfId="0" applyFont="1" applyBorder="1" applyAlignment="1">
      <alignment horizontal="left"/>
    </xf>
    <xf numFmtId="0" fontId="24" fillId="0" borderId="0" xfId="0" applyFont="1"/>
    <xf numFmtId="0" fontId="27" fillId="0" borderId="0" xfId="0" applyFont="1" applyAlignment="1">
      <alignment horizontal="left"/>
    </xf>
    <xf numFmtId="0" fontId="24" fillId="0" borderId="0" xfId="0" applyFont="1" applyAlignment="1">
      <alignment horizontal="left"/>
    </xf>
    <xf numFmtId="15" fontId="29" fillId="5" borderId="66" xfId="0" applyNumberFormat="1" applyFont="1" applyFill="1" applyBorder="1" applyAlignment="1">
      <alignment horizontal="center" vertical="center"/>
    </xf>
    <xf numFmtId="0" fontId="29" fillId="5" borderId="63" xfId="0" applyFont="1" applyFill="1" applyBorder="1" applyAlignment="1">
      <alignment horizontal="center" vertical="center"/>
    </xf>
    <xf numFmtId="0" fontId="29" fillId="5" borderId="67" xfId="0" applyFont="1" applyFill="1" applyBorder="1" applyAlignment="1">
      <alignment horizontal="center" vertical="center"/>
    </xf>
    <xf numFmtId="0" fontId="25" fillId="0" borderId="0" xfId="0" applyFont="1" applyAlignment="1">
      <alignment vertical="center"/>
    </xf>
    <xf numFmtId="58" fontId="26" fillId="0" borderId="68" xfId="0" applyNumberFormat="1" applyFont="1" applyBorder="1" applyAlignment="1">
      <alignment vertical="top" wrapText="1"/>
    </xf>
    <xf numFmtId="49" fontId="25" fillId="0" borderId="69" xfId="0" applyNumberFormat="1" applyFont="1" applyBorder="1" applyAlignment="1">
      <alignment vertical="top"/>
    </xf>
    <xf numFmtId="0" fontId="25" fillId="0" borderId="69" xfId="0" applyFont="1" applyBorder="1" applyAlignment="1">
      <alignment vertical="top"/>
    </xf>
    <xf numFmtId="0" fontId="25" fillId="0" borderId="69" xfId="0" applyFont="1" applyBorder="1" applyAlignment="1">
      <alignment vertical="top" wrapText="1"/>
    </xf>
    <xf numFmtId="0" fontId="26" fillId="0" borderId="70" xfId="0" applyFont="1" applyBorder="1" applyAlignment="1">
      <alignment vertical="top" wrapText="1"/>
    </xf>
    <xf numFmtId="0" fontId="25" fillId="0" borderId="0" xfId="0" applyFont="1" applyAlignment="1">
      <alignment vertical="top"/>
    </xf>
    <xf numFmtId="15" fontId="25" fillId="0" borderId="68" xfId="0" applyNumberFormat="1" applyFont="1" applyBorder="1" applyAlignment="1">
      <alignment vertical="top"/>
    </xf>
    <xf numFmtId="0" fontId="25" fillId="0" borderId="70" xfId="0" applyFont="1" applyBorder="1" applyAlignment="1">
      <alignment vertical="top"/>
    </xf>
    <xf numFmtId="15" fontId="25" fillId="0" borderId="71" xfId="0" applyNumberFormat="1" applyFont="1" applyBorder="1" applyAlignment="1">
      <alignment vertical="top"/>
    </xf>
    <xf numFmtId="49" fontId="25" fillId="0" borderId="72" xfId="0" applyNumberFormat="1" applyFont="1" applyBorder="1" applyAlignment="1">
      <alignment vertical="top"/>
    </xf>
    <xf numFmtId="0" fontId="25" fillId="0" borderId="72" xfId="0" applyFont="1" applyBorder="1" applyAlignment="1">
      <alignment vertical="top"/>
    </xf>
    <xf numFmtId="0" fontId="25" fillId="0" borderId="73" xfId="0" applyFont="1" applyBorder="1" applyAlignment="1">
      <alignment vertical="top"/>
    </xf>
    <xf numFmtId="0" fontId="33" fillId="8" borderId="0" xfId="0" applyFont="1" applyFill="1" applyAlignment="1">
      <alignment horizontal="center"/>
    </xf>
    <xf numFmtId="0" fontId="34" fillId="8" borderId="0" xfId="0" applyFont="1" applyFill="1" applyAlignment="1">
      <alignment vertical="center"/>
    </xf>
    <xf numFmtId="0" fontId="35" fillId="8" borderId="0" xfId="0" applyFont="1" applyFill="1" applyAlignment="1">
      <alignment horizontal="left"/>
    </xf>
    <xf numFmtId="0" fontId="36" fillId="8" borderId="0" xfId="0" applyFont="1" applyFill="1" applyAlignment="1">
      <alignment vertical="center"/>
    </xf>
    <xf numFmtId="0" fontId="25" fillId="8" borderId="0" xfId="0" applyFont="1" applyFill="1" applyAlignment="1">
      <alignment horizontal="left"/>
    </xf>
    <xf numFmtId="0" fontId="37" fillId="8" borderId="0" xfId="0" applyFont="1" applyFill="1" applyAlignment="1">
      <alignment vertical="center"/>
    </xf>
    <xf numFmtId="0" fontId="25" fillId="8" borderId="0" xfId="0" applyFont="1" applyFill="1" applyAlignment="1">
      <alignment horizontal="left" wrapText="1"/>
    </xf>
    <xf numFmtId="0" fontId="26" fillId="8" borderId="0" xfId="0" applyFont="1" applyFill="1" applyAlignment="1">
      <alignment horizontal="left"/>
    </xf>
    <xf numFmtId="0" fontId="38" fillId="8" borderId="0" xfId="0" applyFont="1" applyFill="1" applyAlignment="1">
      <alignment vertical="center"/>
    </xf>
    <xf numFmtId="0" fontId="24" fillId="8" borderId="0" xfId="0" applyFont="1" applyFill="1" applyAlignment="1">
      <alignment horizontal="left"/>
    </xf>
    <xf numFmtId="0" fontId="35" fillId="8" borderId="0" xfId="0" applyFont="1" applyFill="1" applyAlignme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9" Type="http://schemas.openxmlformats.org/officeDocument/2006/relationships/worksheet" Target="worksheets/sheet99.xml"/><Relationship Id="rId98" Type="http://schemas.openxmlformats.org/officeDocument/2006/relationships/worksheet" Target="worksheets/sheet98.xml"/><Relationship Id="rId97" Type="http://schemas.openxmlformats.org/officeDocument/2006/relationships/worksheet" Target="worksheets/sheet97.xml"/><Relationship Id="rId96" Type="http://schemas.openxmlformats.org/officeDocument/2006/relationships/worksheet" Target="worksheets/sheet96.xml"/><Relationship Id="rId95" Type="http://schemas.openxmlformats.org/officeDocument/2006/relationships/worksheet" Target="worksheets/sheet95.xml"/><Relationship Id="rId94" Type="http://schemas.openxmlformats.org/officeDocument/2006/relationships/worksheet" Target="worksheets/sheet94.xml"/><Relationship Id="rId93" Type="http://schemas.openxmlformats.org/officeDocument/2006/relationships/worksheet" Target="worksheets/sheet93.xml"/><Relationship Id="rId92" Type="http://schemas.openxmlformats.org/officeDocument/2006/relationships/worksheet" Target="worksheets/sheet92.xml"/><Relationship Id="rId91" Type="http://schemas.openxmlformats.org/officeDocument/2006/relationships/worksheet" Target="worksheets/sheet91.xml"/><Relationship Id="rId90" Type="http://schemas.openxmlformats.org/officeDocument/2006/relationships/worksheet" Target="worksheets/sheet90.xml"/><Relationship Id="rId9" Type="http://schemas.openxmlformats.org/officeDocument/2006/relationships/worksheet" Target="worksheets/sheet9.xml"/><Relationship Id="rId89" Type="http://schemas.openxmlformats.org/officeDocument/2006/relationships/worksheet" Target="worksheets/sheet89.xml"/><Relationship Id="rId88" Type="http://schemas.openxmlformats.org/officeDocument/2006/relationships/worksheet" Target="worksheets/sheet88.xml"/><Relationship Id="rId87" Type="http://schemas.openxmlformats.org/officeDocument/2006/relationships/worksheet" Target="worksheets/sheet87.xml"/><Relationship Id="rId86" Type="http://schemas.openxmlformats.org/officeDocument/2006/relationships/worksheet" Target="worksheets/sheet86.xml"/><Relationship Id="rId85" Type="http://schemas.openxmlformats.org/officeDocument/2006/relationships/worksheet" Target="worksheets/sheet85.xml"/><Relationship Id="rId84" Type="http://schemas.openxmlformats.org/officeDocument/2006/relationships/worksheet" Target="worksheets/sheet84.xml"/><Relationship Id="rId83" Type="http://schemas.openxmlformats.org/officeDocument/2006/relationships/worksheet" Target="worksheets/sheet83.xml"/><Relationship Id="rId82" Type="http://schemas.openxmlformats.org/officeDocument/2006/relationships/worksheet" Target="worksheets/sheet82.xml"/><Relationship Id="rId81" Type="http://schemas.openxmlformats.org/officeDocument/2006/relationships/worksheet" Target="worksheets/sheet81.xml"/><Relationship Id="rId80" Type="http://schemas.openxmlformats.org/officeDocument/2006/relationships/worksheet" Target="worksheets/sheet80.xml"/><Relationship Id="rId8" Type="http://schemas.openxmlformats.org/officeDocument/2006/relationships/worksheet" Target="worksheets/sheet8.xml"/><Relationship Id="rId79" Type="http://schemas.openxmlformats.org/officeDocument/2006/relationships/worksheet" Target="worksheets/sheet79.xml"/><Relationship Id="rId78" Type="http://schemas.openxmlformats.org/officeDocument/2006/relationships/worksheet" Target="worksheets/sheet78.xml"/><Relationship Id="rId77" Type="http://schemas.openxmlformats.org/officeDocument/2006/relationships/worksheet" Target="worksheets/sheet77.xml"/><Relationship Id="rId76" Type="http://schemas.openxmlformats.org/officeDocument/2006/relationships/worksheet" Target="worksheets/sheet76.xml"/><Relationship Id="rId75" Type="http://schemas.openxmlformats.org/officeDocument/2006/relationships/worksheet" Target="worksheets/sheet75.xml"/><Relationship Id="rId74" Type="http://schemas.openxmlformats.org/officeDocument/2006/relationships/worksheet" Target="worksheets/sheet74.xml"/><Relationship Id="rId73" Type="http://schemas.openxmlformats.org/officeDocument/2006/relationships/worksheet" Target="worksheets/sheet73.xml"/><Relationship Id="rId72" Type="http://schemas.openxmlformats.org/officeDocument/2006/relationships/worksheet" Target="worksheets/sheet72.xml"/><Relationship Id="rId71" Type="http://schemas.openxmlformats.org/officeDocument/2006/relationships/worksheet" Target="worksheets/sheet71.xml"/><Relationship Id="rId70" Type="http://schemas.openxmlformats.org/officeDocument/2006/relationships/worksheet" Target="worksheets/sheet70.xml"/><Relationship Id="rId7" Type="http://schemas.openxmlformats.org/officeDocument/2006/relationships/worksheet" Target="worksheets/sheet7.xml"/><Relationship Id="rId69" Type="http://schemas.openxmlformats.org/officeDocument/2006/relationships/worksheet" Target="worksheets/sheet69.xml"/><Relationship Id="rId68" Type="http://schemas.openxmlformats.org/officeDocument/2006/relationships/worksheet" Target="worksheets/sheet68.xml"/><Relationship Id="rId67" Type="http://schemas.openxmlformats.org/officeDocument/2006/relationships/worksheet" Target="worksheets/sheet67.xml"/><Relationship Id="rId66" Type="http://schemas.openxmlformats.org/officeDocument/2006/relationships/worksheet" Target="worksheets/sheet66.xml"/><Relationship Id="rId65" Type="http://schemas.openxmlformats.org/officeDocument/2006/relationships/worksheet" Target="worksheets/sheet65.xml"/><Relationship Id="rId64" Type="http://schemas.openxmlformats.org/officeDocument/2006/relationships/worksheet" Target="worksheets/sheet64.xml"/><Relationship Id="rId63" Type="http://schemas.openxmlformats.org/officeDocument/2006/relationships/worksheet" Target="worksheets/sheet63.xml"/><Relationship Id="rId62" Type="http://schemas.openxmlformats.org/officeDocument/2006/relationships/worksheet" Target="worksheets/sheet62.xml"/><Relationship Id="rId61" Type="http://schemas.openxmlformats.org/officeDocument/2006/relationships/worksheet" Target="worksheets/sheet61.xml"/><Relationship Id="rId60" Type="http://schemas.openxmlformats.org/officeDocument/2006/relationships/worksheet" Target="worksheets/sheet60.xml"/><Relationship Id="rId6" Type="http://schemas.openxmlformats.org/officeDocument/2006/relationships/worksheet" Target="worksheets/sheet6.xml"/><Relationship Id="rId59" Type="http://schemas.openxmlformats.org/officeDocument/2006/relationships/worksheet" Target="worksheets/sheet59.xml"/><Relationship Id="rId58" Type="http://schemas.openxmlformats.org/officeDocument/2006/relationships/worksheet" Target="worksheets/sheet58.xml"/><Relationship Id="rId57" Type="http://schemas.openxmlformats.org/officeDocument/2006/relationships/worksheet" Target="worksheets/sheet57.xml"/><Relationship Id="rId56" Type="http://schemas.openxmlformats.org/officeDocument/2006/relationships/worksheet" Target="worksheets/sheet56.xml"/><Relationship Id="rId55" Type="http://schemas.openxmlformats.org/officeDocument/2006/relationships/worksheet" Target="worksheets/sheet55.xml"/><Relationship Id="rId54" Type="http://schemas.openxmlformats.org/officeDocument/2006/relationships/worksheet" Target="worksheets/sheet54.xml"/><Relationship Id="rId53" Type="http://schemas.openxmlformats.org/officeDocument/2006/relationships/worksheet" Target="worksheets/sheet53.xml"/><Relationship Id="rId52" Type="http://schemas.openxmlformats.org/officeDocument/2006/relationships/worksheet" Target="worksheets/sheet52.xml"/><Relationship Id="rId51" Type="http://schemas.openxmlformats.org/officeDocument/2006/relationships/worksheet" Target="worksheets/sheet51.xml"/><Relationship Id="rId50" Type="http://schemas.openxmlformats.org/officeDocument/2006/relationships/worksheet" Target="worksheets/sheet50.xml"/><Relationship Id="rId5" Type="http://schemas.openxmlformats.org/officeDocument/2006/relationships/worksheet" Target="worksheets/sheet5.xml"/><Relationship Id="rId49" Type="http://schemas.openxmlformats.org/officeDocument/2006/relationships/worksheet" Target="worksheets/sheet49.xml"/><Relationship Id="rId48" Type="http://schemas.openxmlformats.org/officeDocument/2006/relationships/worksheet" Target="worksheets/sheet48.xml"/><Relationship Id="rId47" Type="http://schemas.openxmlformats.org/officeDocument/2006/relationships/worksheet" Target="worksheets/sheet47.xml"/><Relationship Id="rId46" Type="http://schemas.openxmlformats.org/officeDocument/2006/relationships/worksheet" Target="worksheets/sheet46.xml"/><Relationship Id="rId45" Type="http://schemas.openxmlformats.org/officeDocument/2006/relationships/worksheet" Target="worksheets/sheet45.xml"/><Relationship Id="rId44" Type="http://schemas.openxmlformats.org/officeDocument/2006/relationships/worksheet" Target="worksheets/sheet44.xml"/><Relationship Id="rId43" Type="http://schemas.openxmlformats.org/officeDocument/2006/relationships/worksheet" Target="worksheets/sheet43.xml"/><Relationship Id="rId42" Type="http://schemas.openxmlformats.org/officeDocument/2006/relationships/worksheet" Target="worksheets/sheet42.xml"/><Relationship Id="rId41" Type="http://schemas.openxmlformats.org/officeDocument/2006/relationships/worksheet" Target="worksheets/sheet41.xml"/><Relationship Id="rId40" Type="http://schemas.openxmlformats.org/officeDocument/2006/relationships/worksheet" Target="worksheets/sheet40.xml"/><Relationship Id="rId4" Type="http://schemas.openxmlformats.org/officeDocument/2006/relationships/worksheet" Target="worksheets/sheet4.xml"/><Relationship Id="rId39" Type="http://schemas.openxmlformats.org/officeDocument/2006/relationships/worksheet" Target="worksheets/sheet39.xml"/><Relationship Id="rId38" Type="http://schemas.openxmlformats.org/officeDocument/2006/relationships/worksheet" Target="worksheets/sheet38.xml"/><Relationship Id="rId37" Type="http://schemas.openxmlformats.org/officeDocument/2006/relationships/worksheet" Target="worksheets/sheet37.xml"/><Relationship Id="rId36" Type="http://schemas.openxmlformats.org/officeDocument/2006/relationships/worksheet" Target="worksheets/sheet36.xml"/><Relationship Id="rId35" Type="http://schemas.openxmlformats.org/officeDocument/2006/relationships/worksheet" Target="worksheets/sheet35.xml"/><Relationship Id="rId34" Type="http://schemas.openxmlformats.org/officeDocument/2006/relationships/worksheet" Target="worksheets/sheet34.xml"/><Relationship Id="rId33" Type="http://schemas.openxmlformats.org/officeDocument/2006/relationships/worksheet" Target="worksheets/sheet33.xml"/><Relationship Id="rId32" Type="http://schemas.openxmlformats.org/officeDocument/2006/relationships/worksheet" Target="worksheets/sheet32.xml"/><Relationship Id="rId31" Type="http://schemas.openxmlformats.org/officeDocument/2006/relationships/worksheet" Target="worksheets/sheet3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3" Type="http://schemas.openxmlformats.org/officeDocument/2006/relationships/styles" Target="styles.xml"/><Relationship Id="rId122" Type="http://schemas.openxmlformats.org/officeDocument/2006/relationships/sharedStrings" Target="sharedStrings.xml"/><Relationship Id="rId121" Type="http://schemas.openxmlformats.org/officeDocument/2006/relationships/theme" Target="theme/theme1.xml"/><Relationship Id="rId120" Type="http://schemas.openxmlformats.org/officeDocument/2006/relationships/worksheet" Target="worksheets/sheet120.xml"/><Relationship Id="rId12" Type="http://schemas.openxmlformats.org/officeDocument/2006/relationships/worksheet" Target="worksheets/sheet12.xml"/><Relationship Id="rId119" Type="http://schemas.openxmlformats.org/officeDocument/2006/relationships/worksheet" Target="worksheets/sheet119.xml"/><Relationship Id="rId118" Type="http://schemas.openxmlformats.org/officeDocument/2006/relationships/worksheet" Target="worksheets/sheet118.xml"/><Relationship Id="rId117" Type="http://schemas.openxmlformats.org/officeDocument/2006/relationships/worksheet" Target="worksheets/sheet117.xml"/><Relationship Id="rId116" Type="http://schemas.openxmlformats.org/officeDocument/2006/relationships/worksheet" Target="worksheets/sheet116.xml"/><Relationship Id="rId115" Type="http://schemas.openxmlformats.org/officeDocument/2006/relationships/worksheet" Target="worksheets/sheet115.xml"/><Relationship Id="rId114" Type="http://schemas.openxmlformats.org/officeDocument/2006/relationships/worksheet" Target="worksheets/sheet114.xml"/><Relationship Id="rId113" Type="http://schemas.openxmlformats.org/officeDocument/2006/relationships/worksheet" Target="worksheets/sheet113.xml"/><Relationship Id="rId112" Type="http://schemas.openxmlformats.org/officeDocument/2006/relationships/worksheet" Target="worksheets/sheet112.xml"/><Relationship Id="rId111" Type="http://schemas.openxmlformats.org/officeDocument/2006/relationships/worksheet" Target="worksheets/sheet111.xml"/><Relationship Id="rId110" Type="http://schemas.openxmlformats.org/officeDocument/2006/relationships/worksheet" Target="worksheets/sheet110.xml"/><Relationship Id="rId11" Type="http://schemas.openxmlformats.org/officeDocument/2006/relationships/worksheet" Target="worksheets/sheet11.xml"/><Relationship Id="rId109" Type="http://schemas.openxmlformats.org/officeDocument/2006/relationships/worksheet" Target="worksheets/sheet109.xml"/><Relationship Id="rId108" Type="http://schemas.openxmlformats.org/officeDocument/2006/relationships/worksheet" Target="worksheets/sheet108.xml"/><Relationship Id="rId107" Type="http://schemas.openxmlformats.org/officeDocument/2006/relationships/worksheet" Target="worksheets/sheet107.xml"/><Relationship Id="rId106" Type="http://schemas.openxmlformats.org/officeDocument/2006/relationships/worksheet" Target="worksheets/sheet106.xml"/><Relationship Id="rId105" Type="http://schemas.openxmlformats.org/officeDocument/2006/relationships/worksheet" Target="worksheets/sheet105.xml"/><Relationship Id="rId104" Type="http://schemas.openxmlformats.org/officeDocument/2006/relationships/worksheet" Target="worksheets/sheet104.xml"/><Relationship Id="rId103" Type="http://schemas.openxmlformats.org/officeDocument/2006/relationships/worksheet" Target="worksheets/sheet103.xml"/><Relationship Id="rId102" Type="http://schemas.openxmlformats.org/officeDocument/2006/relationships/worksheet" Target="worksheets/sheet102.xml"/><Relationship Id="rId101" Type="http://schemas.openxmlformats.org/officeDocument/2006/relationships/worksheet" Target="worksheets/sheet101.xml"/><Relationship Id="rId100" Type="http://schemas.openxmlformats.org/officeDocument/2006/relationships/worksheet" Target="worksheets/sheet100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0</xdr:col>
      <xdr:colOff>0</xdr:colOff>
      <xdr:row>1</xdr:row>
      <xdr:rowOff>0</xdr:rowOff>
    </xdr:from>
    <xdr:ext cx="2143125" cy="781050"/>
    <xdr:pic>
      <xdr:nvPicPr>
        <xdr:cNvPr id="2" name="Picture 1"/>
        <xdr:cNvPicPr>
          <a:picLocks noChangeAspect="1"/>
        </xdr:cNvPicPr>
      </xdr:nvPicPr>
      <xdr:blipFill>
        <a:blip r:embed="rId1" cstate="print"/>
        <a:stretch>
          <a:fillRect/>
        </a:stretch>
      </xdr:blipFill>
      <xdr:spPr>
        <a:xfrm>
          <a:off x="0" y="162560"/>
          <a:ext cx="2143125" cy="78105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8080"/>
  </sheetPr>
  <dimension ref="A1:Z1000"/>
  <sheetViews>
    <sheetView workbookViewId="0">
      <selection activeCell="A1" sqref="A1"/>
    </sheetView>
  </sheetViews>
  <sheetFormatPr defaultColWidth="14.4406779661017" defaultRowHeight="15.05" customHeight="1"/>
  <cols>
    <col min="1" max="1" width="136.440677966102" customWidth="1"/>
    <col min="2" max="6" width="12.5508474576271" customWidth="1"/>
    <col min="7" max="26" width="9.11016949152542" customWidth="1"/>
  </cols>
  <sheetData>
    <row r="1" ht="22.6" customHeight="1" spans="1:26">
      <c r="A1" s="232" t="s">
        <v>0</v>
      </c>
      <c r="B1" s="233"/>
      <c r="C1" s="233"/>
      <c r="D1" s="233"/>
      <c r="E1" s="233"/>
      <c r="F1" s="233"/>
      <c r="G1" s="233"/>
      <c r="H1" s="233"/>
      <c r="I1" s="233"/>
      <c r="J1" s="233"/>
      <c r="K1" s="233"/>
      <c r="L1" s="233"/>
      <c r="M1" s="233"/>
      <c r="N1" s="233"/>
      <c r="O1" s="233"/>
      <c r="P1" s="233"/>
      <c r="Q1" s="233"/>
      <c r="R1" s="233"/>
      <c r="S1" s="233"/>
      <c r="T1" s="233"/>
      <c r="U1" s="233"/>
      <c r="V1" s="233"/>
      <c r="W1" s="233"/>
      <c r="X1" s="233"/>
      <c r="Y1" s="233"/>
      <c r="Z1" s="233"/>
    </row>
    <row r="2" ht="22.6" customHeight="1" spans="1:26">
      <c r="A2" s="232"/>
      <c r="B2" s="233"/>
      <c r="C2" s="233"/>
      <c r="D2" s="233"/>
      <c r="E2" s="233"/>
      <c r="F2" s="233"/>
      <c r="G2" s="233"/>
      <c r="H2" s="233"/>
      <c r="I2" s="233"/>
      <c r="J2" s="233"/>
      <c r="K2" s="233"/>
      <c r="L2" s="233"/>
      <c r="M2" s="233"/>
      <c r="N2" s="233"/>
      <c r="O2" s="233"/>
      <c r="P2" s="233"/>
      <c r="Q2" s="233"/>
      <c r="R2" s="233"/>
      <c r="S2" s="233"/>
      <c r="T2" s="233"/>
      <c r="U2" s="233"/>
      <c r="V2" s="233"/>
      <c r="W2" s="233"/>
      <c r="X2" s="233"/>
      <c r="Y2" s="233"/>
      <c r="Z2" s="233"/>
    </row>
    <row r="3" ht="18" customHeight="1" spans="1:26">
      <c r="A3" s="234" t="s">
        <v>1</v>
      </c>
      <c r="B3" s="235"/>
      <c r="C3" s="235"/>
      <c r="D3" s="235"/>
      <c r="E3" s="235"/>
      <c r="F3" s="235"/>
      <c r="G3" s="235"/>
      <c r="H3" s="235"/>
      <c r="I3" s="235"/>
      <c r="J3" s="235"/>
      <c r="K3" s="235"/>
      <c r="L3" s="235"/>
      <c r="M3" s="235"/>
      <c r="N3" s="235"/>
      <c r="O3" s="235"/>
      <c r="P3" s="235"/>
      <c r="Q3" s="235"/>
      <c r="R3" s="235"/>
      <c r="S3" s="235"/>
      <c r="T3" s="235"/>
      <c r="U3" s="235"/>
      <c r="V3" s="235"/>
      <c r="W3" s="235"/>
      <c r="X3" s="235"/>
      <c r="Y3" s="235"/>
      <c r="Z3" s="235"/>
    </row>
    <row r="4" customHeight="1" spans="1:26">
      <c r="A4" s="236" t="s">
        <v>2</v>
      </c>
      <c r="B4" s="237"/>
      <c r="C4" s="237"/>
      <c r="D4" s="237"/>
      <c r="E4" s="237"/>
      <c r="F4" s="237"/>
      <c r="G4" s="237"/>
      <c r="H4" s="237"/>
      <c r="I4" s="237"/>
      <c r="J4" s="237"/>
      <c r="K4" s="237"/>
      <c r="L4" s="237"/>
      <c r="M4" s="237"/>
      <c r="N4" s="237"/>
      <c r="O4" s="237"/>
      <c r="P4" s="237"/>
      <c r="Q4" s="237"/>
      <c r="R4" s="237"/>
      <c r="S4" s="237"/>
      <c r="T4" s="237"/>
      <c r="U4" s="237"/>
      <c r="V4" s="237"/>
      <c r="W4" s="237"/>
      <c r="X4" s="237"/>
      <c r="Y4" s="237"/>
      <c r="Z4" s="237"/>
    </row>
    <row r="5" customHeight="1" spans="1:26">
      <c r="A5" s="236" t="s">
        <v>3</v>
      </c>
      <c r="B5" s="237"/>
      <c r="C5" s="237"/>
      <c r="D5" s="237"/>
      <c r="E5" s="237"/>
      <c r="F5" s="237"/>
      <c r="G5" s="237"/>
      <c r="H5" s="237"/>
      <c r="I5" s="237"/>
      <c r="J5" s="237"/>
      <c r="K5" s="237"/>
      <c r="L5" s="237"/>
      <c r="M5" s="237"/>
      <c r="N5" s="237"/>
      <c r="O5" s="237"/>
      <c r="P5" s="237"/>
      <c r="Q5" s="237"/>
      <c r="R5" s="237"/>
      <c r="S5" s="237"/>
      <c r="T5" s="237"/>
      <c r="U5" s="237"/>
      <c r="V5" s="237"/>
      <c r="W5" s="237"/>
      <c r="X5" s="237"/>
      <c r="Y5" s="237"/>
      <c r="Z5" s="237"/>
    </row>
    <row r="6" ht="38.3" customHeight="1" spans="1:26">
      <c r="A6" s="238" t="s">
        <v>4</v>
      </c>
      <c r="B6" s="237"/>
      <c r="C6" s="237"/>
      <c r="D6" s="237"/>
      <c r="E6" s="237"/>
      <c r="F6" s="237"/>
      <c r="G6" s="237"/>
      <c r="H6" s="237"/>
      <c r="I6" s="237"/>
      <c r="J6" s="237"/>
      <c r="K6" s="237"/>
      <c r="L6" s="237"/>
      <c r="M6" s="237"/>
      <c r="N6" s="237"/>
      <c r="O6" s="237"/>
      <c r="P6" s="237"/>
      <c r="Q6" s="237"/>
      <c r="R6" s="237"/>
      <c r="S6" s="237"/>
      <c r="T6" s="237"/>
      <c r="U6" s="237"/>
      <c r="V6" s="237"/>
      <c r="W6" s="237"/>
      <c r="X6" s="237"/>
      <c r="Y6" s="237"/>
      <c r="Z6" s="237"/>
    </row>
    <row r="7" ht="29.3" customHeight="1" spans="1:26">
      <c r="A7" s="238" t="s">
        <v>5</v>
      </c>
      <c r="B7" s="237"/>
      <c r="C7" s="237"/>
      <c r="D7" s="237"/>
      <c r="E7" s="237"/>
      <c r="F7" s="237"/>
      <c r="G7" s="237"/>
      <c r="H7" s="237"/>
      <c r="I7" s="237"/>
      <c r="J7" s="237"/>
      <c r="K7" s="237"/>
      <c r="L7" s="237"/>
      <c r="M7" s="237"/>
      <c r="N7" s="237"/>
      <c r="O7" s="237"/>
      <c r="P7" s="237"/>
      <c r="Q7" s="237"/>
      <c r="R7" s="237"/>
      <c r="S7" s="237"/>
      <c r="T7" s="237"/>
      <c r="U7" s="237"/>
      <c r="V7" s="237"/>
      <c r="W7" s="237"/>
      <c r="X7" s="237"/>
      <c r="Y7" s="237"/>
      <c r="Z7" s="237"/>
    </row>
    <row r="8" ht="29.95" customHeight="1" spans="1:26">
      <c r="A8" s="238" t="s">
        <v>6</v>
      </c>
      <c r="B8" s="237"/>
      <c r="C8" s="237"/>
      <c r="D8" s="237"/>
      <c r="E8" s="237"/>
      <c r="F8" s="237"/>
      <c r="G8" s="237"/>
      <c r="H8" s="237"/>
      <c r="I8" s="237"/>
      <c r="J8" s="237"/>
      <c r="K8" s="237"/>
      <c r="L8" s="237"/>
      <c r="M8" s="237"/>
      <c r="N8" s="237"/>
      <c r="O8" s="237"/>
      <c r="P8" s="237"/>
      <c r="Q8" s="237"/>
      <c r="R8" s="237"/>
      <c r="S8" s="237"/>
      <c r="T8" s="237"/>
      <c r="U8" s="237"/>
      <c r="V8" s="237"/>
      <c r="W8" s="237"/>
      <c r="X8" s="237"/>
      <c r="Y8" s="237"/>
      <c r="Z8" s="237"/>
    </row>
    <row r="9" ht="16.55" customHeight="1" spans="1:26">
      <c r="A9" s="239" t="s">
        <v>7</v>
      </c>
      <c r="B9" s="240"/>
      <c r="C9" s="240"/>
      <c r="D9" s="240"/>
      <c r="E9" s="240"/>
      <c r="F9" s="240"/>
      <c r="G9" s="240"/>
      <c r="H9" s="240"/>
      <c r="I9" s="240"/>
      <c r="J9" s="240"/>
      <c r="K9" s="240"/>
      <c r="L9" s="240"/>
      <c r="M9" s="240"/>
      <c r="N9" s="240"/>
      <c r="O9" s="240"/>
      <c r="P9" s="240"/>
      <c r="Q9" s="240"/>
      <c r="R9" s="240"/>
      <c r="S9" s="240"/>
      <c r="T9" s="240"/>
      <c r="U9" s="240"/>
      <c r="V9" s="240"/>
      <c r="W9" s="240"/>
      <c r="X9" s="240"/>
      <c r="Y9" s="240"/>
      <c r="Z9" s="240"/>
    </row>
    <row r="10" ht="16.55" customHeight="1" spans="1:26">
      <c r="A10" s="236"/>
      <c r="B10" s="237"/>
      <c r="C10" s="237"/>
      <c r="D10" s="237"/>
      <c r="E10" s="237"/>
      <c r="F10" s="237"/>
      <c r="G10" s="237"/>
      <c r="H10" s="237"/>
      <c r="I10" s="237"/>
      <c r="J10" s="237"/>
      <c r="K10" s="237"/>
      <c r="L10" s="237"/>
      <c r="M10" s="237"/>
      <c r="N10" s="237"/>
      <c r="O10" s="237"/>
      <c r="P10" s="237"/>
      <c r="Q10" s="237"/>
      <c r="R10" s="237"/>
      <c r="S10" s="237"/>
      <c r="T10" s="237"/>
      <c r="U10" s="237"/>
      <c r="V10" s="237"/>
      <c r="W10" s="237"/>
      <c r="X10" s="237"/>
      <c r="Y10" s="237"/>
      <c r="Z10" s="237"/>
    </row>
    <row r="11" ht="18" customHeight="1" spans="1:26">
      <c r="A11" s="234" t="s">
        <v>8</v>
      </c>
      <c r="B11" s="235"/>
      <c r="C11" s="235"/>
      <c r="D11" s="235"/>
      <c r="E11" s="235"/>
      <c r="F11" s="235"/>
      <c r="G11" s="235"/>
      <c r="H11" s="235"/>
      <c r="I11" s="235"/>
      <c r="J11" s="235"/>
      <c r="K11" s="235"/>
      <c r="L11" s="235"/>
      <c r="M11" s="235"/>
      <c r="N11" s="235"/>
      <c r="O11" s="235"/>
      <c r="P11" s="235"/>
      <c r="Q11" s="235"/>
      <c r="R11" s="235"/>
      <c r="S11" s="235"/>
      <c r="T11" s="235"/>
      <c r="U11" s="235"/>
      <c r="V11" s="235"/>
      <c r="W11" s="235"/>
      <c r="X11" s="235"/>
      <c r="Y11" s="235"/>
      <c r="Z11" s="235"/>
    </row>
    <row r="12" customHeight="1" spans="1:26">
      <c r="A12" s="241" t="s">
        <v>9</v>
      </c>
      <c r="B12" s="242"/>
      <c r="C12" s="242"/>
      <c r="D12" s="242"/>
      <c r="E12" s="242"/>
      <c r="F12" s="242"/>
      <c r="G12" s="242"/>
      <c r="H12" s="242"/>
      <c r="I12" s="242"/>
      <c r="J12" s="242"/>
      <c r="K12" s="242"/>
      <c r="L12" s="242"/>
      <c r="M12" s="242"/>
      <c r="N12" s="242"/>
      <c r="O12" s="242"/>
      <c r="P12" s="242"/>
      <c r="Q12" s="242"/>
      <c r="R12" s="242"/>
      <c r="S12" s="242"/>
      <c r="T12" s="242"/>
      <c r="U12" s="242"/>
      <c r="V12" s="242"/>
      <c r="W12" s="242"/>
      <c r="X12" s="242"/>
      <c r="Y12" s="242"/>
      <c r="Z12" s="242"/>
    </row>
    <row r="13" ht="25.55" customHeight="1" spans="1:26">
      <c r="A13" s="236" t="s">
        <v>10</v>
      </c>
      <c r="B13" s="237"/>
      <c r="C13" s="237"/>
      <c r="D13" s="237"/>
      <c r="E13" s="237"/>
      <c r="F13" s="237"/>
      <c r="G13" s="237"/>
      <c r="H13" s="237"/>
      <c r="I13" s="237"/>
      <c r="J13" s="237"/>
      <c r="K13" s="237"/>
      <c r="L13" s="237"/>
      <c r="M13" s="237"/>
      <c r="N13" s="237"/>
      <c r="O13" s="237"/>
      <c r="P13" s="237"/>
      <c r="Q13" s="237"/>
      <c r="R13" s="237"/>
      <c r="S13" s="237"/>
      <c r="T13" s="237"/>
      <c r="U13" s="237"/>
      <c r="V13" s="237"/>
      <c r="W13" s="237"/>
      <c r="X13" s="237"/>
      <c r="Y13" s="237"/>
      <c r="Z13" s="237"/>
    </row>
    <row r="14" ht="14.25" customHeight="1" spans="1:26">
      <c r="A14" s="236" t="s">
        <v>11</v>
      </c>
      <c r="B14" s="237"/>
      <c r="C14" s="237"/>
      <c r="D14" s="237"/>
      <c r="E14" s="237"/>
      <c r="F14" s="237"/>
      <c r="G14" s="237"/>
      <c r="H14" s="237"/>
      <c r="I14" s="237"/>
      <c r="J14" s="237"/>
      <c r="K14" s="237"/>
      <c r="L14" s="237"/>
      <c r="M14" s="237"/>
      <c r="N14" s="237"/>
      <c r="O14" s="237"/>
      <c r="P14" s="237"/>
      <c r="Q14" s="237"/>
      <c r="R14" s="237"/>
      <c r="S14" s="237"/>
      <c r="T14" s="237"/>
      <c r="U14" s="237"/>
      <c r="V14" s="237"/>
      <c r="W14" s="237"/>
      <c r="X14" s="237"/>
      <c r="Y14" s="237"/>
      <c r="Z14" s="237"/>
    </row>
    <row r="15" ht="14.25" customHeight="1" spans="1:26">
      <c r="A15" s="238" t="s">
        <v>12</v>
      </c>
      <c r="B15" s="237"/>
      <c r="C15" s="237"/>
      <c r="D15" s="237"/>
      <c r="E15" s="237"/>
      <c r="F15" s="237"/>
      <c r="G15" s="237"/>
      <c r="H15" s="237"/>
      <c r="I15" s="237"/>
      <c r="J15" s="237"/>
      <c r="K15" s="237"/>
      <c r="L15" s="237"/>
      <c r="M15" s="237"/>
      <c r="N15" s="237"/>
      <c r="O15" s="237"/>
      <c r="P15" s="237"/>
      <c r="Q15" s="237"/>
      <c r="R15" s="237"/>
      <c r="S15" s="237"/>
      <c r="T15" s="237"/>
      <c r="U15" s="237"/>
      <c r="V15" s="237"/>
      <c r="W15" s="237"/>
      <c r="X15" s="237"/>
      <c r="Y15" s="237"/>
      <c r="Z15" s="237"/>
    </row>
    <row r="16" ht="14.25" customHeight="1" spans="1:26">
      <c r="A16" s="236"/>
      <c r="B16" s="237"/>
      <c r="C16" s="237"/>
      <c r="D16" s="237"/>
      <c r="E16" s="237"/>
      <c r="F16" s="237"/>
      <c r="G16" s="237"/>
      <c r="H16" s="237"/>
      <c r="I16" s="237"/>
      <c r="J16" s="237"/>
      <c r="K16" s="237"/>
      <c r="L16" s="237"/>
      <c r="M16" s="237"/>
      <c r="N16" s="237"/>
      <c r="O16" s="237"/>
      <c r="P16" s="237"/>
      <c r="Q16" s="237"/>
      <c r="R16" s="237"/>
      <c r="S16" s="237"/>
      <c r="T16" s="237"/>
      <c r="U16" s="237"/>
      <c r="V16" s="237"/>
      <c r="W16" s="237"/>
      <c r="X16" s="237"/>
      <c r="Y16" s="237"/>
      <c r="Z16" s="237"/>
    </row>
    <row r="17" customHeight="1" spans="1:26">
      <c r="A17" s="241" t="s">
        <v>13</v>
      </c>
      <c r="B17" s="242"/>
      <c r="C17" s="242"/>
      <c r="D17" s="242"/>
      <c r="E17" s="242"/>
      <c r="F17" s="242"/>
      <c r="G17" s="242"/>
      <c r="H17" s="242"/>
      <c r="I17" s="242"/>
      <c r="J17" s="242"/>
      <c r="K17" s="242"/>
      <c r="L17" s="242"/>
      <c r="M17" s="242"/>
      <c r="N17" s="242"/>
      <c r="O17" s="242"/>
      <c r="P17" s="242"/>
      <c r="Q17" s="242"/>
      <c r="R17" s="242"/>
      <c r="S17" s="242"/>
      <c r="T17" s="242"/>
      <c r="U17" s="242"/>
      <c r="V17" s="242"/>
      <c r="W17" s="242"/>
      <c r="X17" s="242"/>
      <c r="Y17" s="242"/>
      <c r="Z17" s="242"/>
    </row>
    <row r="18" ht="14.25" customHeight="1" spans="1:26">
      <c r="A18" s="236" t="s">
        <v>14</v>
      </c>
      <c r="B18" s="236"/>
      <c r="C18" s="237"/>
      <c r="D18" s="237"/>
      <c r="E18" s="237"/>
      <c r="F18" s="237"/>
      <c r="G18" s="237"/>
      <c r="H18" s="237"/>
      <c r="I18" s="237"/>
      <c r="J18" s="237"/>
      <c r="K18" s="237"/>
      <c r="L18" s="237"/>
      <c r="M18" s="237"/>
      <c r="N18" s="237"/>
      <c r="O18" s="237"/>
      <c r="P18" s="237"/>
      <c r="Q18" s="237"/>
      <c r="R18" s="237"/>
      <c r="S18" s="237"/>
      <c r="T18" s="237"/>
      <c r="U18" s="237"/>
      <c r="V18" s="237"/>
      <c r="W18" s="237"/>
      <c r="X18" s="237"/>
      <c r="Y18" s="237"/>
      <c r="Z18" s="237"/>
    </row>
    <row r="19" ht="14.25" customHeight="1" spans="1:26">
      <c r="A19" s="241" t="s">
        <v>15</v>
      </c>
      <c r="B19" s="237"/>
      <c r="C19" s="237"/>
      <c r="D19" s="237"/>
      <c r="E19" s="237"/>
      <c r="F19" s="237"/>
      <c r="G19" s="237"/>
      <c r="H19" s="237"/>
      <c r="I19" s="237"/>
      <c r="J19" s="237"/>
      <c r="K19" s="237"/>
      <c r="L19" s="237"/>
      <c r="M19" s="237"/>
      <c r="N19" s="237"/>
      <c r="O19" s="237"/>
      <c r="P19" s="237"/>
      <c r="Q19" s="237"/>
      <c r="R19" s="237"/>
      <c r="S19" s="237"/>
      <c r="T19" s="237"/>
      <c r="U19" s="237"/>
      <c r="V19" s="237"/>
      <c r="W19" s="237"/>
      <c r="X19" s="237"/>
      <c r="Y19" s="237"/>
      <c r="Z19" s="237"/>
    </row>
    <row r="20" ht="14.25" customHeight="1" spans="1:26">
      <c r="A20" s="236" t="s">
        <v>16</v>
      </c>
      <c r="B20" s="236"/>
      <c r="C20" s="237"/>
      <c r="D20" s="237"/>
      <c r="E20" s="237"/>
      <c r="F20" s="237"/>
      <c r="G20" s="237"/>
      <c r="H20" s="237"/>
      <c r="I20" s="237"/>
      <c r="J20" s="237"/>
      <c r="K20" s="237"/>
      <c r="L20" s="237"/>
      <c r="M20" s="237"/>
      <c r="N20" s="237"/>
      <c r="O20" s="237"/>
      <c r="P20" s="237"/>
      <c r="Q20" s="237"/>
      <c r="R20" s="237"/>
      <c r="S20" s="237"/>
      <c r="T20" s="237"/>
      <c r="U20" s="237"/>
      <c r="V20" s="237"/>
      <c r="W20" s="237"/>
      <c r="X20" s="237"/>
      <c r="Y20" s="237"/>
      <c r="Z20" s="237"/>
    </row>
    <row r="21" ht="25.55" customHeight="1" spans="1:26">
      <c r="A21" s="238" t="s">
        <v>17</v>
      </c>
      <c r="B21" s="237"/>
      <c r="C21" s="237"/>
      <c r="D21" s="237"/>
      <c r="E21" s="237"/>
      <c r="F21" s="237"/>
      <c r="G21" s="237"/>
      <c r="H21" s="237"/>
      <c r="I21" s="237"/>
      <c r="J21" s="237"/>
      <c r="K21" s="237"/>
      <c r="L21" s="237"/>
      <c r="M21" s="237"/>
      <c r="N21" s="237"/>
      <c r="O21" s="237"/>
      <c r="P21" s="237"/>
      <c r="Q21" s="237"/>
      <c r="R21" s="237"/>
      <c r="S21" s="237"/>
      <c r="T21" s="237"/>
      <c r="U21" s="237"/>
      <c r="V21" s="237"/>
      <c r="W21" s="237"/>
      <c r="X21" s="237"/>
      <c r="Y21" s="237"/>
      <c r="Z21" s="237"/>
    </row>
    <row r="22" ht="14.25" customHeight="1" spans="1:26">
      <c r="A22" s="236" t="s">
        <v>18</v>
      </c>
      <c r="B22" s="236"/>
      <c r="C22" s="237"/>
      <c r="D22" s="237"/>
      <c r="E22" s="237"/>
      <c r="F22" s="237"/>
      <c r="G22" s="237"/>
      <c r="H22" s="237"/>
      <c r="I22" s="237"/>
      <c r="J22" s="237"/>
      <c r="K22" s="237"/>
      <c r="L22" s="237"/>
      <c r="M22" s="237"/>
      <c r="N22" s="237"/>
      <c r="O22" s="237"/>
      <c r="P22" s="237"/>
      <c r="Q22" s="237"/>
      <c r="R22" s="237"/>
      <c r="S22" s="237"/>
      <c r="T22" s="237"/>
      <c r="U22" s="237"/>
      <c r="V22" s="237"/>
      <c r="W22" s="237"/>
      <c r="X22" s="237"/>
      <c r="Y22" s="237"/>
      <c r="Z22" s="237"/>
    </row>
    <row r="23" ht="14.25" customHeight="1" spans="1:26">
      <c r="A23" s="236" t="s">
        <v>19</v>
      </c>
      <c r="B23" s="236"/>
      <c r="C23" s="237"/>
      <c r="D23" s="237"/>
      <c r="E23" s="237"/>
      <c r="F23" s="237"/>
      <c r="G23" s="237"/>
      <c r="H23" s="237"/>
      <c r="I23" s="237"/>
      <c r="J23" s="237"/>
      <c r="K23" s="237"/>
      <c r="L23" s="237"/>
      <c r="M23" s="237"/>
      <c r="N23" s="237"/>
      <c r="O23" s="237"/>
      <c r="P23" s="237"/>
      <c r="Q23" s="237"/>
      <c r="R23" s="237"/>
      <c r="S23" s="237"/>
      <c r="T23" s="237"/>
      <c r="U23" s="237"/>
      <c r="V23" s="237"/>
      <c r="W23" s="237"/>
      <c r="X23" s="237"/>
      <c r="Y23" s="237"/>
      <c r="Z23" s="237"/>
    </row>
    <row r="24" ht="14.25" customHeight="1" spans="1:26">
      <c r="A24" s="236" t="s">
        <v>20</v>
      </c>
      <c r="B24" s="236"/>
      <c r="C24" s="237"/>
      <c r="D24" s="237"/>
      <c r="E24" s="237"/>
      <c r="F24" s="237"/>
      <c r="G24" s="237"/>
      <c r="H24" s="237"/>
      <c r="I24" s="237"/>
      <c r="J24" s="237"/>
      <c r="K24" s="237"/>
      <c r="L24" s="237"/>
      <c r="M24" s="237"/>
      <c r="N24" s="237"/>
      <c r="O24" s="237"/>
      <c r="P24" s="237"/>
      <c r="Q24" s="237"/>
      <c r="R24" s="237"/>
      <c r="S24" s="237"/>
      <c r="T24" s="237"/>
      <c r="U24" s="237"/>
      <c r="V24" s="237"/>
      <c r="W24" s="237"/>
      <c r="X24" s="237"/>
      <c r="Y24" s="237"/>
      <c r="Z24" s="237"/>
    </row>
    <row r="25" ht="14.25" customHeight="1" spans="1:26">
      <c r="A25" s="236" t="s">
        <v>21</v>
      </c>
      <c r="B25" s="236"/>
      <c r="C25" s="236" t="s">
        <v>22</v>
      </c>
      <c r="D25" s="236" t="s">
        <v>22</v>
      </c>
      <c r="E25" s="237"/>
      <c r="F25" s="237"/>
      <c r="G25" s="237"/>
      <c r="H25" s="237"/>
      <c r="I25" s="237"/>
      <c r="J25" s="237"/>
      <c r="K25" s="237"/>
      <c r="L25" s="237"/>
      <c r="M25" s="237"/>
      <c r="N25" s="237"/>
      <c r="O25" s="237"/>
      <c r="P25" s="237"/>
      <c r="Q25" s="237"/>
      <c r="R25" s="237"/>
      <c r="S25" s="237"/>
      <c r="T25" s="237"/>
      <c r="U25" s="237"/>
      <c r="V25" s="237"/>
      <c r="W25" s="237"/>
      <c r="X25" s="237"/>
      <c r="Y25" s="237"/>
      <c r="Z25" s="237"/>
    </row>
    <row r="26" ht="14.25" customHeight="1" spans="1:26">
      <c r="A26" s="236" t="s">
        <v>23</v>
      </c>
      <c r="B26" s="237"/>
      <c r="C26" s="237"/>
      <c r="D26" s="237"/>
      <c r="E26" s="237"/>
      <c r="F26" s="237"/>
      <c r="G26" s="237"/>
      <c r="H26" s="237"/>
      <c r="I26" s="237"/>
      <c r="J26" s="237"/>
      <c r="K26" s="237"/>
      <c r="L26" s="237"/>
      <c r="M26" s="237"/>
      <c r="N26" s="237"/>
      <c r="O26" s="237"/>
      <c r="P26" s="237"/>
      <c r="Q26" s="237"/>
      <c r="R26" s="237"/>
      <c r="S26" s="237"/>
      <c r="T26" s="237"/>
      <c r="U26" s="237"/>
      <c r="V26" s="237"/>
      <c r="W26" s="237"/>
      <c r="X26" s="237"/>
      <c r="Y26" s="237"/>
      <c r="Z26" s="237"/>
    </row>
    <row r="27" ht="14.25" customHeight="1" spans="1:26">
      <c r="A27" s="236" t="s">
        <v>24</v>
      </c>
      <c r="B27" s="236"/>
      <c r="C27" s="237"/>
      <c r="D27" s="237"/>
      <c r="E27" s="237"/>
      <c r="F27" s="237"/>
      <c r="G27" s="237"/>
      <c r="H27" s="237"/>
      <c r="I27" s="237"/>
      <c r="J27" s="237"/>
      <c r="K27" s="237"/>
      <c r="L27" s="237"/>
      <c r="M27" s="237"/>
      <c r="N27" s="237"/>
      <c r="O27" s="237"/>
      <c r="P27" s="237"/>
      <c r="Q27" s="237"/>
      <c r="R27" s="237"/>
      <c r="S27" s="237"/>
      <c r="T27" s="237"/>
      <c r="U27" s="237"/>
      <c r="V27" s="237"/>
      <c r="W27" s="237"/>
      <c r="X27" s="237"/>
      <c r="Y27" s="237"/>
      <c r="Z27" s="237"/>
    </row>
    <row r="28" ht="14.25" customHeight="1" spans="1:26">
      <c r="A28" s="236" t="s">
        <v>25</v>
      </c>
      <c r="B28" s="237"/>
      <c r="C28" s="237"/>
      <c r="D28" s="237"/>
      <c r="E28" s="237"/>
      <c r="F28" s="237"/>
      <c r="G28" s="237"/>
      <c r="H28" s="237"/>
      <c r="I28" s="237"/>
      <c r="J28" s="237"/>
      <c r="K28" s="237"/>
      <c r="L28" s="237"/>
      <c r="M28" s="237"/>
      <c r="N28" s="237"/>
      <c r="O28" s="237"/>
      <c r="P28" s="237"/>
      <c r="Q28" s="237"/>
      <c r="R28" s="237"/>
      <c r="S28" s="237"/>
      <c r="T28" s="237"/>
      <c r="U28" s="237"/>
      <c r="V28" s="237"/>
      <c r="W28" s="237"/>
      <c r="X28" s="237"/>
      <c r="Y28" s="237"/>
      <c r="Z28" s="237"/>
    </row>
    <row r="29" ht="14.25" customHeight="1" spans="1:26">
      <c r="A29" s="236" t="s">
        <v>26</v>
      </c>
      <c r="B29" s="237"/>
      <c r="C29" s="237"/>
      <c r="D29" s="237"/>
      <c r="E29" s="237"/>
      <c r="F29" s="237"/>
      <c r="G29" s="237"/>
      <c r="H29" s="237"/>
      <c r="I29" s="237"/>
      <c r="J29" s="237"/>
      <c r="K29" s="237"/>
      <c r="L29" s="237"/>
      <c r="M29" s="237"/>
      <c r="N29" s="237"/>
      <c r="O29" s="237"/>
      <c r="P29" s="237"/>
      <c r="Q29" s="237"/>
      <c r="R29" s="237"/>
      <c r="S29" s="237"/>
      <c r="T29" s="237"/>
      <c r="U29" s="237"/>
      <c r="V29" s="237"/>
      <c r="W29" s="237"/>
      <c r="X29" s="237"/>
      <c r="Y29" s="237"/>
      <c r="Z29" s="237"/>
    </row>
    <row r="30" ht="14.25" customHeight="1" spans="1:26">
      <c r="A30" s="236" t="s">
        <v>27</v>
      </c>
      <c r="B30" s="236"/>
      <c r="C30" s="236" t="s">
        <v>22</v>
      </c>
      <c r="D30" s="237"/>
      <c r="E30" s="237"/>
      <c r="F30" s="237"/>
      <c r="G30" s="237"/>
      <c r="H30" s="237"/>
      <c r="I30" s="237"/>
      <c r="J30" s="237"/>
      <c r="K30" s="237"/>
      <c r="L30" s="237"/>
      <c r="M30" s="237"/>
      <c r="N30" s="237"/>
      <c r="O30" s="237"/>
      <c r="P30" s="237"/>
      <c r="Q30" s="237"/>
      <c r="R30" s="237"/>
      <c r="S30" s="237"/>
      <c r="T30" s="237"/>
      <c r="U30" s="237"/>
      <c r="V30" s="237"/>
      <c r="W30" s="237"/>
      <c r="X30" s="237"/>
      <c r="Y30" s="237"/>
      <c r="Z30" s="237"/>
    </row>
    <row r="31" ht="14.25" customHeight="1" spans="1:26">
      <c r="A31" s="241" t="s">
        <v>28</v>
      </c>
      <c r="B31" s="237"/>
      <c r="C31" s="237"/>
      <c r="D31" s="237"/>
      <c r="E31" s="237"/>
      <c r="F31" s="237"/>
      <c r="G31" s="237"/>
      <c r="H31" s="237"/>
      <c r="I31" s="237"/>
      <c r="J31" s="237"/>
      <c r="K31" s="237"/>
      <c r="L31" s="237"/>
      <c r="M31" s="237"/>
      <c r="N31" s="237"/>
      <c r="O31" s="237"/>
      <c r="P31" s="237"/>
      <c r="Q31" s="237"/>
      <c r="R31" s="237"/>
      <c r="S31" s="237"/>
      <c r="T31" s="237"/>
      <c r="U31" s="237"/>
      <c r="V31" s="237"/>
      <c r="W31" s="237"/>
      <c r="X31" s="237"/>
      <c r="Y31" s="237"/>
      <c r="Z31" s="237"/>
    </row>
    <row r="32" ht="29.95" customHeight="1" spans="1:26">
      <c r="A32" s="238" t="s">
        <v>29</v>
      </c>
      <c r="B32" s="237"/>
      <c r="C32" s="237"/>
      <c r="D32" s="237"/>
      <c r="E32" s="237"/>
      <c r="F32" s="237"/>
      <c r="G32" s="237"/>
      <c r="H32" s="237"/>
      <c r="I32" s="237"/>
      <c r="J32" s="237"/>
      <c r="K32" s="237"/>
      <c r="L32" s="237"/>
      <c r="M32" s="237"/>
      <c r="N32" s="237"/>
      <c r="O32" s="237"/>
      <c r="P32" s="237"/>
      <c r="Q32" s="237"/>
      <c r="R32" s="237"/>
      <c r="S32" s="237"/>
      <c r="T32" s="237"/>
      <c r="U32" s="237"/>
      <c r="V32" s="237"/>
      <c r="W32" s="237"/>
      <c r="X32" s="237"/>
      <c r="Y32" s="237"/>
      <c r="Z32" s="237"/>
    </row>
    <row r="33" ht="14.25" customHeight="1" spans="1:26">
      <c r="A33" s="236" t="s">
        <v>30</v>
      </c>
      <c r="B33" s="237"/>
      <c r="C33" s="237"/>
      <c r="D33" s="237"/>
      <c r="E33" s="237"/>
      <c r="F33" s="237"/>
      <c r="G33" s="237"/>
      <c r="H33" s="237"/>
      <c r="I33" s="237"/>
      <c r="J33" s="237"/>
      <c r="K33" s="237"/>
      <c r="L33" s="237"/>
      <c r="M33" s="237"/>
      <c r="N33" s="237"/>
      <c r="O33" s="237"/>
      <c r="P33" s="237"/>
      <c r="Q33" s="237"/>
      <c r="R33" s="237"/>
      <c r="S33" s="237"/>
      <c r="T33" s="237"/>
      <c r="U33" s="237"/>
      <c r="V33" s="237"/>
      <c r="W33" s="237"/>
      <c r="X33" s="237"/>
      <c r="Y33" s="237"/>
      <c r="Z33" s="237"/>
    </row>
    <row r="34" ht="14.25" customHeight="1" spans="1:26">
      <c r="A34" s="236" t="s">
        <v>31</v>
      </c>
      <c r="B34" s="237"/>
      <c r="C34" s="237"/>
      <c r="D34" s="237"/>
      <c r="E34" s="237"/>
      <c r="F34" s="237"/>
      <c r="G34" s="237"/>
      <c r="H34" s="237"/>
      <c r="I34" s="237"/>
      <c r="J34" s="237"/>
      <c r="K34" s="237"/>
      <c r="L34" s="237"/>
      <c r="M34" s="237"/>
      <c r="N34" s="237"/>
      <c r="O34" s="237"/>
      <c r="P34" s="237"/>
      <c r="Q34" s="237"/>
      <c r="R34" s="237"/>
      <c r="S34" s="237"/>
      <c r="T34" s="237"/>
      <c r="U34" s="237"/>
      <c r="V34" s="237"/>
      <c r="W34" s="237"/>
      <c r="X34" s="237"/>
      <c r="Y34" s="237"/>
      <c r="Z34" s="237"/>
    </row>
    <row r="35" ht="14.25" customHeight="1" spans="1:26">
      <c r="A35" s="236" t="s">
        <v>32</v>
      </c>
      <c r="B35" s="236"/>
      <c r="C35" s="237"/>
      <c r="D35" s="237"/>
      <c r="E35" s="237"/>
      <c r="F35" s="237"/>
      <c r="G35" s="237"/>
      <c r="H35" s="237"/>
      <c r="I35" s="237"/>
      <c r="J35" s="237"/>
      <c r="K35" s="237"/>
      <c r="L35" s="237"/>
      <c r="M35" s="237"/>
      <c r="N35" s="237"/>
      <c r="O35" s="237"/>
      <c r="P35" s="237"/>
      <c r="Q35" s="237"/>
      <c r="R35" s="237"/>
      <c r="S35" s="237"/>
      <c r="T35" s="237"/>
      <c r="U35" s="237"/>
      <c r="V35" s="237"/>
      <c r="W35" s="237"/>
      <c r="X35" s="237"/>
      <c r="Y35" s="237"/>
      <c r="Z35" s="237"/>
    </row>
    <row r="36" ht="14.25" customHeight="1" spans="1:26">
      <c r="A36" s="236" t="s">
        <v>33</v>
      </c>
      <c r="B36" s="236"/>
      <c r="C36" s="237"/>
      <c r="D36" s="237"/>
      <c r="E36" s="237"/>
      <c r="F36" s="237"/>
      <c r="G36" s="237"/>
      <c r="H36" s="237"/>
      <c r="I36" s="237"/>
      <c r="J36" s="237"/>
      <c r="K36" s="237"/>
      <c r="L36" s="237"/>
      <c r="M36" s="237"/>
      <c r="N36" s="237"/>
      <c r="O36" s="237"/>
      <c r="P36" s="237"/>
      <c r="Q36" s="237"/>
      <c r="R36" s="237"/>
      <c r="S36" s="237"/>
      <c r="T36" s="237"/>
      <c r="U36" s="237"/>
      <c r="V36" s="237"/>
      <c r="W36" s="237"/>
      <c r="X36" s="237"/>
      <c r="Y36" s="237"/>
      <c r="Z36" s="237"/>
    </row>
    <row r="37" ht="14.25" customHeight="1" spans="1:26">
      <c r="A37" s="241" t="s">
        <v>34</v>
      </c>
      <c r="B37" s="237"/>
      <c r="C37" s="237"/>
      <c r="D37" s="237"/>
      <c r="E37" s="237"/>
      <c r="F37" s="237"/>
      <c r="G37" s="237"/>
      <c r="H37" s="237"/>
      <c r="I37" s="237"/>
      <c r="J37" s="237"/>
      <c r="K37" s="237"/>
      <c r="L37" s="237"/>
      <c r="M37" s="237"/>
      <c r="N37" s="237"/>
      <c r="O37" s="237"/>
      <c r="P37" s="237"/>
      <c r="Q37" s="237"/>
      <c r="R37" s="237"/>
      <c r="S37" s="237"/>
      <c r="T37" s="237"/>
      <c r="U37" s="237"/>
      <c r="V37" s="237"/>
      <c r="W37" s="237"/>
      <c r="X37" s="237"/>
      <c r="Y37" s="237"/>
      <c r="Z37" s="237"/>
    </row>
    <row r="38" ht="14.25" customHeight="1" spans="1:26">
      <c r="A38" s="236" t="s">
        <v>35</v>
      </c>
      <c r="B38" s="237"/>
      <c r="C38" s="237"/>
      <c r="D38" s="237"/>
      <c r="E38" s="237"/>
      <c r="F38" s="237"/>
      <c r="G38" s="237"/>
      <c r="H38" s="237"/>
      <c r="I38" s="237"/>
      <c r="J38" s="237"/>
      <c r="K38" s="237"/>
      <c r="L38" s="237"/>
      <c r="M38" s="237"/>
      <c r="N38" s="237"/>
      <c r="O38" s="237"/>
      <c r="P38" s="237"/>
      <c r="Q38" s="237"/>
      <c r="R38" s="237"/>
      <c r="S38" s="237"/>
      <c r="T38" s="237"/>
      <c r="U38" s="237"/>
      <c r="V38" s="237"/>
      <c r="W38" s="237"/>
      <c r="X38" s="237"/>
      <c r="Y38" s="237"/>
      <c r="Z38" s="237"/>
    </row>
    <row r="39" ht="38.3" customHeight="1" spans="1:26">
      <c r="A39" s="238" t="s">
        <v>36</v>
      </c>
      <c r="B39" s="236"/>
      <c r="C39" s="237"/>
      <c r="D39" s="237"/>
      <c r="E39" s="237"/>
      <c r="F39" s="237"/>
      <c r="G39" s="237"/>
      <c r="H39" s="237"/>
      <c r="I39" s="237"/>
      <c r="J39" s="237"/>
      <c r="K39" s="237"/>
      <c r="L39" s="237"/>
      <c r="M39" s="237"/>
      <c r="N39" s="237"/>
      <c r="O39" s="237"/>
      <c r="P39" s="237"/>
      <c r="Q39" s="237"/>
      <c r="R39" s="237"/>
      <c r="S39" s="237"/>
      <c r="T39" s="237"/>
      <c r="U39" s="237"/>
      <c r="V39" s="237"/>
      <c r="W39" s="237"/>
      <c r="X39" s="237"/>
      <c r="Y39" s="237"/>
      <c r="Z39" s="237"/>
    </row>
    <row r="40" ht="14.25" customHeight="1" spans="1:26">
      <c r="A40" s="238"/>
      <c r="B40" s="236"/>
      <c r="C40" s="237"/>
      <c r="D40" s="237"/>
      <c r="E40" s="237"/>
      <c r="F40" s="237"/>
      <c r="G40" s="237"/>
      <c r="H40" s="237"/>
      <c r="I40" s="237"/>
      <c r="J40" s="237"/>
      <c r="K40" s="237"/>
      <c r="L40" s="237"/>
      <c r="M40" s="237"/>
      <c r="N40" s="237"/>
      <c r="O40" s="237"/>
      <c r="P40" s="237"/>
      <c r="Q40" s="237"/>
      <c r="R40" s="237"/>
      <c r="S40" s="237"/>
      <c r="T40" s="237"/>
      <c r="U40" s="237"/>
      <c r="V40" s="237"/>
      <c r="W40" s="237"/>
      <c r="X40" s="237"/>
      <c r="Y40" s="237"/>
      <c r="Z40" s="237"/>
    </row>
    <row r="41" customHeight="1" spans="1:26">
      <c r="A41" s="241" t="s">
        <v>37</v>
      </c>
      <c r="B41" s="242"/>
      <c r="C41" s="242"/>
      <c r="D41" s="242"/>
      <c r="E41" s="242"/>
      <c r="F41" s="242"/>
      <c r="G41" s="242"/>
      <c r="H41" s="242"/>
      <c r="I41" s="242"/>
      <c r="J41" s="242"/>
      <c r="K41" s="242"/>
      <c r="L41" s="242"/>
      <c r="M41" s="242"/>
      <c r="N41" s="242"/>
      <c r="O41" s="242"/>
      <c r="P41" s="242"/>
      <c r="Q41" s="242"/>
      <c r="R41" s="242"/>
      <c r="S41" s="242"/>
      <c r="T41" s="242"/>
      <c r="U41" s="242"/>
      <c r="V41" s="242"/>
      <c r="W41" s="242"/>
      <c r="X41" s="242"/>
      <c r="Y41" s="242"/>
      <c r="Z41" s="242"/>
    </row>
    <row r="42" ht="14.25" customHeight="1" spans="1:26">
      <c r="A42" s="236" t="s">
        <v>38</v>
      </c>
      <c r="B42" s="237"/>
      <c r="C42" s="237"/>
      <c r="D42" s="237"/>
      <c r="E42" s="237"/>
      <c r="F42" s="237"/>
      <c r="G42" s="237"/>
      <c r="H42" s="237"/>
      <c r="I42" s="237"/>
      <c r="J42" s="237"/>
      <c r="K42" s="237"/>
      <c r="L42" s="237"/>
      <c r="M42" s="237"/>
      <c r="N42" s="237"/>
      <c r="O42" s="237"/>
      <c r="P42" s="237"/>
      <c r="Q42" s="237"/>
      <c r="R42" s="237"/>
      <c r="S42" s="237"/>
      <c r="T42" s="237"/>
      <c r="U42" s="237"/>
      <c r="V42" s="237"/>
      <c r="W42" s="237"/>
      <c r="X42" s="237"/>
      <c r="Y42" s="237"/>
      <c r="Z42" s="237"/>
    </row>
    <row r="43" ht="14.25" customHeight="1" spans="1:26">
      <c r="A43" s="236" t="s">
        <v>39</v>
      </c>
      <c r="B43" s="237"/>
      <c r="C43" s="237"/>
      <c r="D43" s="237"/>
      <c r="E43" s="237"/>
      <c r="F43" s="237"/>
      <c r="G43" s="237"/>
      <c r="H43" s="237"/>
      <c r="I43" s="237"/>
      <c r="J43" s="237"/>
      <c r="K43" s="237"/>
      <c r="L43" s="237"/>
      <c r="M43" s="237"/>
      <c r="N43" s="237"/>
      <c r="O43" s="237"/>
      <c r="P43" s="237"/>
      <c r="Q43" s="237"/>
      <c r="R43" s="237"/>
      <c r="S43" s="237"/>
      <c r="T43" s="237"/>
      <c r="U43" s="237"/>
      <c r="V43" s="237"/>
      <c r="W43" s="237"/>
      <c r="X43" s="237"/>
      <c r="Y43" s="237"/>
      <c r="Z43" s="237"/>
    </row>
    <row r="44" ht="14.25" customHeight="1" spans="1:26">
      <c r="A44" s="236" t="s">
        <v>40</v>
      </c>
      <c r="B44" s="237"/>
      <c r="C44" s="237"/>
      <c r="D44" s="237"/>
      <c r="E44" s="237"/>
      <c r="F44" s="237"/>
      <c r="G44" s="237"/>
      <c r="H44" s="237"/>
      <c r="I44" s="237"/>
      <c r="J44" s="237"/>
      <c r="K44" s="237"/>
      <c r="L44" s="237"/>
      <c r="M44" s="237"/>
      <c r="N44" s="237"/>
      <c r="O44" s="237"/>
      <c r="P44" s="237"/>
      <c r="Q44" s="237"/>
      <c r="R44" s="237"/>
      <c r="S44" s="237"/>
      <c r="T44" s="237"/>
      <c r="U44" s="237"/>
      <c r="V44" s="237"/>
      <c r="W44" s="237"/>
      <c r="X44" s="237"/>
      <c r="Y44" s="237"/>
      <c r="Z44" s="237"/>
    </row>
    <row r="45" ht="14.25" customHeight="1" spans="1:26">
      <c r="A45" s="236" t="s">
        <v>41</v>
      </c>
      <c r="B45" s="237"/>
      <c r="C45" s="237"/>
      <c r="D45" s="237"/>
      <c r="E45" s="237"/>
      <c r="F45" s="237"/>
      <c r="G45" s="237"/>
      <c r="H45" s="237"/>
      <c r="I45" s="237"/>
      <c r="J45" s="237"/>
      <c r="K45" s="237"/>
      <c r="L45" s="237"/>
      <c r="M45" s="237"/>
      <c r="N45" s="237"/>
      <c r="O45" s="237"/>
      <c r="P45" s="237"/>
      <c r="Q45" s="237"/>
      <c r="R45" s="237"/>
      <c r="S45" s="237"/>
      <c r="T45" s="237"/>
      <c r="U45" s="237"/>
      <c r="V45" s="237"/>
      <c r="W45" s="237"/>
      <c r="X45" s="237"/>
      <c r="Y45" s="237"/>
      <c r="Z45" s="237"/>
    </row>
    <row r="46" ht="14.25" customHeight="1" spans="1:26">
      <c r="A46" s="236" t="s">
        <v>42</v>
      </c>
      <c r="B46" s="237"/>
      <c r="C46" s="237"/>
      <c r="D46" s="237"/>
      <c r="E46" s="237"/>
      <c r="F46" s="237"/>
      <c r="G46" s="237"/>
      <c r="H46" s="237"/>
      <c r="I46" s="237"/>
      <c r="J46" s="237"/>
      <c r="K46" s="237"/>
      <c r="L46" s="237"/>
      <c r="M46" s="237"/>
      <c r="N46" s="237"/>
      <c r="O46" s="237"/>
      <c r="P46" s="237"/>
      <c r="Q46" s="237"/>
      <c r="R46" s="237"/>
      <c r="S46" s="237"/>
      <c r="T46" s="237"/>
      <c r="U46" s="237"/>
      <c r="V46" s="237"/>
      <c r="W46" s="237"/>
      <c r="X46" s="237"/>
      <c r="Y46" s="237"/>
      <c r="Z46" s="237"/>
    </row>
    <row r="47" ht="14.25" customHeight="1" spans="1:26">
      <c r="A47" s="236" t="s">
        <v>43</v>
      </c>
      <c r="B47" s="237"/>
      <c r="C47" s="237"/>
      <c r="D47" s="237"/>
      <c r="E47" s="237"/>
      <c r="F47" s="237"/>
      <c r="G47" s="237"/>
      <c r="H47" s="237"/>
      <c r="I47" s="237"/>
      <c r="J47" s="237"/>
      <c r="K47" s="237"/>
      <c r="L47" s="237"/>
      <c r="M47" s="237"/>
      <c r="N47" s="237"/>
      <c r="O47" s="237"/>
      <c r="P47" s="237"/>
      <c r="Q47" s="237"/>
      <c r="R47" s="237"/>
      <c r="S47" s="237"/>
      <c r="T47" s="237"/>
      <c r="U47" s="237"/>
      <c r="V47" s="237"/>
      <c r="W47" s="237"/>
      <c r="X47" s="237"/>
      <c r="Y47" s="237"/>
      <c r="Z47" s="237"/>
    </row>
    <row r="48" ht="14.25" customHeight="1" spans="1:26">
      <c r="A48" s="236" t="s">
        <v>44</v>
      </c>
      <c r="B48" s="237"/>
      <c r="C48" s="237"/>
      <c r="D48" s="237"/>
      <c r="E48" s="237"/>
      <c r="F48" s="237"/>
      <c r="G48" s="237"/>
      <c r="H48" s="237"/>
      <c r="I48" s="237"/>
      <c r="J48" s="237"/>
      <c r="K48" s="237"/>
      <c r="L48" s="237"/>
      <c r="M48" s="237"/>
      <c r="N48" s="237"/>
      <c r="O48" s="237"/>
      <c r="P48" s="237"/>
      <c r="Q48" s="237"/>
      <c r="R48" s="237"/>
      <c r="S48" s="237"/>
      <c r="T48" s="237"/>
      <c r="U48" s="237"/>
      <c r="V48" s="237"/>
      <c r="W48" s="237"/>
      <c r="X48" s="237"/>
      <c r="Y48" s="237"/>
      <c r="Z48" s="237"/>
    </row>
    <row r="49" ht="14.25" customHeight="1" spans="1:26">
      <c r="A49" s="236"/>
      <c r="B49" s="237"/>
      <c r="C49" s="237"/>
      <c r="D49" s="237"/>
      <c r="E49" s="237"/>
      <c r="F49" s="237"/>
      <c r="G49" s="237"/>
      <c r="H49" s="237"/>
      <c r="I49" s="237"/>
      <c r="J49" s="237"/>
      <c r="K49" s="237"/>
      <c r="L49" s="237"/>
      <c r="M49" s="237"/>
      <c r="N49" s="237"/>
      <c r="O49" s="237"/>
      <c r="P49" s="237"/>
      <c r="Q49" s="237"/>
      <c r="R49" s="237"/>
      <c r="S49" s="237"/>
      <c r="T49" s="237"/>
      <c r="U49" s="237"/>
      <c r="V49" s="237"/>
      <c r="W49" s="237"/>
      <c r="X49" s="237"/>
      <c r="Y49" s="237"/>
      <c r="Z49" s="237"/>
    </row>
    <row r="50" ht="14.25" customHeight="1" spans="1:26">
      <c r="A50" s="237"/>
      <c r="B50" s="237"/>
      <c r="C50" s="237"/>
      <c r="D50" s="237"/>
      <c r="E50" s="237"/>
      <c r="F50" s="237"/>
      <c r="G50" s="237"/>
      <c r="H50" s="237"/>
      <c r="I50" s="237"/>
      <c r="J50" s="237"/>
      <c r="K50" s="237"/>
      <c r="L50" s="237"/>
      <c r="M50" s="237"/>
      <c r="N50" s="237"/>
      <c r="O50" s="237"/>
      <c r="P50" s="237"/>
      <c r="Q50" s="237"/>
      <c r="R50" s="237"/>
      <c r="S50" s="237"/>
      <c r="T50" s="237"/>
      <c r="U50" s="237"/>
      <c r="V50" s="237"/>
      <c r="W50" s="237"/>
      <c r="X50" s="237"/>
      <c r="Y50" s="237"/>
      <c r="Z50" s="237"/>
    </row>
    <row r="51" ht="14.25" customHeight="1" spans="1:26">
      <c r="A51" s="237"/>
      <c r="B51" s="237"/>
      <c r="C51" s="237"/>
      <c r="D51" s="237"/>
      <c r="E51" s="237"/>
      <c r="F51" s="237"/>
      <c r="G51" s="237"/>
      <c r="H51" s="237"/>
      <c r="I51" s="237"/>
      <c r="J51" s="237"/>
      <c r="K51" s="237"/>
      <c r="L51" s="237"/>
      <c r="M51" s="237"/>
      <c r="N51" s="237"/>
      <c r="O51" s="237"/>
      <c r="P51" s="237"/>
      <c r="Q51" s="237"/>
      <c r="R51" s="237"/>
      <c r="S51" s="237"/>
      <c r="T51" s="237"/>
      <c r="U51" s="237"/>
      <c r="V51" s="237"/>
      <c r="W51" s="237"/>
      <c r="X51" s="237"/>
      <c r="Y51" s="237"/>
      <c r="Z51" s="237"/>
    </row>
    <row r="52" ht="14.25" customHeight="1" spans="1:26">
      <c r="A52" s="237"/>
      <c r="B52" s="237"/>
      <c r="C52" s="237"/>
      <c r="D52" s="237"/>
      <c r="E52" s="237"/>
      <c r="F52" s="237"/>
      <c r="G52" s="237"/>
      <c r="H52" s="237"/>
      <c r="I52" s="237"/>
      <c r="J52" s="237"/>
      <c r="K52" s="237"/>
      <c r="L52" s="237"/>
      <c r="M52" s="237"/>
      <c r="N52" s="237"/>
      <c r="O52" s="237"/>
      <c r="P52" s="237"/>
      <c r="Q52" s="237"/>
      <c r="R52" s="237"/>
      <c r="S52" s="237"/>
      <c r="T52" s="237"/>
      <c r="U52" s="237"/>
      <c r="V52" s="237"/>
      <c r="W52" s="237"/>
      <c r="X52" s="237"/>
      <c r="Y52" s="237"/>
      <c r="Z52" s="237"/>
    </row>
    <row r="53" ht="14.25" customHeight="1" spans="1:26">
      <c r="A53" s="237"/>
      <c r="B53" s="237"/>
      <c r="C53" s="237"/>
      <c r="D53" s="237"/>
      <c r="E53" s="237"/>
      <c r="F53" s="237"/>
      <c r="G53" s="237"/>
      <c r="H53" s="237"/>
      <c r="I53" s="237"/>
      <c r="J53" s="237"/>
      <c r="K53" s="237"/>
      <c r="L53" s="237"/>
      <c r="M53" s="237"/>
      <c r="N53" s="237"/>
      <c r="O53" s="237"/>
      <c r="P53" s="237"/>
      <c r="Q53" s="237"/>
      <c r="R53" s="237"/>
      <c r="S53" s="237"/>
      <c r="T53" s="237"/>
      <c r="U53" s="237"/>
      <c r="V53" s="237"/>
      <c r="W53" s="237"/>
      <c r="X53" s="237"/>
      <c r="Y53" s="237"/>
      <c r="Z53" s="237"/>
    </row>
    <row r="54" ht="14.25" customHeight="1" spans="1:26">
      <c r="A54" s="237"/>
      <c r="B54" s="237"/>
      <c r="C54" s="237"/>
      <c r="D54" s="237"/>
      <c r="E54" s="237"/>
      <c r="F54" s="237"/>
      <c r="G54" s="237"/>
      <c r="H54" s="237"/>
      <c r="I54" s="237"/>
      <c r="J54" s="237"/>
      <c r="K54" s="237"/>
      <c r="L54" s="237"/>
      <c r="M54" s="237"/>
      <c r="N54" s="237"/>
      <c r="O54" s="237"/>
      <c r="P54" s="237"/>
      <c r="Q54" s="237"/>
      <c r="R54" s="237"/>
      <c r="S54" s="237"/>
      <c r="T54" s="237"/>
      <c r="U54" s="237"/>
      <c r="V54" s="237"/>
      <c r="W54" s="237"/>
      <c r="X54" s="237"/>
      <c r="Y54" s="237"/>
      <c r="Z54" s="237"/>
    </row>
    <row r="55" ht="14.25" customHeight="1" spans="1:26">
      <c r="A55" s="237"/>
      <c r="B55" s="237"/>
      <c r="C55" s="237"/>
      <c r="D55" s="237"/>
      <c r="E55" s="237"/>
      <c r="F55" s="237"/>
      <c r="G55" s="237"/>
      <c r="H55" s="237"/>
      <c r="I55" s="237"/>
      <c r="J55" s="237"/>
      <c r="K55" s="237"/>
      <c r="L55" s="237"/>
      <c r="M55" s="237"/>
      <c r="N55" s="237"/>
      <c r="O55" s="237"/>
      <c r="P55" s="237"/>
      <c r="Q55" s="237"/>
      <c r="R55" s="237"/>
      <c r="S55" s="237"/>
      <c r="T55" s="237"/>
      <c r="U55" s="237"/>
      <c r="V55" s="237"/>
      <c r="W55" s="237"/>
      <c r="X55" s="237"/>
      <c r="Y55" s="237"/>
      <c r="Z55" s="237"/>
    </row>
    <row r="56" ht="14.25" customHeight="1" spans="1:26">
      <c r="A56" s="237"/>
      <c r="B56" s="237"/>
      <c r="C56" s="237"/>
      <c r="D56" s="237"/>
      <c r="E56" s="237"/>
      <c r="F56" s="237"/>
      <c r="G56" s="237"/>
      <c r="H56" s="237"/>
      <c r="I56" s="237"/>
      <c r="J56" s="237"/>
      <c r="K56" s="237"/>
      <c r="L56" s="237"/>
      <c r="M56" s="237"/>
      <c r="N56" s="237"/>
      <c r="O56" s="237"/>
      <c r="P56" s="237"/>
      <c r="Q56" s="237"/>
      <c r="R56" s="237"/>
      <c r="S56" s="237"/>
      <c r="T56" s="237"/>
      <c r="U56" s="237"/>
      <c r="V56" s="237"/>
      <c r="W56" s="237"/>
      <c r="X56" s="237"/>
      <c r="Y56" s="237"/>
      <c r="Z56" s="237"/>
    </row>
    <row r="57" ht="14.25" customHeight="1" spans="1:26">
      <c r="A57" s="237"/>
      <c r="B57" s="237"/>
      <c r="C57" s="237"/>
      <c r="D57" s="237"/>
      <c r="E57" s="237"/>
      <c r="F57" s="237"/>
      <c r="G57" s="237"/>
      <c r="H57" s="237"/>
      <c r="I57" s="237"/>
      <c r="J57" s="237"/>
      <c r="K57" s="237"/>
      <c r="L57" s="237"/>
      <c r="M57" s="237"/>
      <c r="N57" s="237"/>
      <c r="O57" s="237"/>
      <c r="P57" s="237"/>
      <c r="Q57" s="237"/>
      <c r="R57" s="237"/>
      <c r="S57" s="237"/>
      <c r="T57" s="237"/>
      <c r="U57" s="237"/>
      <c r="V57" s="237"/>
      <c r="W57" s="237"/>
      <c r="X57" s="237"/>
      <c r="Y57" s="237"/>
      <c r="Z57" s="237"/>
    </row>
    <row r="58" ht="14.25" customHeight="1" spans="1:26">
      <c r="A58" s="237"/>
      <c r="B58" s="237"/>
      <c r="C58" s="237"/>
      <c r="D58" s="237"/>
      <c r="E58" s="237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</row>
    <row r="59" ht="14.25" customHeight="1" spans="1:26">
      <c r="A59" s="237"/>
      <c r="B59" s="237"/>
      <c r="C59" s="237"/>
      <c r="D59" s="237"/>
      <c r="E59" s="237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</row>
    <row r="60" ht="14.25" customHeight="1" spans="1:26">
      <c r="A60" s="237"/>
      <c r="B60" s="237"/>
      <c r="C60" s="237"/>
      <c r="D60" s="237"/>
      <c r="E60" s="237"/>
      <c r="F60" s="237"/>
      <c r="G60" s="237"/>
      <c r="H60" s="237"/>
      <c r="I60" s="237"/>
      <c r="J60" s="237"/>
      <c r="K60" s="237"/>
      <c r="L60" s="237"/>
      <c r="M60" s="237"/>
      <c r="N60" s="237"/>
      <c r="O60" s="237"/>
      <c r="P60" s="237"/>
      <c r="Q60" s="237"/>
      <c r="R60" s="237"/>
      <c r="S60" s="237"/>
      <c r="T60" s="237"/>
      <c r="U60" s="237"/>
      <c r="V60" s="237"/>
      <c r="W60" s="237"/>
      <c r="X60" s="237"/>
      <c r="Y60" s="237"/>
      <c r="Z60" s="237"/>
    </row>
    <row r="61" ht="14.25" customHeight="1" spans="1:26">
      <c r="A61" s="237"/>
      <c r="B61" s="237"/>
      <c r="C61" s="237"/>
      <c r="D61" s="237"/>
      <c r="E61" s="237"/>
      <c r="F61" s="237"/>
      <c r="G61" s="237"/>
      <c r="H61" s="237"/>
      <c r="I61" s="237"/>
      <c r="J61" s="237"/>
      <c r="K61" s="237"/>
      <c r="L61" s="237"/>
      <c r="M61" s="237"/>
      <c r="N61" s="237"/>
      <c r="O61" s="237"/>
      <c r="P61" s="237"/>
      <c r="Q61" s="237"/>
      <c r="R61" s="237"/>
      <c r="S61" s="237"/>
      <c r="T61" s="237"/>
      <c r="U61" s="237"/>
      <c r="V61" s="237"/>
      <c r="W61" s="237"/>
      <c r="X61" s="237"/>
      <c r="Y61" s="237"/>
      <c r="Z61" s="237"/>
    </row>
    <row r="62" ht="14.25" customHeight="1" spans="1:26">
      <c r="A62" s="237"/>
      <c r="B62" s="237"/>
      <c r="C62" s="237"/>
      <c r="D62" s="237"/>
      <c r="E62" s="237"/>
      <c r="F62" s="237"/>
      <c r="G62" s="237"/>
      <c r="H62" s="237"/>
      <c r="I62" s="237"/>
      <c r="J62" s="237"/>
      <c r="K62" s="237"/>
      <c r="L62" s="237"/>
      <c r="M62" s="237"/>
      <c r="N62" s="237"/>
      <c r="O62" s="237"/>
      <c r="P62" s="237"/>
      <c r="Q62" s="237"/>
      <c r="R62" s="237"/>
      <c r="S62" s="237"/>
      <c r="T62" s="237"/>
      <c r="U62" s="237"/>
      <c r="V62" s="237"/>
      <c r="W62" s="237"/>
      <c r="X62" s="237"/>
      <c r="Y62" s="237"/>
      <c r="Z62" s="237"/>
    </row>
    <row r="63" ht="14.25" customHeight="1" spans="1:26">
      <c r="A63" s="237"/>
      <c r="B63" s="237"/>
      <c r="C63" s="237"/>
      <c r="D63" s="237"/>
      <c r="E63" s="237"/>
      <c r="F63" s="237"/>
      <c r="G63" s="237"/>
      <c r="H63" s="237"/>
      <c r="I63" s="237"/>
      <c r="J63" s="237"/>
      <c r="K63" s="237"/>
      <c r="L63" s="237"/>
      <c r="M63" s="237"/>
      <c r="N63" s="237"/>
      <c r="O63" s="237"/>
      <c r="P63" s="237"/>
      <c r="Q63" s="237"/>
      <c r="R63" s="237"/>
      <c r="S63" s="237"/>
      <c r="T63" s="237"/>
      <c r="U63" s="237"/>
      <c r="V63" s="237"/>
      <c r="W63" s="237"/>
      <c r="X63" s="237"/>
      <c r="Y63" s="237"/>
      <c r="Z63" s="237"/>
    </row>
    <row r="64" ht="14.25" customHeight="1" spans="1:26">
      <c r="A64" s="237"/>
      <c r="B64" s="237"/>
      <c r="C64" s="237"/>
      <c r="D64" s="237"/>
      <c r="E64" s="237"/>
      <c r="F64" s="237"/>
      <c r="G64" s="237"/>
      <c r="H64" s="237"/>
      <c r="I64" s="237"/>
      <c r="J64" s="237"/>
      <c r="K64" s="237"/>
      <c r="L64" s="237"/>
      <c r="M64" s="237"/>
      <c r="N64" s="237"/>
      <c r="O64" s="237"/>
      <c r="P64" s="237"/>
      <c r="Q64" s="237"/>
      <c r="R64" s="237"/>
      <c r="S64" s="237"/>
      <c r="T64" s="237"/>
      <c r="U64" s="237"/>
      <c r="V64" s="237"/>
      <c r="W64" s="237"/>
      <c r="X64" s="237"/>
      <c r="Y64" s="237"/>
      <c r="Z64" s="237"/>
    </row>
    <row r="65" ht="14.25" customHeight="1" spans="1:26">
      <c r="A65" s="237"/>
      <c r="B65" s="237"/>
      <c r="C65" s="237"/>
      <c r="D65" s="237"/>
      <c r="E65" s="237"/>
      <c r="F65" s="237"/>
      <c r="G65" s="237"/>
      <c r="H65" s="237"/>
      <c r="I65" s="237"/>
      <c r="J65" s="237"/>
      <c r="K65" s="237"/>
      <c r="L65" s="237"/>
      <c r="M65" s="237"/>
      <c r="N65" s="237"/>
      <c r="O65" s="237"/>
      <c r="P65" s="237"/>
      <c r="Q65" s="237"/>
      <c r="R65" s="237"/>
      <c r="S65" s="237"/>
      <c r="T65" s="237"/>
      <c r="U65" s="237"/>
      <c r="V65" s="237"/>
      <c r="W65" s="237"/>
      <c r="X65" s="237"/>
      <c r="Y65" s="237"/>
      <c r="Z65" s="237"/>
    </row>
    <row r="66" ht="14.25" customHeight="1" spans="1:26">
      <c r="A66" s="237"/>
      <c r="B66" s="237"/>
      <c r="C66" s="237"/>
      <c r="D66" s="237"/>
      <c r="E66" s="237"/>
      <c r="F66" s="237"/>
      <c r="G66" s="237"/>
      <c r="H66" s="237"/>
      <c r="I66" s="237"/>
      <c r="J66" s="237"/>
      <c r="K66" s="237"/>
      <c r="L66" s="237"/>
      <c r="M66" s="237"/>
      <c r="N66" s="237"/>
      <c r="O66" s="237"/>
      <c r="P66" s="237"/>
      <c r="Q66" s="237"/>
      <c r="R66" s="237"/>
      <c r="S66" s="237"/>
      <c r="T66" s="237"/>
      <c r="U66" s="237"/>
      <c r="V66" s="237"/>
      <c r="W66" s="237"/>
      <c r="X66" s="237"/>
      <c r="Y66" s="237"/>
      <c r="Z66" s="237"/>
    </row>
    <row r="67" ht="14.25" customHeight="1" spans="1:26">
      <c r="A67" s="237"/>
      <c r="B67" s="237"/>
      <c r="C67" s="237"/>
      <c r="D67" s="237"/>
      <c r="E67" s="237"/>
      <c r="F67" s="237"/>
      <c r="G67" s="237"/>
      <c r="H67" s="237"/>
      <c r="I67" s="237"/>
      <c r="J67" s="237"/>
      <c r="K67" s="237"/>
      <c r="L67" s="237"/>
      <c r="M67" s="237"/>
      <c r="N67" s="237"/>
      <c r="O67" s="237"/>
      <c r="P67" s="237"/>
      <c r="Q67" s="237"/>
      <c r="R67" s="237"/>
      <c r="S67" s="237"/>
      <c r="T67" s="237"/>
      <c r="U67" s="237"/>
      <c r="V67" s="237"/>
      <c r="W67" s="237"/>
      <c r="X67" s="237"/>
      <c r="Y67" s="237"/>
      <c r="Z67" s="237"/>
    </row>
    <row r="68" ht="14.25" customHeight="1" spans="1:26">
      <c r="A68" s="237"/>
      <c r="B68" s="237"/>
      <c r="C68" s="237"/>
      <c r="D68" s="237"/>
      <c r="E68" s="237"/>
      <c r="F68" s="237"/>
      <c r="G68" s="237"/>
      <c r="H68" s="237"/>
      <c r="I68" s="237"/>
      <c r="J68" s="237"/>
      <c r="K68" s="237"/>
      <c r="L68" s="237"/>
      <c r="M68" s="237"/>
      <c r="N68" s="237"/>
      <c r="O68" s="237"/>
      <c r="P68" s="237"/>
      <c r="Q68" s="237"/>
      <c r="R68" s="237"/>
      <c r="S68" s="237"/>
      <c r="T68" s="237"/>
      <c r="U68" s="237"/>
      <c r="V68" s="237"/>
      <c r="W68" s="237"/>
      <c r="X68" s="237"/>
      <c r="Y68" s="237"/>
      <c r="Z68" s="237"/>
    </row>
    <row r="69" ht="14.25" customHeight="1" spans="1:26">
      <c r="A69" s="237"/>
      <c r="B69" s="237"/>
      <c r="C69" s="237"/>
      <c r="D69" s="237"/>
      <c r="E69" s="237"/>
      <c r="F69" s="237"/>
      <c r="G69" s="237"/>
      <c r="H69" s="237"/>
      <c r="I69" s="237"/>
      <c r="J69" s="237"/>
      <c r="K69" s="237"/>
      <c r="L69" s="237"/>
      <c r="M69" s="237"/>
      <c r="N69" s="237"/>
      <c r="O69" s="237"/>
      <c r="P69" s="237"/>
      <c r="Q69" s="237"/>
      <c r="R69" s="237"/>
      <c r="S69" s="237"/>
      <c r="T69" s="237"/>
      <c r="U69" s="237"/>
      <c r="V69" s="237"/>
      <c r="W69" s="237"/>
      <c r="X69" s="237"/>
      <c r="Y69" s="237"/>
      <c r="Z69" s="237"/>
    </row>
    <row r="70" ht="14.25" customHeight="1" spans="1:26">
      <c r="A70" s="237"/>
      <c r="B70" s="237"/>
      <c r="C70" s="237"/>
      <c r="D70" s="237"/>
      <c r="E70" s="237"/>
      <c r="F70" s="237"/>
      <c r="G70" s="237"/>
      <c r="H70" s="237"/>
      <c r="I70" s="237"/>
      <c r="J70" s="237"/>
      <c r="K70" s="237"/>
      <c r="L70" s="237"/>
      <c r="M70" s="237"/>
      <c r="N70" s="237"/>
      <c r="O70" s="237"/>
      <c r="P70" s="237"/>
      <c r="Q70" s="237"/>
      <c r="R70" s="237"/>
      <c r="S70" s="237"/>
      <c r="T70" s="237"/>
      <c r="U70" s="237"/>
      <c r="V70" s="237"/>
      <c r="W70" s="237"/>
      <c r="X70" s="237"/>
      <c r="Y70" s="237"/>
      <c r="Z70" s="237"/>
    </row>
    <row r="71" ht="14.25" customHeight="1" spans="1:26">
      <c r="A71" s="237"/>
      <c r="B71" s="237"/>
      <c r="C71" s="237"/>
      <c r="D71" s="237"/>
      <c r="E71" s="237"/>
      <c r="F71" s="237"/>
      <c r="G71" s="237"/>
      <c r="H71" s="237"/>
      <c r="I71" s="237"/>
      <c r="J71" s="237"/>
      <c r="K71" s="237"/>
      <c r="L71" s="237"/>
      <c r="M71" s="237"/>
      <c r="N71" s="237"/>
      <c r="O71" s="237"/>
      <c r="P71" s="237"/>
      <c r="Q71" s="237"/>
      <c r="R71" s="237"/>
      <c r="S71" s="237"/>
      <c r="T71" s="237"/>
      <c r="U71" s="237"/>
      <c r="V71" s="237"/>
      <c r="W71" s="237"/>
      <c r="X71" s="237"/>
      <c r="Y71" s="237"/>
      <c r="Z71" s="237"/>
    </row>
    <row r="72" ht="14.25" customHeight="1" spans="1:26">
      <c r="A72" s="237"/>
      <c r="B72" s="237"/>
      <c r="C72" s="237"/>
      <c r="D72" s="237"/>
      <c r="E72" s="237"/>
      <c r="F72" s="237"/>
      <c r="G72" s="237"/>
      <c r="H72" s="237"/>
      <c r="I72" s="237"/>
      <c r="J72" s="237"/>
      <c r="K72" s="237"/>
      <c r="L72" s="237"/>
      <c r="M72" s="237"/>
      <c r="N72" s="237"/>
      <c r="O72" s="237"/>
      <c r="P72" s="237"/>
      <c r="Q72" s="237"/>
      <c r="R72" s="237"/>
      <c r="S72" s="237"/>
      <c r="T72" s="237"/>
      <c r="U72" s="237"/>
      <c r="V72" s="237"/>
      <c r="W72" s="237"/>
      <c r="X72" s="237"/>
      <c r="Y72" s="237"/>
      <c r="Z72" s="237"/>
    </row>
    <row r="73" ht="14.25" customHeight="1" spans="1:26">
      <c r="A73" s="237"/>
      <c r="B73" s="237"/>
      <c r="C73" s="237"/>
      <c r="D73" s="237"/>
      <c r="E73" s="237"/>
      <c r="F73" s="237"/>
      <c r="G73" s="237"/>
      <c r="H73" s="237"/>
      <c r="I73" s="237"/>
      <c r="J73" s="237"/>
      <c r="K73" s="237"/>
      <c r="L73" s="237"/>
      <c r="M73" s="237"/>
      <c r="N73" s="237"/>
      <c r="O73" s="237"/>
      <c r="P73" s="237"/>
      <c r="Q73" s="237"/>
      <c r="R73" s="237"/>
      <c r="S73" s="237"/>
      <c r="T73" s="237"/>
      <c r="U73" s="237"/>
      <c r="V73" s="237"/>
      <c r="W73" s="237"/>
      <c r="X73" s="237"/>
      <c r="Y73" s="237"/>
      <c r="Z73" s="237"/>
    </row>
    <row r="74" ht="14.25" customHeight="1" spans="1:26">
      <c r="A74" s="237"/>
      <c r="B74" s="237"/>
      <c r="C74" s="237"/>
      <c r="D74" s="237"/>
      <c r="E74" s="237"/>
      <c r="F74" s="237"/>
      <c r="G74" s="237"/>
      <c r="H74" s="237"/>
      <c r="I74" s="237"/>
      <c r="J74" s="237"/>
      <c r="K74" s="237"/>
      <c r="L74" s="237"/>
      <c r="M74" s="237"/>
      <c r="N74" s="237"/>
      <c r="O74" s="237"/>
      <c r="P74" s="237"/>
      <c r="Q74" s="237"/>
      <c r="R74" s="237"/>
      <c r="S74" s="237"/>
      <c r="T74" s="237"/>
      <c r="U74" s="237"/>
      <c r="V74" s="237"/>
      <c r="W74" s="237"/>
      <c r="X74" s="237"/>
      <c r="Y74" s="237"/>
      <c r="Z74" s="237"/>
    </row>
    <row r="75" ht="14.25" customHeight="1" spans="1:26">
      <c r="A75" s="237"/>
      <c r="B75" s="237"/>
      <c r="C75" s="237"/>
      <c r="D75" s="237"/>
      <c r="E75" s="237"/>
      <c r="F75" s="237"/>
      <c r="G75" s="237"/>
      <c r="H75" s="237"/>
      <c r="I75" s="237"/>
      <c r="J75" s="237"/>
      <c r="K75" s="237"/>
      <c r="L75" s="237"/>
      <c r="M75" s="237"/>
      <c r="N75" s="237"/>
      <c r="O75" s="237"/>
      <c r="P75" s="237"/>
      <c r="Q75" s="237"/>
      <c r="R75" s="237"/>
      <c r="S75" s="237"/>
      <c r="T75" s="237"/>
      <c r="U75" s="237"/>
      <c r="V75" s="237"/>
      <c r="W75" s="237"/>
      <c r="X75" s="237"/>
      <c r="Y75" s="237"/>
      <c r="Z75" s="237"/>
    </row>
    <row r="76" ht="14.25" customHeight="1" spans="1:26">
      <c r="A76" s="237"/>
      <c r="B76" s="237"/>
      <c r="C76" s="237"/>
      <c r="D76" s="237"/>
      <c r="E76" s="237"/>
      <c r="F76" s="237"/>
      <c r="G76" s="237"/>
      <c r="H76" s="237"/>
      <c r="I76" s="237"/>
      <c r="J76" s="237"/>
      <c r="K76" s="237"/>
      <c r="L76" s="237"/>
      <c r="M76" s="237"/>
      <c r="N76" s="237"/>
      <c r="O76" s="237"/>
      <c r="P76" s="237"/>
      <c r="Q76" s="237"/>
      <c r="R76" s="237"/>
      <c r="S76" s="237"/>
      <c r="T76" s="237"/>
      <c r="U76" s="237"/>
      <c r="V76" s="237"/>
      <c r="W76" s="237"/>
      <c r="X76" s="237"/>
      <c r="Y76" s="237"/>
      <c r="Z76" s="237"/>
    </row>
    <row r="77" ht="14.25" customHeight="1" spans="1:26">
      <c r="A77" s="237"/>
      <c r="B77" s="237"/>
      <c r="C77" s="237"/>
      <c r="D77" s="237"/>
      <c r="E77" s="237"/>
      <c r="F77" s="237"/>
      <c r="G77" s="237"/>
      <c r="H77" s="237"/>
      <c r="I77" s="237"/>
      <c r="J77" s="237"/>
      <c r="K77" s="237"/>
      <c r="L77" s="237"/>
      <c r="M77" s="237"/>
      <c r="N77" s="237"/>
      <c r="O77" s="237"/>
      <c r="P77" s="237"/>
      <c r="Q77" s="237"/>
      <c r="R77" s="237"/>
      <c r="S77" s="237"/>
      <c r="T77" s="237"/>
      <c r="U77" s="237"/>
      <c r="V77" s="237"/>
      <c r="W77" s="237"/>
      <c r="X77" s="237"/>
      <c r="Y77" s="237"/>
      <c r="Z77" s="237"/>
    </row>
    <row r="78" ht="14.25" customHeight="1" spans="1:26">
      <c r="A78" s="237"/>
      <c r="B78" s="237"/>
      <c r="C78" s="237"/>
      <c r="D78" s="237"/>
      <c r="E78" s="237"/>
      <c r="F78" s="237"/>
      <c r="G78" s="237"/>
      <c r="H78" s="237"/>
      <c r="I78" s="237"/>
      <c r="J78" s="237"/>
      <c r="K78" s="237"/>
      <c r="L78" s="237"/>
      <c r="M78" s="237"/>
      <c r="N78" s="237"/>
      <c r="O78" s="237"/>
      <c r="P78" s="237"/>
      <c r="Q78" s="237"/>
      <c r="R78" s="237"/>
      <c r="S78" s="237"/>
      <c r="T78" s="237"/>
      <c r="U78" s="237"/>
      <c r="V78" s="237"/>
      <c r="W78" s="237"/>
      <c r="X78" s="237"/>
      <c r="Y78" s="237"/>
      <c r="Z78" s="237"/>
    </row>
    <row r="79" ht="14.25" customHeight="1" spans="1:26">
      <c r="A79" s="237"/>
      <c r="B79" s="237"/>
      <c r="C79" s="237"/>
      <c r="D79" s="237"/>
      <c r="E79" s="237"/>
      <c r="F79" s="237"/>
      <c r="G79" s="237"/>
      <c r="H79" s="237"/>
      <c r="I79" s="237"/>
      <c r="J79" s="237"/>
      <c r="K79" s="237"/>
      <c r="L79" s="237"/>
      <c r="M79" s="237"/>
      <c r="N79" s="237"/>
      <c r="O79" s="237"/>
      <c r="P79" s="237"/>
      <c r="Q79" s="237"/>
      <c r="R79" s="237"/>
      <c r="S79" s="237"/>
      <c r="T79" s="237"/>
      <c r="U79" s="237"/>
      <c r="V79" s="237"/>
      <c r="W79" s="237"/>
      <c r="X79" s="237"/>
      <c r="Y79" s="237"/>
      <c r="Z79" s="237"/>
    </row>
    <row r="80" ht="14.25" customHeight="1" spans="1:26">
      <c r="A80" s="237"/>
      <c r="B80" s="237"/>
      <c r="C80" s="237"/>
      <c r="D80" s="237"/>
      <c r="E80" s="237"/>
      <c r="F80" s="237"/>
      <c r="G80" s="237"/>
      <c r="H80" s="237"/>
      <c r="I80" s="237"/>
      <c r="J80" s="237"/>
      <c r="K80" s="237"/>
      <c r="L80" s="237"/>
      <c r="M80" s="237"/>
      <c r="N80" s="237"/>
      <c r="O80" s="237"/>
      <c r="P80" s="237"/>
      <c r="Q80" s="237"/>
      <c r="R80" s="237"/>
      <c r="S80" s="237"/>
      <c r="T80" s="237"/>
      <c r="U80" s="237"/>
      <c r="V80" s="237"/>
      <c r="W80" s="237"/>
      <c r="X80" s="237"/>
      <c r="Y80" s="237"/>
      <c r="Z80" s="237"/>
    </row>
    <row r="81" ht="14.25" customHeight="1" spans="1:26">
      <c r="A81" s="237"/>
      <c r="B81" s="237"/>
      <c r="C81" s="237"/>
      <c r="D81" s="237"/>
      <c r="E81" s="237"/>
      <c r="F81" s="237"/>
      <c r="G81" s="237"/>
      <c r="H81" s="237"/>
      <c r="I81" s="237"/>
      <c r="J81" s="237"/>
      <c r="K81" s="237"/>
      <c r="L81" s="237"/>
      <c r="M81" s="237"/>
      <c r="N81" s="237"/>
      <c r="O81" s="237"/>
      <c r="P81" s="237"/>
      <c r="Q81" s="237"/>
      <c r="R81" s="237"/>
      <c r="S81" s="237"/>
      <c r="T81" s="237"/>
      <c r="U81" s="237"/>
      <c r="V81" s="237"/>
      <c r="W81" s="237"/>
      <c r="X81" s="237"/>
      <c r="Y81" s="237"/>
      <c r="Z81" s="237"/>
    </row>
    <row r="82" ht="14.25" customHeight="1" spans="1:26">
      <c r="A82" s="237"/>
      <c r="B82" s="237"/>
      <c r="C82" s="237"/>
      <c r="D82" s="237"/>
      <c r="E82" s="237"/>
      <c r="F82" s="237"/>
      <c r="G82" s="237"/>
      <c r="H82" s="237"/>
      <c r="I82" s="237"/>
      <c r="J82" s="237"/>
      <c r="K82" s="237"/>
      <c r="L82" s="237"/>
      <c r="M82" s="237"/>
      <c r="N82" s="237"/>
      <c r="O82" s="237"/>
      <c r="P82" s="237"/>
      <c r="Q82" s="237"/>
      <c r="R82" s="237"/>
      <c r="S82" s="237"/>
      <c r="T82" s="237"/>
      <c r="U82" s="237"/>
      <c r="V82" s="237"/>
      <c r="W82" s="237"/>
      <c r="X82" s="237"/>
      <c r="Y82" s="237"/>
      <c r="Z82" s="237"/>
    </row>
    <row r="83" ht="14.25" customHeight="1" spans="1:26">
      <c r="A83" s="237"/>
      <c r="B83" s="237"/>
      <c r="C83" s="237"/>
      <c r="D83" s="237"/>
      <c r="E83" s="237"/>
      <c r="F83" s="237"/>
      <c r="G83" s="237"/>
      <c r="H83" s="237"/>
      <c r="I83" s="237"/>
      <c r="J83" s="237"/>
      <c r="K83" s="237"/>
      <c r="L83" s="237"/>
      <c r="M83" s="237"/>
      <c r="N83" s="237"/>
      <c r="O83" s="237"/>
      <c r="P83" s="237"/>
      <c r="Q83" s="237"/>
      <c r="R83" s="237"/>
      <c r="S83" s="237"/>
      <c r="T83" s="237"/>
      <c r="U83" s="237"/>
      <c r="V83" s="237"/>
      <c r="W83" s="237"/>
      <c r="X83" s="237"/>
      <c r="Y83" s="237"/>
      <c r="Z83" s="237"/>
    </row>
    <row r="84" ht="14.25" customHeight="1" spans="1:26">
      <c r="A84" s="237"/>
      <c r="B84" s="237"/>
      <c r="C84" s="237"/>
      <c r="D84" s="237"/>
      <c r="E84" s="237"/>
      <c r="F84" s="237"/>
      <c r="G84" s="237"/>
      <c r="H84" s="237"/>
      <c r="I84" s="237"/>
      <c r="J84" s="237"/>
      <c r="K84" s="237"/>
      <c r="L84" s="237"/>
      <c r="M84" s="237"/>
      <c r="N84" s="237"/>
      <c r="O84" s="237"/>
      <c r="P84" s="237"/>
      <c r="Q84" s="237"/>
      <c r="R84" s="237"/>
      <c r="S84" s="237"/>
      <c r="T84" s="237"/>
      <c r="U84" s="237"/>
      <c r="V84" s="237"/>
      <c r="W84" s="237"/>
      <c r="X84" s="237"/>
      <c r="Y84" s="237"/>
      <c r="Z84" s="237"/>
    </row>
    <row r="85" ht="14.25" customHeight="1" spans="1:26">
      <c r="A85" s="237"/>
      <c r="B85" s="237"/>
      <c r="C85" s="237"/>
      <c r="D85" s="237"/>
      <c r="E85" s="237"/>
      <c r="F85" s="237"/>
      <c r="G85" s="237"/>
      <c r="H85" s="237"/>
      <c r="I85" s="237"/>
      <c r="J85" s="237"/>
      <c r="K85" s="237"/>
      <c r="L85" s="237"/>
      <c r="M85" s="237"/>
      <c r="N85" s="237"/>
      <c r="O85" s="237"/>
      <c r="P85" s="237"/>
      <c r="Q85" s="237"/>
      <c r="R85" s="237"/>
      <c r="S85" s="237"/>
      <c r="T85" s="237"/>
      <c r="U85" s="237"/>
      <c r="V85" s="237"/>
      <c r="W85" s="237"/>
      <c r="X85" s="237"/>
      <c r="Y85" s="237"/>
      <c r="Z85" s="237"/>
    </row>
    <row r="86" ht="14.25" customHeight="1" spans="1:26">
      <c r="A86" s="237"/>
      <c r="B86" s="237"/>
      <c r="C86" s="237"/>
      <c r="D86" s="237"/>
      <c r="E86" s="237"/>
      <c r="F86" s="237"/>
      <c r="G86" s="237"/>
      <c r="H86" s="237"/>
      <c r="I86" s="237"/>
      <c r="J86" s="237"/>
      <c r="K86" s="237"/>
      <c r="L86" s="237"/>
      <c r="M86" s="237"/>
      <c r="N86" s="237"/>
      <c r="O86" s="237"/>
      <c r="P86" s="237"/>
      <c r="Q86" s="237"/>
      <c r="R86" s="237"/>
      <c r="S86" s="237"/>
      <c r="T86" s="237"/>
      <c r="U86" s="237"/>
      <c r="V86" s="237"/>
      <c r="W86" s="237"/>
      <c r="X86" s="237"/>
      <c r="Y86" s="237"/>
      <c r="Z86" s="237"/>
    </row>
    <row r="87" ht="14.25" customHeight="1" spans="1:26">
      <c r="A87" s="237"/>
      <c r="B87" s="237"/>
      <c r="C87" s="237"/>
      <c r="D87" s="237"/>
      <c r="E87" s="237"/>
      <c r="F87" s="237"/>
      <c r="G87" s="237"/>
      <c r="H87" s="237"/>
      <c r="I87" s="237"/>
      <c r="J87" s="237"/>
      <c r="K87" s="237"/>
      <c r="L87" s="237"/>
      <c r="M87" s="237"/>
      <c r="N87" s="237"/>
      <c r="O87" s="237"/>
      <c r="P87" s="237"/>
      <c r="Q87" s="237"/>
      <c r="R87" s="237"/>
      <c r="S87" s="237"/>
      <c r="T87" s="237"/>
      <c r="U87" s="237"/>
      <c r="V87" s="237"/>
      <c r="W87" s="237"/>
      <c r="X87" s="237"/>
      <c r="Y87" s="237"/>
      <c r="Z87" s="237"/>
    </row>
    <row r="88" ht="14.25" customHeight="1" spans="1:26">
      <c r="A88" s="237"/>
      <c r="B88" s="237"/>
      <c r="C88" s="237"/>
      <c r="D88" s="237"/>
      <c r="E88" s="237"/>
      <c r="F88" s="237"/>
      <c r="G88" s="237"/>
      <c r="H88" s="237"/>
      <c r="I88" s="237"/>
      <c r="J88" s="237"/>
      <c r="K88" s="237"/>
      <c r="L88" s="237"/>
      <c r="M88" s="237"/>
      <c r="N88" s="237"/>
      <c r="O88" s="237"/>
      <c r="P88" s="237"/>
      <c r="Q88" s="237"/>
      <c r="R88" s="237"/>
      <c r="S88" s="237"/>
      <c r="T88" s="237"/>
      <c r="U88" s="237"/>
      <c r="V88" s="237"/>
      <c r="W88" s="237"/>
      <c r="X88" s="237"/>
      <c r="Y88" s="237"/>
      <c r="Z88" s="237"/>
    </row>
    <row r="89" ht="14.25" customHeight="1" spans="1:26">
      <c r="A89" s="237"/>
      <c r="B89" s="237"/>
      <c r="C89" s="237"/>
      <c r="D89" s="237"/>
      <c r="E89" s="237"/>
      <c r="F89" s="237"/>
      <c r="G89" s="237"/>
      <c r="H89" s="237"/>
      <c r="I89" s="237"/>
      <c r="J89" s="237"/>
      <c r="K89" s="237"/>
      <c r="L89" s="237"/>
      <c r="M89" s="237"/>
      <c r="N89" s="237"/>
      <c r="O89" s="237"/>
      <c r="P89" s="237"/>
      <c r="Q89" s="237"/>
      <c r="R89" s="237"/>
      <c r="S89" s="237"/>
      <c r="T89" s="237"/>
      <c r="U89" s="237"/>
      <c r="V89" s="237"/>
      <c r="W89" s="237"/>
      <c r="X89" s="237"/>
      <c r="Y89" s="237"/>
      <c r="Z89" s="237"/>
    </row>
    <row r="90" ht="14.25" customHeight="1" spans="1:26">
      <c r="A90" s="237"/>
      <c r="B90" s="237"/>
      <c r="C90" s="237"/>
      <c r="D90" s="237"/>
      <c r="E90" s="237"/>
      <c r="F90" s="237"/>
      <c r="G90" s="237"/>
      <c r="H90" s="237"/>
      <c r="I90" s="237"/>
      <c r="J90" s="237"/>
      <c r="K90" s="237"/>
      <c r="L90" s="237"/>
      <c r="M90" s="237"/>
      <c r="N90" s="237"/>
      <c r="O90" s="237"/>
      <c r="P90" s="237"/>
      <c r="Q90" s="237"/>
      <c r="R90" s="237"/>
      <c r="S90" s="237"/>
      <c r="T90" s="237"/>
      <c r="U90" s="237"/>
      <c r="V90" s="237"/>
      <c r="W90" s="237"/>
      <c r="X90" s="237"/>
      <c r="Y90" s="237"/>
      <c r="Z90" s="237"/>
    </row>
    <row r="91" ht="14.25" customHeight="1" spans="1:26">
      <c r="A91" s="237"/>
      <c r="B91" s="237"/>
      <c r="C91" s="237"/>
      <c r="D91" s="237"/>
      <c r="E91" s="237"/>
      <c r="F91" s="237"/>
      <c r="G91" s="237"/>
      <c r="H91" s="237"/>
      <c r="I91" s="237"/>
      <c r="J91" s="237"/>
      <c r="K91" s="237"/>
      <c r="L91" s="237"/>
      <c r="M91" s="237"/>
      <c r="N91" s="237"/>
      <c r="O91" s="237"/>
      <c r="P91" s="237"/>
      <c r="Q91" s="237"/>
      <c r="R91" s="237"/>
      <c r="S91" s="237"/>
      <c r="T91" s="237"/>
      <c r="U91" s="237"/>
      <c r="V91" s="237"/>
      <c r="W91" s="237"/>
      <c r="X91" s="237"/>
      <c r="Y91" s="237"/>
      <c r="Z91" s="237"/>
    </row>
    <row r="92" ht="14.25" customHeight="1" spans="1:26">
      <c r="A92" s="237"/>
      <c r="B92" s="237"/>
      <c r="C92" s="237"/>
      <c r="D92" s="237"/>
      <c r="E92" s="237"/>
      <c r="F92" s="237"/>
      <c r="G92" s="237"/>
      <c r="H92" s="237"/>
      <c r="I92" s="237"/>
      <c r="J92" s="237"/>
      <c r="K92" s="237"/>
      <c r="L92" s="237"/>
      <c r="M92" s="237"/>
      <c r="N92" s="237"/>
      <c r="O92" s="237"/>
      <c r="P92" s="237"/>
      <c r="Q92" s="237"/>
      <c r="R92" s="237"/>
      <c r="S92" s="237"/>
      <c r="T92" s="237"/>
      <c r="U92" s="237"/>
      <c r="V92" s="237"/>
      <c r="W92" s="237"/>
      <c r="X92" s="237"/>
      <c r="Y92" s="237"/>
      <c r="Z92" s="237"/>
    </row>
    <row r="93" ht="14.25" customHeight="1" spans="1:26">
      <c r="A93" s="237"/>
      <c r="B93" s="237"/>
      <c r="C93" s="237"/>
      <c r="D93" s="237"/>
      <c r="E93" s="237"/>
      <c r="F93" s="237"/>
      <c r="G93" s="237"/>
      <c r="H93" s="237"/>
      <c r="I93" s="237"/>
      <c r="J93" s="237"/>
      <c r="K93" s="237"/>
      <c r="L93" s="237"/>
      <c r="M93" s="237"/>
      <c r="N93" s="237"/>
      <c r="O93" s="237"/>
      <c r="P93" s="237"/>
      <c r="Q93" s="237"/>
      <c r="R93" s="237"/>
      <c r="S93" s="237"/>
      <c r="T93" s="237"/>
      <c r="U93" s="237"/>
      <c r="V93" s="237"/>
      <c r="W93" s="237"/>
      <c r="X93" s="237"/>
      <c r="Y93" s="237"/>
      <c r="Z93" s="237"/>
    </row>
    <row r="94" ht="14.25" customHeight="1" spans="1:26">
      <c r="A94" s="237"/>
      <c r="B94" s="237"/>
      <c r="C94" s="237"/>
      <c r="D94" s="237"/>
      <c r="E94" s="237"/>
      <c r="F94" s="237"/>
      <c r="G94" s="237"/>
      <c r="H94" s="237"/>
      <c r="I94" s="237"/>
      <c r="J94" s="237"/>
      <c r="K94" s="237"/>
      <c r="L94" s="237"/>
      <c r="M94" s="237"/>
      <c r="N94" s="237"/>
      <c r="O94" s="237"/>
      <c r="P94" s="237"/>
      <c r="Q94" s="237"/>
      <c r="R94" s="237"/>
      <c r="S94" s="237"/>
      <c r="T94" s="237"/>
      <c r="U94" s="237"/>
      <c r="V94" s="237"/>
      <c r="W94" s="237"/>
      <c r="X94" s="237"/>
      <c r="Y94" s="237"/>
      <c r="Z94" s="237"/>
    </row>
    <row r="95" ht="14.25" customHeight="1" spans="1:26">
      <c r="A95" s="237"/>
      <c r="B95" s="237"/>
      <c r="C95" s="237"/>
      <c r="D95" s="237"/>
      <c r="E95" s="237"/>
      <c r="F95" s="237"/>
      <c r="G95" s="237"/>
      <c r="H95" s="237"/>
      <c r="I95" s="237"/>
      <c r="J95" s="237"/>
      <c r="K95" s="237"/>
      <c r="L95" s="237"/>
      <c r="M95" s="237"/>
      <c r="N95" s="237"/>
      <c r="O95" s="237"/>
      <c r="P95" s="237"/>
      <c r="Q95" s="237"/>
      <c r="R95" s="237"/>
      <c r="S95" s="237"/>
      <c r="T95" s="237"/>
      <c r="U95" s="237"/>
      <c r="V95" s="237"/>
      <c r="W95" s="237"/>
      <c r="X95" s="237"/>
      <c r="Y95" s="237"/>
      <c r="Z95" s="237"/>
    </row>
    <row r="96" ht="14.25" customHeight="1" spans="1:26">
      <c r="A96" s="237"/>
      <c r="B96" s="237"/>
      <c r="C96" s="237"/>
      <c r="D96" s="237"/>
      <c r="E96" s="237"/>
      <c r="F96" s="237"/>
      <c r="G96" s="237"/>
      <c r="H96" s="237"/>
      <c r="I96" s="237"/>
      <c r="J96" s="237"/>
      <c r="K96" s="237"/>
      <c r="L96" s="237"/>
      <c r="M96" s="237"/>
      <c r="N96" s="237"/>
      <c r="O96" s="237"/>
      <c r="P96" s="237"/>
      <c r="Q96" s="237"/>
      <c r="R96" s="237"/>
      <c r="S96" s="237"/>
      <c r="T96" s="237"/>
      <c r="U96" s="237"/>
      <c r="V96" s="237"/>
      <c r="W96" s="237"/>
      <c r="X96" s="237"/>
      <c r="Y96" s="237"/>
      <c r="Z96" s="237"/>
    </row>
    <row r="97" ht="14.25" customHeight="1" spans="1:26">
      <c r="A97" s="237"/>
      <c r="B97" s="237"/>
      <c r="C97" s="237"/>
      <c r="D97" s="237"/>
      <c r="E97" s="237"/>
      <c r="F97" s="237"/>
      <c r="G97" s="237"/>
      <c r="H97" s="237"/>
      <c r="I97" s="237"/>
      <c r="J97" s="237"/>
      <c r="K97" s="237"/>
      <c r="L97" s="237"/>
      <c r="M97" s="237"/>
      <c r="N97" s="237"/>
      <c r="O97" s="237"/>
      <c r="P97" s="237"/>
      <c r="Q97" s="237"/>
      <c r="R97" s="237"/>
      <c r="S97" s="237"/>
      <c r="T97" s="237"/>
      <c r="U97" s="237"/>
      <c r="V97" s="237"/>
      <c r="W97" s="237"/>
      <c r="X97" s="237"/>
      <c r="Y97" s="237"/>
      <c r="Z97" s="237"/>
    </row>
    <row r="98" ht="14.25" customHeight="1" spans="1:26">
      <c r="A98" s="237"/>
      <c r="B98" s="237"/>
      <c r="C98" s="237"/>
      <c r="D98" s="237"/>
      <c r="E98" s="237"/>
      <c r="F98" s="237"/>
      <c r="G98" s="237"/>
      <c r="H98" s="237"/>
      <c r="I98" s="237"/>
      <c r="J98" s="237"/>
      <c r="K98" s="237"/>
      <c r="L98" s="237"/>
      <c r="M98" s="237"/>
      <c r="N98" s="237"/>
      <c r="O98" s="237"/>
      <c r="P98" s="237"/>
      <c r="Q98" s="237"/>
      <c r="R98" s="237"/>
      <c r="S98" s="237"/>
      <c r="T98" s="237"/>
      <c r="U98" s="237"/>
      <c r="V98" s="237"/>
      <c r="W98" s="237"/>
      <c r="X98" s="237"/>
      <c r="Y98" s="237"/>
      <c r="Z98" s="237"/>
    </row>
    <row r="99" ht="14.25" customHeight="1" spans="1:26">
      <c r="A99" s="237"/>
      <c r="B99" s="237"/>
      <c r="C99" s="237"/>
      <c r="D99" s="237"/>
      <c r="E99" s="237"/>
      <c r="F99" s="237"/>
      <c r="G99" s="237"/>
      <c r="H99" s="237"/>
      <c r="I99" s="237"/>
      <c r="J99" s="237"/>
      <c r="K99" s="237"/>
      <c r="L99" s="237"/>
      <c r="M99" s="237"/>
      <c r="N99" s="237"/>
      <c r="O99" s="237"/>
      <c r="P99" s="237"/>
      <c r="Q99" s="237"/>
      <c r="R99" s="237"/>
      <c r="S99" s="237"/>
      <c r="T99" s="237"/>
      <c r="U99" s="237"/>
      <c r="V99" s="237"/>
      <c r="W99" s="237"/>
      <c r="X99" s="237"/>
      <c r="Y99" s="237"/>
      <c r="Z99" s="237"/>
    </row>
    <row r="100" ht="14.25" customHeight="1" spans="1:26">
      <c r="A100" s="237"/>
      <c r="B100" s="237"/>
      <c r="C100" s="237"/>
      <c r="D100" s="237"/>
      <c r="E100" s="237"/>
      <c r="F100" s="237"/>
      <c r="G100" s="237"/>
      <c r="H100" s="237"/>
      <c r="I100" s="237"/>
      <c r="J100" s="237"/>
      <c r="K100" s="237"/>
      <c r="L100" s="237"/>
      <c r="M100" s="237"/>
      <c r="N100" s="237"/>
      <c r="O100" s="237"/>
      <c r="P100" s="237"/>
      <c r="Q100" s="237"/>
      <c r="R100" s="237"/>
      <c r="S100" s="237"/>
      <c r="T100" s="237"/>
      <c r="U100" s="237"/>
      <c r="V100" s="237"/>
      <c r="W100" s="237"/>
      <c r="X100" s="237"/>
      <c r="Y100" s="237"/>
      <c r="Z100" s="237"/>
    </row>
    <row r="101" ht="14.25" customHeight="1" spans="1:26">
      <c r="A101" s="237"/>
      <c r="B101" s="237"/>
      <c r="C101" s="237"/>
      <c r="D101" s="237"/>
      <c r="E101" s="237"/>
      <c r="F101" s="237"/>
      <c r="G101" s="237"/>
      <c r="H101" s="237"/>
      <c r="I101" s="237"/>
      <c r="J101" s="237"/>
      <c r="K101" s="237"/>
      <c r="L101" s="237"/>
      <c r="M101" s="237"/>
      <c r="N101" s="237"/>
      <c r="O101" s="237"/>
      <c r="P101" s="237"/>
      <c r="Q101" s="237"/>
      <c r="R101" s="237"/>
      <c r="S101" s="237"/>
      <c r="T101" s="237"/>
      <c r="U101" s="237"/>
      <c r="V101" s="237"/>
      <c r="W101" s="237"/>
      <c r="X101" s="237"/>
      <c r="Y101" s="237"/>
      <c r="Z101" s="237"/>
    </row>
    <row r="102" ht="14.25" customHeight="1" spans="1:26">
      <c r="A102" s="237"/>
      <c r="B102" s="237"/>
      <c r="C102" s="237"/>
      <c r="D102" s="237"/>
      <c r="E102" s="237"/>
      <c r="F102" s="237"/>
      <c r="G102" s="237"/>
      <c r="H102" s="237"/>
      <c r="I102" s="237"/>
      <c r="J102" s="237"/>
      <c r="K102" s="237"/>
      <c r="L102" s="237"/>
      <c r="M102" s="237"/>
      <c r="N102" s="237"/>
      <c r="O102" s="237"/>
      <c r="P102" s="237"/>
      <c r="Q102" s="237"/>
      <c r="R102" s="237"/>
      <c r="S102" s="237"/>
      <c r="T102" s="237"/>
      <c r="U102" s="237"/>
      <c r="V102" s="237"/>
      <c r="W102" s="237"/>
      <c r="X102" s="237"/>
      <c r="Y102" s="237"/>
      <c r="Z102" s="237"/>
    </row>
    <row r="103" ht="14.25" customHeight="1" spans="1:26">
      <c r="A103" s="237"/>
      <c r="B103" s="237"/>
      <c r="C103" s="237"/>
      <c r="D103" s="237"/>
      <c r="E103" s="237"/>
      <c r="F103" s="237"/>
      <c r="G103" s="237"/>
      <c r="H103" s="237"/>
      <c r="I103" s="237"/>
      <c r="J103" s="237"/>
      <c r="K103" s="237"/>
      <c r="L103" s="237"/>
      <c r="M103" s="237"/>
      <c r="N103" s="237"/>
      <c r="O103" s="237"/>
      <c r="P103" s="237"/>
      <c r="Q103" s="237"/>
      <c r="R103" s="237"/>
      <c r="S103" s="237"/>
      <c r="T103" s="237"/>
      <c r="U103" s="237"/>
      <c r="V103" s="237"/>
      <c r="W103" s="237"/>
      <c r="X103" s="237"/>
      <c r="Y103" s="237"/>
      <c r="Z103" s="237"/>
    </row>
    <row r="104" ht="14.25" customHeight="1" spans="1:26">
      <c r="A104" s="237"/>
      <c r="B104" s="237"/>
      <c r="C104" s="237"/>
      <c r="D104" s="237"/>
      <c r="E104" s="237"/>
      <c r="F104" s="237"/>
      <c r="G104" s="237"/>
      <c r="H104" s="237"/>
      <c r="I104" s="237"/>
      <c r="J104" s="237"/>
      <c r="K104" s="237"/>
      <c r="L104" s="237"/>
      <c r="M104" s="237"/>
      <c r="N104" s="237"/>
      <c r="O104" s="237"/>
      <c r="P104" s="237"/>
      <c r="Q104" s="237"/>
      <c r="R104" s="237"/>
      <c r="S104" s="237"/>
      <c r="T104" s="237"/>
      <c r="U104" s="237"/>
      <c r="V104" s="237"/>
      <c r="W104" s="237"/>
      <c r="X104" s="237"/>
      <c r="Y104" s="237"/>
      <c r="Z104" s="237"/>
    </row>
    <row r="105" ht="14.25" customHeight="1" spans="1:26">
      <c r="A105" s="237"/>
      <c r="B105" s="237"/>
      <c r="C105" s="237"/>
      <c r="D105" s="237"/>
      <c r="E105" s="237"/>
      <c r="F105" s="237"/>
      <c r="G105" s="237"/>
      <c r="H105" s="237"/>
      <c r="I105" s="237"/>
      <c r="J105" s="237"/>
      <c r="K105" s="237"/>
      <c r="L105" s="237"/>
      <c r="M105" s="237"/>
      <c r="N105" s="237"/>
      <c r="O105" s="237"/>
      <c r="P105" s="237"/>
      <c r="Q105" s="237"/>
      <c r="R105" s="237"/>
      <c r="S105" s="237"/>
      <c r="T105" s="237"/>
      <c r="U105" s="237"/>
      <c r="V105" s="237"/>
      <c r="W105" s="237"/>
      <c r="X105" s="237"/>
      <c r="Y105" s="237"/>
      <c r="Z105" s="237"/>
    </row>
    <row r="106" ht="14.25" customHeight="1" spans="1:26">
      <c r="A106" s="237"/>
      <c r="B106" s="237"/>
      <c r="C106" s="237"/>
      <c r="D106" s="237"/>
      <c r="E106" s="237"/>
      <c r="F106" s="237"/>
      <c r="G106" s="237"/>
      <c r="H106" s="237"/>
      <c r="I106" s="237"/>
      <c r="J106" s="237"/>
      <c r="K106" s="237"/>
      <c r="L106" s="237"/>
      <c r="M106" s="237"/>
      <c r="N106" s="237"/>
      <c r="O106" s="237"/>
      <c r="P106" s="237"/>
      <c r="Q106" s="237"/>
      <c r="R106" s="237"/>
      <c r="S106" s="237"/>
      <c r="T106" s="237"/>
      <c r="U106" s="237"/>
      <c r="V106" s="237"/>
      <c r="W106" s="237"/>
      <c r="X106" s="237"/>
      <c r="Y106" s="237"/>
      <c r="Z106" s="237"/>
    </row>
    <row r="107" ht="14.25" customHeight="1" spans="1:26">
      <c r="A107" s="237"/>
      <c r="B107" s="237"/>
      <c r="C107" s="237"/>
      <c r="D107" s="237"/>
      <c r="E107" s="237"/>
      <c r="F107" s="237"/>
      <c r="G107" s="237"/>
      <c r="H107" s="237"/>
      <c r="I107" s="237"/>
      <c r="J107" s="237"/>
      <c r="K107" s="237"/>
      <c r="L107" s="237"/>
      <c r="M107" s="237"/>
      <c r="N107" s="237"/>
      <c r="O107" s="237"/>
      <c r="P107" s="237"/>
      <c r="Q107" s="237"/>
      <c r="R107" s="237"/>
      <c r="S107" s="237"/>
      <c r="T107" s="237"/>
      <c r="U107" s="237"/>
      <c r="V107" s="237"/>
      <c r="W107" s="237"/>
      <c r="X107" s="237"/>
      <c r="Y107" s="237"/>
      <c r="Z107" s="237"/>
    </row>
    <row r="108" ht="14.25" customHeight="1" spans="1:26">
      <c r="A108" s="237"/>
      <c r="B108" s="237"/>
      <c r="C108" s="237"/>
      <c r="D108" s="237"/>
      <c r="E108" s="237"/>
      <c r="F108" s="237"/>
      <c r="G108" s="237"/>
      <c r="H108" s="237"/>
      <c r="I108" s="237"/>
      <c r="J108" s="237"/>
      <c r="K108" s="237"/>
      <c r="L108" s="237"/>
      <c r="M108" s="237"/>
      <c r="N108" s="237"/>
      <c r="O108" s="237"/>
      <c r="P108" s="237"/>
      <c r="Q108" s="237"/>
      <c r="R108" s="237"/>
      <c r="S108" s="237"/>
      <c r="T108" s="237"/>
      <c r="U108" s="237"/>
      <c r="V108" s="237"/>
      <c r="W108" s="237"/>
      <c r="X108" s="237"/>
      <c r="Y108" s="237"/>
      <c r="Z108" s="237"/>
    </row>
    <row r="109" ht="14.25" customHeight="1" spans="1:26">
      <c r="A109" s="237"/>
      <c r="B109" s="237"/>
      <c r="C109" s="237"/>
      <c r="D109" s="237"/>
      <c r="E109" s="237"/>
      <c r="F109" s="237"/>
      <c r="G109" s="237"/>
      <c r="H109" s="237"/>
      <c r="I109" s="237"/>
      <c r="J109" s="237"/>
      <c r="K109" s="237"/>
      <c r="L109" s="237"/>
      <c r="M109" s="237"/>
      <c r="N109" s="237"/>
      <c r="O109" s="237"/>
      <c r="P109" s="237"/>
      <c r="Q109" s="237"/>
      <c r="R109" s="237"/>
      <c r="S109" s="237"/>
      <c r="T109" s="237"/>
      <c r="U109" s="237"/>
      <c r="V109" s="237"/>
      <c r="W109" s="237"/>
      <c r="X109" s="237"/>
      <c r="Y109" s="237"/>
      <c r="Z109" s="237"/>
    </row>
    <row r="110" ht="14.25" customHeight="1" spans="1:26">
      <c r="A110" s="237"/>
      <c r="B110" s="237"/>
      <c r="C110" s="237"/>
      <c r="D110" s="237"/>
      <c r="E110" s="237"/>
      <c r="F110" s="237"/>
      <c r="G110" s="237"/>
      <c r="H110" s="237"/>
      <c r="I110" s="237"/>
      <c r="J110" s="237"/>
      <c r="K110" s="237"/>
      <c r="L110" s="237"/>
      <c r="M110" s="237"/>
      <c r="N110" s="237"/>
      <c r="O110" s="237"/>
      <c r="P110" s="237"/>
      <c r="Q110" s="237"/>
      <c r="R110" s="237"/>
      <c r="S110" s="237"/>
      <c r="T110" s="237"/>
      <c r="U110" s="237"/>
      <c r="V110" s="237"/>
      <c r="W110" s="237"/>
      <c r="X110" s="237"/>
      <c r="Y110" s="237"/>
      <c r="Z110" s="237"/>
    </row>
    <row r="111" ht="14.25" customHeight="1" spans="1:26">
      <c r="A111" s="237"/>
      <c r="B111" s="237"/>
      <c r="C111" s="237"/>
      <c r="D111" s="237"/>
      <c r="E111" s="237"/>
      <c r="F111" s="237"/>
      <c r="G111" s="237"/>
      <c r="H111" s="237"/>
      <c r="I111" s="237"/>
      <c r="J111" s="237"/>
      <c r="K111" s="237"/>
      <c r="L111" s="237"/>
      <c r="M111" s="237"/>
      <c r="N111" s="237"/>
      <c r="O111" s="237"/>
      <c r="P111" s="237"/>
      <c r="Q111" s="237"/>
      <c r="R111" s="237"/>
      <c r="S111" s="237"/>
      <c r="T111" s="237"/>
      <c r="U111" s="237"/>
      <c r="V111" s="237"/>
      <c r="W111" s="237"/>
      <c r="X111" s="237"/>
      <c r="Y111" s="237"/>
      <c r="Z111" s="237"/>
    </row>
    <row r="112" ht="14.25" customHeight="1" spans="1:26">
      <c r="A112" s="237"/>
      <c r="B112" s="237"/>
      <c r="C112" s="237"/>
      <c r="D112" s="237"/>
      <c r="E112" s="237"/>
      <c r="F112" s="237"/>
      <c r="G112" s="237"/>
      <c r="H112" s="237"/>
      <c r="I112" s="237"/>
      <c r="J112" s="237"/>
      <c r="K112" s="237"/>
      <c r="L112" s="237"/>
      <c r="M112" s="237"/>
      <c r="N112" s="237"/>
      <c r="O112" s="237"/>
      <c r="P112" s="237"/>
      <c r="Q112" s="237"/>
      <c r="R112" s="237"/>
      <c r="S112" s="237"/>
      <c r="T112" s="237"/>
      <c r="U112" s="237"/>
      <c r="V112" s="237"/>
      <c r="W112" s="237"/>
      <c r="X112" s="237"/>
      <c r="Y112" s="237"/>
      <c r="Z112" s="237"/>
    </row>
    <row r="113" ht="14.25" customHeight="1" spans="1:26">
      <c r="A113" s="237"/>
      <c r="B113" s="237"/>
      <c r="C113" s="237"/>
      <c r="D113" s="237"/>
      <c r="E113" s="237"/>
      <c r="F113" s="237"/>
      <c r="G113" s="237"/>
      <c r="H113" s="237"/>
      <c r="I113" s="237"/>
      <c r="J113" s="237"/>
      <c r="K113" s="237"/>
      <c r="L113" s="237"/>
      <c r="M113" s="237"/>
      <c r="N113" s="237"/>
      <c r="O113" s="237"/>
      <c r="P113" s="237"/>
      <c r="Q113" s="237"/>
      <c r="R113" s="237"/>
      <c r="S113" s="237"/>
      <c r="T113" s="237"/>
      <c r="U113" s="237"/>
      <c r="V113" s="237"/>
      <c r="W113" s="237"/>
      <c r="X113" s="237"/>
      <c r="Y113" s="237"/>
      <c r="Z113" s="237"/>
    </row>
    <row r="114" ht="14.25" customHeight="1" spans="1:26">
      <c r="A114" s="237"/>
      <c r="B114" s="237"/>
      <c r="C114" s="237"/>
      <c r="D114" s="237"/>
      <c r="E114" s="237"/>
      <c r="F114" s="237"/>
      <c r="G114" s="237"/>
      <c r="H114" s="237"/>
      <c r="I114" s="237"/>
      <c r="J114" s="237"/>
      <c r="K114" s="237"/>
      <c r="L114" s="237"/>
      <c r="M114" s="237"/>
      <c r="N114" s="237"/>
      <c r="O114" s="237"/>
      <c r="P114" s="237"/>
      <c r="Q114" s="237"/>
      <c r="R114" s="237"/>
      <c r="S114" s="237"/>
      <c r="T114" s="237"/>
      <c r="U114" s="237"/>
      <c r="V114" s="237"/>
      <c r="W114" s="237"/>
      <c r="X114" s="237"/>
      <c r="Y114" s="237"/>
      <c r="Z114" s="237"/>
    </row>
    <row r="115" ht="14.25" customHeight="1" spans="1:26">
      <c r="A115" s="237"/>
      <c r="B115" s="237"/>
      <c r="C115" s="237"/>
      <c r="D115" s="237"/>
      <c r="E115" s="237"/>
      <c r="F115" s="237"/>
      <c r="G115" s="237"/>
      <c r="H115" s="237"/>
      <c r="I115" s="237"/>
      <c r="J115" s="237"/>
      <c r="K115" s="237"/>
      <c r="L115" s="237"/>
      <c r="M115" s="237"/>
      <c r="N115" s="237"/>
      <c r="O115" s="237"/>
      <c r="P115" s="237"/>
      <c r="Q115" s="237"/>
      <c r="R115" s="237"/>
      <c r="S115" s="237"/>
      <c r="T115" s="237"/>
      <c r="U115" s="237"/>
      <c r="V115" s="237"/>
      <c r="W115" s="237"/>
      <c r="X115" s="237"/>
      <c r="Y115" s="237"/>
      <c r="Z115" s="237"/>
    </row>
    <row r="116" ht="14.25" customHeight="1" spans="1:26">
      <c r="A116" s="237"/>
      <c r="B116" s="237"/>
      <c r="C116" s="237"/>
      <c r="D116" s="237"/>
      <c r="E116" s="237"/>
      <c r="F116" s="237"/>
      <c r="G116" s="237"/>
      <c r="H116" s="237"/>
      <c r="I116" s="237"/>
      <c r="J116" s="237"/>
      <c r="K116" s="237"/>
      <c r="L116" s="237"/>
      <c r="M116" s="237"/>
      <c r="N116" s="237"/>
      <c r="O116" s="237"/>
      <c r="P116" s="237"/>
      <c r="Q116" s="237"/>
      <c r="R116" s="237"/>
      <c r="S116" s="237"/>
      <c r="T116" s="237"/>
      <c r="U116" s="237"/>
      <c r="V116" s="237"/>
      <c r="W116" s="237"/>
      <c r="X116" s="237"/>
      <c r="Y116" s="237"/>
      <c r="Z116" s="237"/>
    </row>
    <row r="117" ht="14.25" customHeight="1" spans="1:26">
      <c r="A117" s="237"/>
      <c r="B117" s="237"/>
      <c r="C117" s="237"/>
      <c r="D117" s="237"/>
      <c r="E117" s="237"/>
      <c r="F117" s="237"/>
      <c r="G117" s="237"/>
      <c r="H117" s="237"/>
      <c r="I117" s="237"/>
      <c r="J117" s="237"/>
      <c r="K117" s="237"/>
      <c r="L117" s="237"/>
      <c r="M117" s="237"/>
      <c r="N117" s="237"/>
      <c r="O117" s="237"/>
      <c r="P117" s="237"/>
      <c r="Q117" s="237"/>
      <c r="R117" s="237"/>
      <c r="S117" s="237"/>
      <c r="T117" s="237"/>
      <c r="U117" s="237"/>
      <c r="V117" s="237"/>
      <c r="W117" s="237"/>
      <c r="X117" s="237"/>
      <c r="Y117" s="237"/>
      <c r="Z117" s="237"/>
    </row>
    <row r="118" ht="14.25" customHeight="1" spans="1:26">
      <c r="A118" s="237"/>
      <c r="B118" s="237"/>
      <c r="C118" s="237"/>
      <c r="D118" s="237"/>
      <c r="E118" s="237"/>
      <c r="F118" s="237"/>
      <c r="G118" s="237"/>
      <c r="H118" s="237"/>
      <c r="I118" s="237"/>
      <c r="J118" s="237"/>
      <c r="K118" s="237"/>
      <c r="L118" s="237"/>
      <c r="M118" s="237"/>
      <c r="N118" s="237"/>
      <c r="O118" s="237"/>
      <c r="P118" s="237"/>
      <c r="Q118" s="237"/>
      <c r="R118" s="237"/>
      <c r="S118" s="237"/>
      <c r="T118" s="237"/>
      <c r="U118" s="237"/>
      <c r="V118" s="237"/>
      <c r="W118" s="237"/>
      <c r="X118" s="237"/>
      <c r="Y118" s="237"/>
      <c r="Z118" s="237"/>
    </row>
    <row r="119" ht="14.25" customHeight="1" spans="1:26">
      <c r="A119" s="237"/>
      <c r="B119" s="237"/>
      <c r="C119" s="237"/>
      <c r="D119" s="237"/>
      <c r="E119" s="237"/>
      <c r="F119" s="237"/>
      <c r="G119" s="237"/>
      <c r="H119" s="237"/>
      <c r="I119" s="237"/>
      <c r="J119" s="237"/>
      <c r="K119" s="237"/>
      <c r="L119" s="237"/>
      <c r="M119" s="237"/>
      <c r="N119" s="237"/>
      <c r="O119" s="237"/>
      <c r="P119" s="237"/>
      <c r="Q119" s="237"/>
      <c r="R119" s="237"/>
      <c r="S119" s="237"/>
      <c r="T119" s="237"/>
      <c r="U119" s="237"/>
      <c r="V119" s="237"/>
      <c r="W119" s="237"/>
      <c r="X119" s="237"/>
      <c r="Y119" s="237"/>
      <c r="Z119" s="237"/>
    </row>
    <row r="120" ht="14.25" customHeight="1" spans="1:26">
      <c r="A120" s="237"/>
      <c r="B120" s="237"/>
      <c r="C120" s="237"/>
      <c r="D120" s="237"/>
      <c r="E120" s="237"/>
      <c r="F120" s="237"/>
      <c r="G120" s="237"/>
      <c r="H120" s="237"/>
      <c r="I120" s="237"/>
      <c r="J120" s="237"/>
      <c r="K120" s="237"/>
      <c r="L120" s="237"/>
      <c r="M120" s="237"/>
      <c r="N120" s="237"/>
      <c r="O120" s="237"/>
      <c r="P120" s="237"/>
      <c r="Q120" s="237"/>
      <c r="R120" s="237"/>
      <c r="S120" s="237"/>
      <c r="T120" s="237"/>
      <c r="U120" s="237"/>
      <c r="V120" s="237"/>
      <c r="W120" s="237"/>
      <c r="X120" s="237"/>
      <c r="Y120" s="237"/>
      <c r="Z120" s="237"/>
    </row>
    <row r="121" ht="14.25" customHeight="1" spans="1:26">
      <c r="A121" s="237"/>
      <c r="B121" s="237"/>
      <c r="C121" s="237"/>
      <c r="D121" s="237"/>
      <c r="E121" s="237"/>
      <c r="F121" s="237"/>
      <c r="G121" s="237"/>
      <c r="H121" s="237"/>
      <c r="I121" s="237"/>
      <c r="J121" s="237"/>
      <c r="K121" s="237"/>
      <c r="L121" s="237"/>
      <c r="M121" s="237"/>
      <c r="N121" s="237"/>
      <c r="O121" s="237"/>
      <c r="P121" s="237"/>
      <c r="Q121" s="237"/>
      <c r="R121" s="237"/>
      <c r="S121" s="237"/>
      <c r="T121" s="237"/>
      <c r="U121" s="237"/>
      <c r="V121" s="237"/>
      <c r="W121" s="237"/>
      <c r="X121" s="237"/>
      <c r="Y121" s="237"/>
      <c r="Z121" s="237"/>
    </row>
    <row r="122" ht="14.25" customHeight="1" spans="1:26">
      <c r="A122" s="237"/>
      <c r="B122" s="237"/>
      <c r="C122" s="237"/>
      <c r="D122" s="237"/>
      <c r="E122" s="237"/>
      <c r="F122" s="237"/>
      <c r="G122" s="237"/>
      <c r="H122" s="237"/>
      <c r="I122" s="237"/>
      <c r="J122" s="237"/>
      <c r="K122" s="237"/>
      <c r="L122" s="237"/>
      <c r="M122" s="237"/>
      <c r="N122" s="237"/>
      <c r="O122" s="237"/>
      <c r="P122" s="237"/>
      <c r="Q122" s="237"/>
      <c r="R122" s="237"/>
      <c r="S122" s="237"/>
      <c r="T122" s="237"/>
      <c r="U122" s="237"/>
      <c r="V122" s="237"/>
      <c r="W122" s="237"/>
      <c r="X122" s="237"/>
      <c r="Y122" s="237"/>
      <c r="Z122" s="237"/>
    </row>
    <row r="123" ht="14.25" customHeight="1" spans="1:26">
      <c r="A123" s="237"/>
      <c r="B123" s="237"/>
      <c r="C123" s="237"/>
      <c r="D123" s="237"/>
      <c r="E123" s="237"/>
      <c r="F123" s="237"/>
      <c r="G123" s="237"/>
      <c r="H123" s="237"/>
      <c r="I123" s="237"/>
      <c r="J123" s="237"/>
      <c r="K123" s="237"/>
      <c r="L123" s="237"/>
      <c r="M123" s="237"/>
      <c r="N123" s="237"/>
      <c r="O123" s="237"/>
      <c r="P123" s="237"/>
      <c r="Q123" s="237"/>
      <c r="R123" s="237"/>
      <c r="S123" s="237"/>
      <c r="T123" s="237"/>
      <c r="U123" s="237"/>
      <c r="V123" s="237"/>
      <c r="W123" s="237"/>
      <c r="X123" s="237"/>
      <c r="Y123" s="237"/>
      <c r="Z123" s="237"/>
    </row>
    <row r="124" ht="14.25" customHeight="1" spans="1:26">
      <c r="A124" s="237"/>
      <c r="B124" s="237"/>
      <c r="C124" s="237"/>
      <c r="D124" s="237"/>
      <c r="E124" s="237"/>
      <c r="F124" s="237"/>
      <c r="G124" s="237"/>
      <c r="H124" s="237"/>
      <c r="I124" s="237"/>
      <c r="J124" s="237"/>
      <c r="K124" s="237"/>
      <c r="L124" s="237"/>
      <c r="M124" s="237"/>
      <c r="N124" s="237"/>
      <c r="O124" s="237"/>
      <c r="P124" s="237"/>
      <c r="Q124" s="237"/>
      <c r="R124" s="237"/>
      <c r="S124" s="237"/>
      <c r="T124" s="237"/>
      <c r="U124" s="237"/>
      <c r="V124" s="237"/>
      <c r="W124" s="237"/>
      <c r="X124" s="237"/>
      <c r="Y124" s="237"/>
      <c r="Z124" s="237"/>
    </row>
    <row r="125" ht="14.25" customHeight="1" spans="1:26">
      <c r="A125" s="237"/>
      <c r="B125" s="237"/>
      <c r="C125" s="237"/>
      <c r="D125" s="237"/>
      <c r="E125" s="237"/>
      <c r="F125" s="237"/>
      <c r="G125" s="237"/>
      <c r="H125" s="237"/>
      <c r="I125" s="237"/>
      <c r="J125" s="237"/>
      <c r="K125" s="237"/>
      <c r="L125" s="237"/>
      <c r="M125" s="237"/>
      <c r="N125" s="237"/>
      <c r="O125" s="237"/>
      <c r="P125" s="237"/>
      <c r="Q125" s="237"/>
      <c r="R125" s="237"/>
      <c r="S125" s="237"/>
      <c r="T125" s="237"/>
      <c r="U125" s="237"/>
      <c r="V125" s="237"/>
      <c r="W125" s="237"/>
      <c r="X125" s="237"/>
      <c r="Y125" s="237"/>
      <c r="Z125" s="237"/>
    </row>
    <row r="126" ht="14.25" customHeight="1" spans="1:26">
      <c r="A126" s="237"/>
      <c r="B126" s="237"/>
      <c r="C126" s="237"/>
      <c r="D126" s="237"/>
      <c r="E126" s="237"/>
      <c r="F126" s="237"/>
      <c r="G126" s="237"/>
      <c r="H126" s="237"/>
      <c r="I126" s="237"/>
      <c r="J126" s="237"/>
      <c r="K126" s="237"/>
      <c r="L126" s="237"/>
      <c r="M126" s="237"/>
      <c r="N126" s="237"/>
      <c r="O126" s="237"/>
      <c r="P126" s="237"/>
      <c r="Q126" s="237"/>
      <c r="R126" s="237"/>
      <c r="S126" s="237"/>
      <c r="T126" s="237"/>
      <c r="U126" s="237"/>
      <c r="V126" s="237"/>
      <c r="W126" s="237"/>
      <c r="X126" s="237"/>
      <c r="Y126" s="237"/>
      <c r="Z126" s="237"/>
    </row>
    <row r="127" ht="14.25" customHeight="1" spans="1:26">
      <c r="A127" s="237"/>
      <c r="B127" s="237"/>
      <c r="C127" s="237"/>
      <c r="D127" s="237"/>
      <c r="E127" s="237"/>
      <c r="F127" s="237"/>
      <c r="G127" s="237"/>
      <c r="H127" s="237"/>
      <c r="I127" s="237"/>
      <c r="J127" s="237"/>
      <c r="K127" s="237"/>
      <c r="L127" s="237"/>
      <c r="M127" s="237"/>
      <c r="N127" s="237"/>
      <c r="O127" s="237"/>
      <c r="P127" s="237"/>
      <c r="Q127" s="237"/>
      <c r="R127" s="237"/>
      <c r="S127" s="237"/>
      <c r="T127" s="237"/>
      <c r="U127" s="237"/>
      <c r="V127" s="237"/>
      <c r="W127" s="237"/>
      <c r="X127" s="237"/>
      <c r="Y127" s="237"/>
      <c r="Z127" s="237"/>
    </row>
    <row r="128" ht="14.25" customHeight="1" spans="1:26">
      <c r="A128" s="237"/>
      <c r="B128" s="237"/>
      <c r="C128" s="237"/>
      <c r="D128" s="237"/>
      <c r="E128" s="237"/>
      <c r="F128" s="237"/>
      <c r="G128" s="237"/>
      <c r="H128" s="237"/>
      <c r="I128" s="237"/>
      <c r="J128" s="237"/>
      <c r="K128" s="237"/>
      <c r="L128" s="237"/>
      <c r="M128" s="237"/>
      <c r="N128" s="237"/>
      <c r="O128" s="237"/>
      <c r="P128" s="237"/>
      <c r="Q128" s="237"/>
      <c r="R128" s="237"/>
      <c r="S128" s="237"/>
      <c r="T128" s="237"/>
      <c r="U128" s="237"/>
      <c r="V128" s="237"/>
      <c r="W128" s="237"/>
      <c r="X128" s="237"/>
      <c r="Y128" s="237"/>
      <c r="Z128" s="237"/>
    </row>
    <row r="129" ht="14.25" customHeight="1" spans="1:26">
      <c r="A129" s="237"/>
      <c r="B129" s="237"/>
      <c r="C129" s="237"/>
      <c r="D129" s="237"/>
      <c r="E129" s="237"/>
      <c r="F129" s="237"/>
      <c r="G129" s="237"/>
      <c r="H129" s="237"/>
      <c r="I129" s="237"/>
      <c r="J129" s="237"/>
      <c r="K129" s="237"/>
      <c r="L129" s="237"/>
      <c r="M129" s="237"/>
      <c r="N129" s="237"/>
      <c r="O129" s="237"/>
      <c r="P129" s="237"/>
      <c r="Q129" s="237"/>
      <c r="R129" s="237"/>
      <c r="S129" s="237"/>
      <c r="T129" s="237"/>
      <c r="U129" s="237"/>
      <c r="V129" s="237"/>
      <c r="W129" s="237"/>
      <c r="X129" s="237"/>
      <c r="Y129" s="237"/>
      <c r="Z129" s="237"/>
    </row>
    <row r="130" ht="14.25" customHeight="1" spans="1:26">
      <c r="A130" s="237"/>
      <c r="B130" s="237"/>
      <c r="C130" s="237"/>
      <c r="D130" s="237"/>
      <c r="E130" s="237"/>
      <c r="F130" s="237"/>
      <c r="G130" s="237"/>
      <c r="H130" s="237"/>
      <c r="I130" s="237"/>
      <c r="J130" s="237"/>
      <c r="K130" s="237"/>
      <c r="L130" s="237"/>
      <c r="M130" s="237"/>
      <c r="N130" s="237"/>
      <c r="O130" s="237"/>
      <c r="P130" s="237"/>
      <c r="Q130" s="237"/>
      <c r="R130" s="237"/>
      <c r="S130" s="237"/>
      <c r="T130" s="237"/>
      <c r="U130" s="237"/>
      <c r="V130" s="237"/>
      <c r="W130" s="237"/>
      <c r="X130" s="237"/>
      <c r="Y130" s="237"/>
      <c r="Z130" s="237"/>
    </row>
    <row r="131" ht="14.25" customHeight="1" spans="1:26">
      <c r="A131" s="237"/>
      <c r="B131" s="237"/>
      <c r="C131" s="237"/>
      <c r="D131" s="237"/>
      <c r="E131" s="237"/>
      <c r="F131" s="237"/>
      <c r="G131" s="237"/>
      <c r="H131" s="237"/>
      <c r="I131" s="237"/>
      <c r="J131" s="237"/>
      <c r="K131" s="237"/>
      <c r="L131" s="237"/>
      <c r="M131" s="237"/>
      <c r="N131" s="237"/>
      <c r="O131" s="237"/>
      <c r="P131" s="237"/>
      <c r="Q131" s="237"/>
      <c r="R131" s="237"/>
      <c r="S131" s="237"/>
      <c r="T131" s="237"/>
      <c r="U131" s="237"/>
      <c r="V131" s="237"/>
      <c r="W131" s="237"/>
      <c r="X131" s="237"/>
      <c r="Y131" s="237"/>
      <c r="Z131" s="237"/>
    </row>
    <row r="132" ht="14.25" customHeight="1" spans="1:26">
      <c r="A132" s="237"/>
      <c r="B132" s="237"/>
      <c r="C132" s="237"/>
      <c r="D132" s="237"/>
      <c r="E132" s="237"/>
      <c r="F132" s="237"/>
      <c r="G132" s="237"/>
      <c r="H132" s="237"/>
      <c r="I132" s="237"/>
      <c r="J132" s="237"/>
      <c r="K132" s="237"/>
      <c r="L132" s="237"/>
      <c r="M132" s="237"/>
      <c r="N132" s="237"/>
      <c r="O132" s="237"/>
      <c r="P132" s="237"/>
      <c r="Q132" s="237"/>
      <c r="R132" s="237"/>
      <c r="S132" s="237"/>
      <c r="T132" s="237"/>
      <c r="U132" s="237"/>
      <c r="V132" s="237"/>
      <c r="W132" s="237"/>
      <c r="X132" s="237"/>
      <c r="Y132" s="237"/>
      <c r="Z132" s="237"/>
    </row>
    <row r="133" ht="14.25" customHeight="1" spans="1:26">
      <c r="A133" s="237"/>
      <c r="B133" s="237"/>
      <c r="C133" s="237"/>
      <c r="D133" s="237"/>
      <c r="E133" s="237"/>
      <c r="F133" s="237"/>
      <c r="G133" s="237"/>
      <c r="H133" s="237"/>
      <c r="I133" s="237"/>
      <c r="J133" s="237"/>
      <c r="K133" s="237"/>
      <c r="L133" s="237"/>
      <c r="M133" s="237"/>
      <c r="N133" s="237"/>
      <c r="O133" s="237"/>
      <c r="P133" s="237"/>
      <c r="Q133" s="237"/>
      <c r="R133" s="237"/>
      <c r="S133" s="237"/>
      <c r="T133" s="237"/>
      <c r="U133" s="237"/>
      <c r="V133" s="237"/>
      <c r="W133" s="237"/>
      <c r="X133" s="237"/>
      <c r="Y133" s="237"/>
      <c r="Z133" s="237"/>
    </row>
    <row r="134" ht="14.25" customHeight="1" spans="1:26">
      <c r="A134" s="237"/>
      <c r="B134" s="237"/>
      <c r="C134" s="237"/>
      <c r="D134" s="237"/>
      <c r="E134" s="237"/>
      <c r="F134" s="237"/>
      <c r="G134" s="237"/>
      <c r="H134" s="237"/>
      <c r="I134" s="237"/>
      <c r="J134" s="237"/>
      <c r="K134" s="237"/>
      <c r="L134" s="237"/>
      <c r="M134" s="237"/>
      <c r="N134" s="237"/>
      <c r="O134" s="237"/>
      <c r="P134" s="237"/>
      <c r="Q134" s="237"/>
      <c r="R134" s="237"/>
      <c r="S134" s="237"/>
      <c r="T134" s="237"/>
      <c r="U134" s="237"/>
      <c r="V134" s="237"/>
      <c r="W134" s="237"/>
      <c r="X134" s="237"/>
      <c r="Y134" s="237"/>
      <c r="Z134" s="237"/>
    </row>
    <row r="135" ht="14.25" customHeight="1" spans="1:26">
      <c r="A135" s="237"/>
      <c r="B135" s="237"/>
      <c r="C135" s="237"/>
      <c r="D135" s="237"/>
      <c r="E135" s="237"/>
      <c r="F135" s="237"/>
      <c r="G135" s="237"/>
      <c r="H135" s="237"/>
      <c r="I135" s="237"/>
      <c r="J135" s="237"/>
      <c r="K135" s="237"/>
      <c r="L135" s="237"/>
      <c r="M135" s="237"/>
      <c r="N135" s="237"/>
      <c r="O135" s="237"/>
      <c r="P135" s="237"/>
      <c r="Q135" s="237"/>
      <c r="R135" s="237"/>
      <c r="S135" s="237"/>
      <c r="T135" s="237"/>
      <c r="U135" s="237"/>
      <c r="V135" s="237"/>
      <c r="W135" s="237"/>
      <c r="X135" s="237"/>
      <c r="Y135" s="237"/>
      <c r="Z135" s="237"/>
    </row>
    <row r="136" ht="14.25" customHeight="1" spans="1:26">
      <c r="A136" s="237"/>
      <c r="B136" s="237"/>
      <c r="C136" s="237"/>
      <c r="D136" s="237"/>
      <c r="E136" s="237"/>
      <c r="F136" s="237"/>
      <c r="G136" s="237"/>
      <c r="H136" s="237"/>
      <c r="I136" s="237"/>
      <c r="J136" s="237"/>
      <c r="K136" s="237"/>
      <c r="L136" s="237"/>
      <c r="M136" s="237"/>
      <c r="N136" s="237"/>
      <c r="O136" s="237"/>
      <c r="P136" s="237"/>
      <c r="Q136" s="237"/>
      <c r="R136" s="237"/>
      <c r="S136" s="237"/>
      <c r="T136" s="237"/>
      <c r="U136" s="237"/>
      <c r="V136" s="237"/>
      <c r="W136" s="237"/>
      <c r="X136" s="237"/>
      <c r="Y136" s="237"/>
      <c r="Z136" s="237"/>
    </row>
    <row r="137" ht="14.25" customHeight="1" spans="1:26">
      <c r="A137" s="237"/>
      <c r="B137" s="237"/>
      <c r="C137" s="237"/>
      <c r="D137" s="237"/>
      <c r="E137" s="237"/>
      <c r="F137" s="237"/>
      <c r="G137" s="237"/>
      <c r="H137" s="237"/>
      <c r="I137" s="237"/>
      <c r="J137" s="237"/>
      <c r="K137" s="237"/>
      <c r="L137" s="237"/>
      <c r="M137" s="237"/>
      <c r="N137" s="237"/>
      <c r="O137" s="237"/>
      <c r="P137" s="237"/>
      <c r="Q137" s="237"/>
      <c r="R137" s="237"/>
      <c r="S137" s="237"/>
      <c r="T137" s="237"/>
      <c r="U137" s="237"/>
      <c r="V137" s="237"/>
      <c r="W137" s="237"/>
      <c r="X137" s="237"/>
      <c r="Y137" s="237"/>
      <c r="Z137" s="237"/>
    </row>
    <row r="138" ht="14.25" customHeight="1" spans="1:26">
      <c r="A138" s="237"/>
      <c r="B138" s="237"/>
      <c r="C138" s="237"/>
      <c r="D138" s="237"/>
      <c r="E138" s="237"/>
      <c r="F138" s="237"/>
      <c r="G138" s="237"/>
      <c r="H138" s="237"/>
      <c r="I138" s="237"/>
      <c r="J138" s="237"/>
      <c r="K138" s="237"/>
      <c r="L138" s="237"/>
      <c r="M138" s="237"/>
      <c r="N138" s="237"/>
      <c r="O138" s="237"/>
      <c r="P138" s="237"/>
      <c r="Q138" s="237"/>
      <c r="R138" s="237"/>
      <c r="S138" s="237"/>
      <c r="T138" s="237"/>
      <c r="U138" s="237"/>
      <c r="V138" s="237"/>
      <c r="W138" s="237"/>
      <c r="X138" s="237"/>
      <c r="Y138" s="237"/>
      <c r="Z138" s="237"/>
    </row>
    <row r="139" ht="14.25" customHeight="1" spans="1:26">
      <c r="A139" s="237"/>
      <c r="B139" s="237"/>
      <c r="C139" s="237"/>
      <c r="D139" s="237"/>
      <c r="E139" s="237"/>
      <c r="F139" s="237"/>
      <c r="G139" s="237"/>
      <c r="H139" s="237"/>
      <c r="I139" s="237"/>
      <c r="J139" s="237"/>
      <c r="K139" s="237"/>
      <c r="L139" s="237"/>
      <c r="M139" s="237"/>
      <c r="N139" s="237"/>
      <c r="O139" s="237"/>
      <c r="P139" s="237"/>
      <c r="Q139" s="237"/>
      <c r="R139" s="237"/>
      <c r="S139" s="237"/>
      <c r="T139" s="237"/>
      <c r="U139" s="237"/>
      <c r="V139" s="237"/>
      <c r="W139" s="237"/>
      <c r="X139" s="237"/>
      <c r="Y139" s="237"/>
      <c r="Z139" s="237"/>
    </row>
    <row r="140" ht="14.25" customHeight="1" spans="1:26">
      <c r="A140" s="237"/>
      <c r="B140" s="237"/>
      <c r="C140" s="237"/>
      <c r="D140" s="237"/>
      <c r="E140" s="237"/>
      <c r="F140" s="237"/>
      <c r="G140" s="237"/>
      <c r="H140" s="237"/>
      <c r="I140" s="237"/>
      <c r="J140" s="237"/>
      <c r="K140" s="237"/>
      <c r="L140" s="237"/>
      <c r="M140" s="237"/>
      <c r="N140" s="237"/>
      <c r="O140" s="237"/>
      <c r="P140" s="237"/>
      <c r="Q140" s="237"/>
      <c r="R140" s="237"/>
      <c r="S140" s="237"/>
      <c r="T140" s="237"/>
      <c r="U140" s="237"/>
      <c r="V140" s="237"/>
      <c r="W140" s="237"/>
      <c r="X140" s="237"/>
      <c r="Y140" s="237"/>
      <c r="Z140" s="237"/>
    </row>
    <row r="141" ht="14.25" customHeight="1" spans="1:26">
      <c r="A141" s="237"/>
      <c r="B141" s="237"/>
      <c r="C141" s="237"/>
      <c r="D141" s="237"/>
      <c r="E141" s="237"/>
      <c r="F141" s="237"/>
      <c r="G141" s="237"/>
      <c r="H141" s="237"/>
      <c r="I141" s="237"/>
      <c r="J141" s="237"/>
      <c r="K141" s="237"/>
      <c r="L141" s="237"/>
      <c r="M141" s="237"/>
      <c r="N141" s="237"/>
      <c r="O141" s="237"/>
      <c r="P141" s="237"/>
      <c r="Q141" s="237"/>
      <c r="R141" s="237"/>
      <c r="S141" s="237"/>
      <c r="T141" s="237"/>
      <c r="U141" s="237"/>
      <c r="V141" s="237"/>
      <c r="W141" s="237"/>
      <c r="X141" s="237"/>
      <c r="Y141" s="237"/>
      <c r="Z141" s="237"/>
    </row>
    <row r="142" ht="14.25" customHeight="1" spans="1:26">
      <c r="A142" s="237"/>
      <c r="B142" s="237"/>
      <c r="C142" s="237"/>
      <c r="D142" s="237"/>
      <c r="E142" s="237"/>
      <c r="F142" s="237"/>
      <c r="G142" s="237"/>
      <c r="H142" s="237"/>
      <c r="I142" s="237"/>
      <c r="J142" s="237"/>
      <c r="K142" s="237"/>
      <c r="L142" s="237"/>
      <c r="M142" s="237"/>
      <c r="N142" s="237"/>
      <c r="O142" s="237"/>
      <c r="P142" s="237"/>
      <c r="Q142" s="237"/>
      <c r="R142" s="237"/>
      <c r="S142" s="237"/>
      <c r="T142" s="237"/>
      <c r="U142" s="237"/>
      <c r="V142" s="237"/>
      <c r="W142" s="237"/>
      <c r="X142" s="237"/>
      <c r="Y142" s="237"/>
      <c r="Z142" s="237"/>
    </row>
    <row r="143" ht="14.25" customHeight="1" spans="1:26">
      <c r="A143" s="237"/>
      <c r="B143" s="237"/>
      <c r="C143" s="237"/>
      <c r="D143" s="237"/>
      <c r="E143" s="237"/>
      <c r="F143" s="237"/>
      <c r="G143" s="237"/>
      <c r="H143" s="237"/>
      <c r="I143" s="237"/>
      <c r="J143" s="237"/>
      <c r="K143" s="237"/>
      <c r="L143" s="237"/>
      <c r="M143" s="237"/>
      <c r="N143" s="237"/>
      <c r="O143" s="237"/>
      <c r="P143" s="237"/>
      <c r="Q143" s="237"/>
      <c r="R143" s="237"/>
      <c r="S143" s="237"/>
      <c r="T143" s="237"/>
      <c r="U143" s="237"/>
      <c r="V143" s="237"/>
      <c r="W143" s="237"/>
      <c r="X143" s="237"/>
      <c r="Y143" s="237"/>
      <c r="Z143" s="237"/>
    </row>
    <row r="144" ht="14.25" customHeight="1" spans="1:26">
      <c r="A144" s="237"/>
      <c r="B144" s="237"/>
      <c r="C144" s="237"/>
      <c r="D144" s="237"/>
      <c r="E144" s="237"/>
      <c r="F144" s="237"/>
      <c r="G144" s="237"/>
      <c r="H144" s="237"/>
      <c r="I144" s="237"/>
      <c r="J144" s="237"/>
      <c r="K144" s="237"/>
      <c r="L144" s="237"/>
      <c r="M144" s="237"/>
      <c r="N144" s="237"/>
      <c r="O144" s="237"/>
      <c r="P144" s="237"/>
      <c r="Q144" s="237"/>
      <c r="R144" s="237"/>
      <c r="S144" s="237"/>
      <c r="T144" s="237"/>
      <c r="U144" s="237"/>
      <c r="V144" s="237"/>
      <c r="W144" s="237"/>
      <c r="X144" s="237"/>
      <c r="Y144" s="237"/>
      <c r="Z144" s="237"/>
    </row>
    <row r="145" ht="14.25" customHeight="1" spans="1:26">
      <c r="A145" s="237"/>
      <c r="B145" s="237"/>
      <c r="C145" s="237"/>
      <c r="D145" s="237"/>
      <c r="E145" s="237"/>
      <c r="F145" s="237"/>
      <c r="G145" s="237"/>
      <c r="H145" s="237"/>
      <c r="I145" s="237"/>
      <c r="J145" s="237"/>
      <c r="K145" s="237"/>
      <c r="L145" s="237"/>
      <c r="M145" s="237"/>
      <c r="N145" s="237"/>
      <c r="O145" s="237"/>
      <c r="P145" s="237"/>
      <c r="Q145" s="237"/>
      <c r="R145" s="237"/>
      <c r="S145" s="237"/>
      <c r="T145" s="237"/>
      <c r="U145" s="237"/>
      <c r="V145" s="237"/>
      <c r="W145" s="237"/>
      <c r="X145" s="237"/>
      <c r="Y145" s="237"/>
      <c r="Z145" s="237"/>
    </row>
    <row r="146" ht="14.25" customHeight="1" spans="1:26">
      <c r="A146" s="237"/>
      <c r="B146" s="237"/>
      <c r="C146" s="237"/>
      <c r="D146" s="237"/>
      <c r="E146" s="237"/>
      <c r="F146" s="237"/>
      <c r="G146" s="237"/>
      <c r="H146" s="237"/>
      <c r="I146" s="237"/>
      <c r="J146" s="237"/>
      <c r="K146" s="237"/>
      <c r="L146" s="237"/>
      <c r="M146" s="237"/>
      <c r="N146" s="237"/>
      <c r="O146" s="237"/>
      <c r="P146" s="237"/>
      <c r="Q146" s="237"/>
      <c r="R146" s="237"/>
      <c r="S146" s="237"/>
      <c r="T146" s="237"/>
      <c r="U146" s="237"/>
      <c r="V146" s="237"/>
      <c r="W146" s="237"/>
      <c r="X146" s="237"/>
      <c r="Y146" s="237"/>
      <c r="Z146" s="237"/>
    </row>
    <row r="147" ht="14.25" customHeight="1" spans="1:26">
      <c r="A147" s="237"/>
      <c r="B147" s="237"/>
      <c r="C147" s="237"/>
      <c r="D147" s="237"/>
      <c r="E147" s="237"/>
      <c r="F147" s="237"/>
      <c r="G147" s="237"/>
      <c r="H147" s="237"/>
      <c r="I147" s="237"/>
      <c r="J147" s="237"/>
      <c r="K147" s="237"/>
      <c r="L147" s="237"/>
      <c r="M147" s="237"/>
      <c r="N147" s="237"/>
      <c r="O147" s="237"/>
      <c r="P147" s="237"/>
      <c r="Q147" s="237"/>
      <c r="R147" s="237"/>
      <c r="S147" s="237"/>
      <c r="T147" s="237"/>
      <c r="U147" s="237"/>
      <c r="V147" s="237"/>
      <c r="W147" s="237"/>
      <c r="X147" s="237"/>
      <c r="Y147" s="237"/>
      <c r="Z147" s="237"/>
    </row>
    <row r="148" ht="14.25" customHeight="1" spans="1:26">
      <c r="A148" s="237"/>
      <c r="B148" s="237"/>
      <c r="C148" s="237"/>
      <c r="D148" s="237"/>
      <c r="E148" s="237"/>
      <c r="F148" s="237"/>
      <c r="G148" s="237"/>
      <c r="H148" s="237"/>
      <c r="I148" s="237"/>
      <c r="J148" s="237"/>
      <c r="K148" s="237"/>
      <c r="L148" s="237"/>
      <c r="M148" s="237"/>
      <c r="N148" s="237"/>
      <c r="O148" s="237"/>
      <c r="P148" s="237"/>
      <c r="Q148" s="237"/>
      <c r="R148" s="237"/>
      <c r="S148" s="237"/>
      <c r="T148" s="237"/>
      <c r="U148" s="237"/>
      <c r="V148" s="237"/>
      <c r="W148" s="237"/>
      <c r="X148" s="237"/>
      <c r="Y148" s="237"/>
      <c r="Z148" s="237"/>
    </row>
    <row r="149" ht="14.25" customHeight="1" spans="1:26">
      <c r="A149" s="237"/>
      <c r="B149" s="237"/>
      <c r="C149" s="237"/>
      <c r="D149" s="237"/>
      <c r="E149" s="237"/>
      <c r="F149" s="237"/>
      <c r="G149" s="237"/>
      <c r="H149" s="237"/>
      <c r="I149" s="237"/>
      <c r="J149" s="237"/>
      <c r="K149" s="237"/>
      <c r="L149" s="237"/>
      <c r="M149" s="237"/>
      <c r="N149" s="237"/>
      <c r="O149" s="237"/>
      <c r="P149" s="237"/>
      <c r="Q149" s="237"/>
      <c r="R149" s="237"/>
      <c r="S149" s="237"/>
      <c r="T149" s="237"/>
      <c r="U149" s="237"/>
      <c r="V149" s="237"/>
      <c r="W149" s="237"/>
      <c r="X149" s="237"/>
      <c r="Y149" s="237"/>
      <c r="Z149" s="237"/>
    </row>
    <row r="150" ht="14.25" customHeight="1" spans="1:26">
      <c r="A150" s="237"/>
      <c r="B150" s="237"/>
      <c r="C150" s="237"/>
      <c r="D150" s="237"/>
      <c r="E150" s="237"/>
      <c r="F150" s="237"/>
      <c r="G150" s="237"/>
      <c r="H150" s="237"/>
      <c r="I150" s="237"/>
      <c r="J150" s="237"/>
      <c r="K150" s="237"/>
      <c r="L150" s="237"/>
      <c r="M150" s="237"/>
      <c r="N150" s="237"/>
      <c r="O150" s="237"/>
      <c r="P150" s="237"/>
      <c r="Q150" s="237"/>
      <c r="R150" s="237"/>
      <c r="S150" s="237"/>
      <c r="T150" s="237"/>
      <c r="U150" s="237"/>
      <c r="V150" s="237"/>
      <c r="W150" s="237"/>
      <c r="X150" s="237"/>
      <c r="Y150" s="237"/>
      <c r="Z150" s="237"/>
    </row>
    <row r="151" ht="14.25" customHeight="1" spans="1:26">
      <c r="A151" s="237"/>
      <c r="B151" s="237"/>
      <c r="C151" s="237"/>
      <c r="D151" s="237"/>
      <c r="E151" s="237"/>
      <c r="F151" s="237"/>
      <c r="G151" s="237"/>
      <c r="H151" s="237"/>
      <c r="I151" s="237"/>
      <c r="J151" s="237"/>
      <c r="K151" s="237"/>
      <c r="L151" s="237"/>
      <c r="M151" s="237"/>
      <c r="N151" s="237"/>
      <c r="O151" s="237"/>
      <c r="P151" s="237"/>
      <c r="Q151" s="237"/>
      <c r="R151" s="237"/>
      <c r="S151" s="237"/>
      <c r="T151" s="237"/>
      <c r="U151" s="237"/>
      <c r="V151" s="237"/>
      <c r="W151" s="237"/>
      <c r="X151" s="237"/>
      <c r="Y151" s="237"/>
      <c r="Z151" s="237"/>
    </row>
    <row r="152" ht="14.25" customHeight="1" spans="1:26">
      <c r="A152" s="237"/>
      <c r="B152" s="237"/>
      <c r="C152" s="237"/>
      <c r="D152" s="237"/>
      <c r="E152" s="237"/>
      <c r="F152" s="237"/>
      <c r="G152" s="237"/>
      <c r="H152" s="237"/>
      <c r="I152" s="237"/>
      <c r="J152" s="237"/>
      <c r="K152" s="237"/>
      <c r="L152" s="237"/>
      <c r="M152" s="237"/>
      <c r="N152" s="237"/>
      <c r="O152" s="237"/>
      <c r="P152" s="237"/>
      <c r="Q152" s="237"/>
      <c r="R152" s="237"/>
      <c r="S152" s="237"/>
      <c r="T152" s="237"/>
      <c r="U152" s="237"/>
      <c r="V152" s="237"/>
      <c r="W152" s="237"/>
      <c r="X152" s="237"/>
      <c r="Y152" s="237"/>
      <c r="Z152" s="237"/>
    </row>
    <row r="153" ht="14.25" customHeight="1" spans="1:26">
      <c r="A153" s="237"/>
      <c r="B153" s="237"/>
      <c r="C153" s="237"/>
      <c r="D153" s="237"/>
      <c r="E153" s="237"/>
      <c r="F153" s="237"/>
      <c r="G153" s="237"/>
      <c r="H153" s="237"/>
      <c r="I153" s="237"/>
      <c r="J153" s="237"/>
      <c r="K153" s="237"/>
      <c r="L153" s="237"/>
      <c r="M153" s="237"/>
      <c r="N153" s="237"/>
      <c r="O153" s="237"/>
      <c r="P153" s="237"/>
      <c r="Q153" s="237"/>
      <c r="R153" s="237"/>
      <c r="S153" s="237"/>
      <c r="T153" s="237"/>
      <c r="U153" s="237"/>
      <c r="V153" s="237"/>
      <c r="W153" s="237"/>
      <c r="X153" s="237"/>
      <c r="Y153" s="237"/>
      <c r="Z153" s="237"/>
    </row>
    <row r="154" ht="14.25" customHeight="1" spans="1:26">
      <c r="A154" s="237"/>
      <c r="B154" s="237"/>
      <c r="C154" s="237"/>
      <c r="D154" s="237"/>
      <c r="E154" s="237"/>
      <c r="F154" s="237"/>
      <c r="G154" s="237"/>
      <c r="H154" s="237"/>
      <c r="I154" s="237"/>
      <c r="J154" s="237"/>
      <c r="K154" s="237"/>
      <c r="L154" s="237"/>
      <c r="M154" s="237"/>
      <c r="N154" s="237"/>
      <c r="O154" s="237"/>
      <c r="P154" s="237"/>
      <c r="Q154" s="237"/>
      <c r="R154" s="237"/>
      <c r="S154" s="237"/>
      <c r="T154" s="237"/>
      <c r="U154" s="237"/>
      <c r="V154" s="237"/>
      <c r="W154" s="237"/>
      <c r="X154" s="237"/>
      <c r="Y154" s="237"/>
      <c r="Z154" s="237"/>
    </row>
    <row r="155" ht="14.25" customHeight="1" spans="1:26">
      <c r="A155" s="237"/>
      <c r="B155" s="237"/>
      <c r="C155" s="237"/>
      <c r="D155" s="237"/>
      <c r="E155" s="237"/>
      <c r="F155" s="237"/>
      <c r="G155" s="237"/>
      <c r="H155" s="237"/>
      <c r="I155" s="237"/>
      <c r="J155" s="237"/>
      <c r="K155" s="237"/>
      <c r="L155" s="237"/>
      <c r="M155" s="237"/>
      <c r="N155" s="237"/>
      <c r="O155" s="237"/>
      <c r="P155" s="237"/>
      <c r="Q155" s="237"/>
      <c r="R155" s="237"/>
      <c r="S155" s="237"/>
      <c r="T155" s="237"/>
      <c r="U155" s="237"/>
      <c r="V155" s="237"/>
      <c r="W155" s="237"/>
      <c r="X155" s="237"/>
      <c r="Y155" s="237"/>
      <c r="Z155" s="237"/>
    </row>
    <row r="156" ht="14.25" customHeight="1" spans="1:26">
      <c r="A156" s="237"/>
      <c r="B156" s="237"/>
      <c r="C156" s="237"/>
      <c r="D156" s="237"/>
      <c r="E156" s="237"/>
      <c r="F156" s="237"/>
      <c r="G156" s="237"/>
      <c r="H156" s="237"/>
      <c r="I156" s="237"/>
      <c r="J156" s="237"/>
      <c r="K156" s="237"/>
      <c r="L156" s="237"/>
      <c r="M156" s="237"/>
      <c r="N156" s="237"/>
      <c r="O156" s="237"/>
      <c r="P156" s="237"/>
      <c r="Q156" s="237"/>
      <c r="R156" s="237"/>
      <c r="S156" s="237"/>
      <c r="T156" s="237"/>
      <c r="U156" s="237"/>
      <c r="V156" s="237"/>
      <c r="W156" s="237"/>
      <c r="X156" s="237"/>
      <c r="Y156" s="237"/>
      <c r="Z156" s="237"/>
    </row>
    <row r="157" ht="14.25" customHeight="1" spans="1:26">
      <c r="A157" s="237"/>
      <c r="B157" s="237"/>
      <c r="C157" s="237"/>
      <c r="D157" s="237"/>
      <c r="E157" s="237"/>
      <c r="F157" s="237"/>
      <c r="G157" s="237"/>
      <c r="H157" s="237"/>
      <c r="I157" s="237"/>
      <c r="J157" s="237"/>
      <c r="K157" s="237"/>
      <c r="L157" s="237"/>
      <c r="M157" s="237"/>
      <c r="N157" s="237"/>
      <c r="O157" s="237"/>
      <c r="P157" s="237"/>
      <c r="Q157" s="237"/>
      <c r="R157" s="237"/>
      <c r="S157" s="237"/>
      <c r="T157" s="237"/>
      <c r="U157" s="237"/>
      <c r="V157" s="237"/>
      <c r="W157" s="237"/>
      <c r="X157" s="237"/>
      <c r="Y157" s="237"/>
      <c r="Z157" s="237"/>
    </row>
    <row r="158" ht="14.25" customHeight="1" spans="1:26">
      <c r="A158" s="237"/>
      <c r="B158" s="237"/>
      <c r="C158" s="237"/>
      <c r="D158" s="237"/>
      <c r="E158" s="237"/>
      <c r="F158" s="237"/>
      <c r="G158" s="237"/>
      <c r="H158" s="237"/>
      <c r="I158" s="237"/>
      <c r="J158" s="237"/>
      <c r="K158" s="237"/>
      <c r="L158" s="237"/>
      <c r="M158" s="237"/>
      <c r="N158" s="237"/>
      <c r="O158" s="237"/>
      <c r="P158" s="237"/>
      <c r="Q158" s="237"/>
      <c r="R158" s="237"/>
      <c r="S158" s="237"/>
      <c r="T158" s="237"/>
      <c r="U158" s="237"/>
      <c r="V158" s="237"/>
      <c r="W158" s="237"/>
      <c r="X158" s="237"/>
      <c r="Y158" s="237"/>
      <c r="Z158" s="237"/>
    </row>
    <row r="159" ht="14.25" customHeight="1" spans="1:26">
      <c r="A159" s="237"/>
      <c r="B159" s="237"/>
      <c r="C159" s="237"/>
      <c r="D159" s="237"/>
      <c r="E159" s="237"/>
      <c r="F159" s="237"/>
      <c r="G159" s="237"/>
      <c r="H159" s="237"/>
      <c r="I159" s="237"/>
      <c r="J159" s="237"/>
      <c r="K159" s="237"/>
      <c r="L159" s="237"/>
      <c r="M159" s="237"/>
      <c r="N159" s="237"/>
      <c r="O159" s="237"/>
      <c r="P159" s="237"/>
      <c r="Q159" s="237"/>
      <c r="R159" s="237"/>
      <c r="S159" s="237"/>
      <c r="T159" s="237"/>
      <c r="U159" s="237"/>
      <c r="V159" s="237"/>
      <c r="W159" s="237"/>
      <c r="X159" s="237"/>
      <c r="Y159" s="237"/>
      <c r="Z159" s="237"/>
    </row>
    <row r="160" ht="14.25" customHeight="1" spans="1:26">
      <c r="A160" s="237"/>
      <c r="B160" s="237"/>
      <c r="C160" s="237"/>
      <c r="D160" s="237"/>
      <c r="E160" s="237"/>
      <c r="F160" s="237"/>
      <c r="G160" s="237"/>
      <c r="H160" s="237"/>
      <c r="I160" s="237"/>
      <c r="J160" s="237"/>
      <c r="K160" s="237"/>
      <c r="L160" s="237"/>
      <c r="M160" s="237"/>
      <c r="N160" s="237"/>
      <c r="O160" s="237"/>
      <c r="P160" s="237"/>
      <c r="Q160" s="237"/>
      <c r="R160" s="237"/>
      <c r="S160" s="237"/>
      <c r="T160" s="237"/>
      <c r="U160" s="237"/>
      <c r="V160" s="237"/>
      <c r="W160" s="237"/>
      <c r="X160" s="237"/>
      <c r="Y160" s="237"/>
      <c r="Z160" s="237"/>
    </row>
    <row r="161" ht="14.25" customHeight="1" spans="1:26">
      <c r="A161" s="237"/>
      <c r="B161" s="237"/>
      <c r="C161" s="237"/>
      <c r="D161" s="237"/>
      <c r="E161" s="237"/>
      <c r="F161" s="237"/>
      <c r="G161" s="237"/>
      <c r="H161" s="237"/>
      <c r="I161" s="237"/>
      <c r="J161" s="237"/>
      <c r="K161" s="237"/>
      <c r="L161" s="237"/>
      <c r="M161" s="237"/>
      <c r="N161" s="237"/>
      <c r="O161" s="237"/>
      <c r="P161" s="237"/>
      <c r="Q161" s="237"/>
      <c r="R161" s="237"/>
      <c r="S161" s="237"/>
      <c r="T161" s="237"/>
      <c r="U161" s="237"/>
      <c r="V161" s="237"/>
      <c r="W161" s="237"/>
      <c r="X161" s="237"/>
      <c r="Y161" s="237"/>
      <c r="Z161" s="237"/>
    </row>
    <row r="162" ht="14.25" customHeight="1" spans="1:26">
      <c r="A162" s="237"/>
      <c r="B162" s="237"/>
      <c r="C162" s="237"/>
      <c r="D162" s="237"/>
      <c r="E162" s="237"/>
      <c r="F162" s="237"/>
      <c r="G162" s="237"/>
      <c r="H162" s="237"/>
      <c r="I162" s="237"/>
      <c r="J162" s="237"/>
      <c r="K162" s="237"/>
      <c r="L162" s="237"/>
      <c r="M162" s="237"/>
      <c r="N162" s="237"/>
      <c r="O162" s="237"/>
      <c r="P162" s="237"/>
      <c r="Q162" s="237"/>
      <c r="R162" s="237"/>
      <c r="S162" s="237"/>
      <c r="T162" s="237"/>
      <c r="U162" s="237"/>
      <c r="V162" s="237"/>
      <c r="W162" s="237"/>
      <c r="X162" s="237"/>
      <c r="Y162" s="237"/>
      <c r="Z162" s="237"/>
    </row>
    <row r="163" ht="14.25" customHeight="1" spans="1:26">
      <c r="A163" s="237"/>
      <c r="B163" s="237"/>
      <c r="C163" s="237"/>
      <c r="D163" s="237"/>
      <c r="E163" s="237"/>
      <c r="F163" s="237"/>
      <c r="G163" s="237"/>
      <c r="H163" s="237"/>
      <c r="I163" s="237"/>
      <c r="J163" s="237"/>
      <c r="K163" s="237"/>
      <c r="L163" s="237"/>
      <c r="M163" s="237"/>
      <c r="N163" s="237"/>
      <c r="O163" s="237"/>
      <c r="P163" s="237"/>
      <c r="Q163" s="237"/>
      <c r="R163" s="237"/>
      <c r="S163" s="237"/>
      <c r="T163" s="237"/>
      <c r="U163" s="237"/>
      <c r="V163" s="237"/>
      <c r="W163" s="237"/>
      <c r="X163" s="237"/>
      <c r="Y163" s="237"/>
      <c r="Z163" s="237"/>
    </row>
    <row r="164" ht="14.25" customHeight="1" spans="1:26">
      <c r="A164" s="237"/>
      <c r="B164" s="237"/>
      <c r="C164" s="237"/>
      <c r="D164" s="237"/>
      <c r="E164" s="237"/>
      <c r="F164" s="237"/>
      <c r="G164" s="237"/>
      <c r="H164" s="237"/>
      <c r="I164" s="237"/>
      <c r="J164" s="237"/>
      <c r="K164" s="237"/>
      <c r="L164" s="237"/>
      <c r="M164" s="237"/>
      <c r="N164" s="237"/>
      <c r="O164" s="237"/>
      <c r="P164" s="237"/>
      <c r="Q164" s="237"/>
      <c r="R164" s="237"/>
      <c r="S164" s="237"/>
      <c r="T164" s="237"/>
      <c r="U164" s="237"/>
      <c r="V164" s="237"/>
      <c r="W164" s="237"/>
      <c r="X164" s="237"/>
      <c r="Y164" s="237"/>
      <c r="Z164" s="237"/>
    </row>
    <row r="165" ht="14.25" customHeight="1" spans="1:26">
      <c r="A165" s="237"/>
      <c r="B165" s="237"/>
      <c r="C165" s="237"/>
      <c r="D165" s="237"/>
      <c r="E165" s="237"/>
      <c r="F165" s="237"/>
      <c r="G165" s="237"/>
      <c r="H165" s="237"/>
      <c r="I165" s="237"/>
      <c r="J165" s="237"/>
      <c r="K165" s="237"/>
      <c r="L165" s="237"/>
      <c r="M165" s="237"/>
      <c r="N165" s="237"/>
      <c r="O165" s="237"/>
      <c r="P165" s="237"/>
      <c r="Q165" s="237"/>
      <c r="R165" s="237"/>
      <c r="S165" s="237"/>
      <c r="T165" s="237"/>
      <c r="U165" s="237"/>
      <c r="V165" s="237"/>
      <c r="W165" s="237"/>
      <c r="X165" s="237"/>
      <c r="Y165" s="237"/>
      <c r="Z165" s="237"/>
    </row>
    <row r="166" ht="14.25" customHeight="1" spans="1:26">
      <c r="A166" s="237"/>
      <c r="B166" s="237"/>
      <c r="C166" s="237"/>
      <c r="D166" s="237"/>
      <c r="E166" s="237"/>
      <c r="F166" s="237"/>
      <c r="G166" s="237"/>
      <c r="H166" s="237"/>
      <c r="I166" s="237"/>
      <c r="J166" s="237"/>
      <c r="K166" s="237"/>
      <c r="L166" s="237"/>
      <c r="M166" s="237"/>
      <c r="N166" s="237"/>
      <c r="O166" s="237"/>
      <c r="P166" s="237"/>
      <c r="Q166" s="237"/>
      <c r="R166" s="237"/>
      <c r="S166" s="237"/>
      <c r="T166" s="237"/>
      <c r="U166" s="237"/>
      <c r="V166" s="237"/>
      <c r="W166" s="237"/>
      <c r="X166" s="237"/>
      <c r="Y166" s="237"/>
      <c r="Z166" s="237"/>
    </row>
    <row r="167" ht="14.25" customHeight="1" spans="1:26">
      <c r="A167" s="237"/>
      <c r="B167" s="237"/>
      <c r="C167" s="237"/>
      <c r="D167" s="237"/>
      <c r="E167" s="237"/>
      <c r="F167" s="237"/>
      <c r="G167" s="237"/>
      <c r="H167" s="237"/>
      <c r="I167" s="237"/>
      <c r="J167" s="237"/>
      <c r="K167" s="237"/>
      <c r="L167" s="237"/>
      <c r="M167" s="237"/>
      <c r="N167" s="237"/>
      <c r="O167" s="237"/>
      <c r="P167" s="237"/>
      <c r="Q167" s="237"/>
      <c r="R167" s="237"/>
      <c r="S167" s="237"/>
      <c r="T167" s="237"/>
      <c r="U167" s="237"/>
      <c r="V167" s="237"/>
      <c r="W167" s="237"/>
      <c r="X167" s="237"/>
      <c r="Y167" s="237"/>
      <c r="Z167" s="237"/>
    </row>
    <row r="168" ht="14.25" customHeight="1" spans="1:26">
      <c r="A168" s="237"/>
      <c r="B168" s="237"/>
      <c r="C168" s="237"/>
      <c r="D168" s="237"/>
      <c r="E168" s="237"/>
      <c r="F168" s="237"/>
      <c r="G168" s="237"/>
      <c r="H168" s="237"/>
      <c r="I168" s="237"/>
      <c r="J168" s="237"/>
      <c r="K168" s="237"/>
      <c r="L168" s="237"/>
      <c r="M168" s="237"/>
      <c r="N168" s="237"/>
      <c r="O168" s="237"/>
      <c r="P168" s="237"/>
      <c r="Q168" s="237"/>
      <c r="R168" s="237"/>
      <c r="S168" s="237"/>
      <c r="T168" s="237"/>
      <c r="U168" s="237"/>
      <c r="V168" s="237"/>
      <c r="W168" s="237"/>
      <c r="X168" s="237"/>
      <c r="Y168" s="237"/>
      <c r="Z168" s="237"/>
    </row>
    <row r="169" ht="14.25" customHeight="1" spans="1:26">
      <c r="A169" s="237"/>
      <c r="B169" s="237"/>
      <c r="C169" s="237"/>
      <c r="D169" s="237"/>
      <c r="E169" s="237"/>
      <c r="F169" s="237"/>
      <c r="G169" s="237"/>
      <c r="H169" s="237"/>
      <c r="I169" s="237"/>
      <c r="J169" s="237"/>
      <c r="K169" s="237"/>
      <c r="L169" s="237"/>
      <c r="M169" s="237"/>
      <c r="N169" s="237"/>
      <c r="O169" s="237"/>
      <c r="P169" s="237"/>
      <c r="Q169" s="237"/>
      <c r="R169" s="237"/>
      <c r="S169" s="237"/>
      <c r="T169" s="237"/>
      <c r="U169" s="237"/>
      <c r="V169" s="237"/>
      <c r="W169" s="237"/>
      <c r="X169" s="237"/>
      <c r="Y169" s="237"/>
      <c r="Z169" s="237"/>
    </row>
    <row r="170" ht="14.25" customHeight="1" spans="1:26">
      <c r="A170" s="237"/>
      <c r="B170" s="237"/>
      <c r="C170" s="237"/>
      <c r="D170" s="237"/>
      <c r="E170" s="237"/>
      <c r="F170" s="237"/>
      <c r="G170" s="237"/>
      <c r="H170" s="237"/>
      <c r="I170" s="237"/>
      <c r="J170" s="237"/>
      <c r="K170" s="237"/>
      <c r="L170" s="237"/>
      <c r="M170" s="237"/>
      <c r="N170" s="237"/>
      <c r="O170" s="237"/>
      <c r="P170" s="237"/>
      <c r="Q170" s="237"/>
      <c r="R170" s="237"/>
      <c r="S170" s="237"/>
      <c r="T170" s="237"/>
      <c r="U170" s="237"/>
      <c r="V170" s="237"/>
      <c r="W170" s="237"/>
      <c r="X170" s="237"/>
      <c r="Y170" s="237"/>
      <c r="Z170" s="237"/>
    </row>
    <row r="171" ht="14.25" customHeight="1" spans="1:26">
      <c r="A171" s="237"/>
      <c r="B171" s="237"/>
      <c r="C171" s="237"/>
      <c r="D171" s="237"/>
      <c r="E171" s="237"/>
      <c r="F171" s="237"/>
      <c r="G171" s="237"/>
      <c r="H171" s="237"/>
      <c r="I171" s="237"/>
      <c r="J171" s="237"/>
      <c r="K171" s="237"/>
      <c r="L171" s="237"/>
      <c r="M171" s="237"/>
      <c r="N171" s="237"/>
      <c r="O171" s="237"/>
      <c r="P171" s="237"/>
      <c r="Q171" s="237"/>
      <c r="R171" s="237"/>
      <c r="S171" s="237"/>
      <c r="T171" s="237"/>
      <c r="U171" s="237"/>
      <c r="V171" s="237"/>
      <c r="W171" s="237"/>
      <c r="X171" s="237"/>
      <c r="Y171" s="237"/>
      <c r="Z171" s="237"/>
    </row>
    <row r="172" ht="14.25" customHeight="1" spans="1:26">
      <c r="A172" s="237"/>
      <c r="B172" s="237"/>
      <c r="C172" s="237"/>
      <c r="D172" s="237"/>
      <c r="E172" s="237"/>
      <c r="F172" s="237"/>
      <c r="G172" s="237"/>
      <c r="H172" s="237"/>
      <c r="I172" s="237"/>
      <c r="J172" s="237"/>
      <c r="K172" s="237"/>
      <c r="L172" s="237"/>
      <c r="M172" s="237"/>
      <c r="N172" s="237"/>
      <c r="O172" s="237"/>
      <c r="P172" s="237"/>
      <c r="Q172" s="237"/>
      <c r="R172" s="237"/>
      <c r="S172" s="237"/>
      <c r="T172" s="237"/>
      <c r="U172" s="237"/>
      <c r="V172" s="237"/>
      <c r="W172" s="237"/>
      <c r="X172" s="237"/>
      <c r="Y172" s="237"/>
      <c r="Z172" s="237"/>
    </row>
    <row r="173" ht="14.25" customHeight="1" spans="1:26">
      <c r="A173" s="237"/>
      <c r="B173" s="237"/>
      <c r="C173" s="237"/>
      <c r="D173" s="237"/>
      <c r="E173" s="237"/>
      <c r="F173" s="237"/>
      <c r="G173" s="237"/>
      <c r="H173" s="237"/>
      <c r="I173" s="237"/>
      <c r="J173" s="237"/>
      <c r="K173" s="237"/>
      <c r="L173" s="237"/>
      <c r="M173" s="237"/>
      <c r="N173" s="237"/>
      <c r="O173" s="237"/>
      <c r="P173" s="237"/>
      <c r="Q173" s="237"/>
      <c r="R173" s="237"/>
      <c r="S173" s="237"/>
      <c r="T173" s="237"/>
      <c r="U173" s="237"/>
      <c r="V173" s="237"/>
      <c r="W173" s="237"/>
      <c r="X173" s="237"/>
      <c r="Y173" s="237"/>
      <c r="Z173" s="237"/>
    </row>
    <row r="174" ht="14.25" customHeight="1" spans="1:26">
      <c r="A174" s="237"/>
      <c r="B174" s="237"/>
      <c r="C174" s="237"/>
      <c r="D174" s="237"/>
      <c r="E174" s="237"/>
      <c r="F174" s="237"/>
      <c r="G174" s="237"/>
      <c r="H174" s="237"/>
      <c r="I174" s="237"/>
      <c r="J174" s="237"/>
      <c r="K174" s="237"/>
      <c r="L174" s="237"/>
      <c r="M174" s="237"/>
      <c r="N174" s="237"/>
      <c r="O174" s="237"/>
      <c r="P174" s="237"/>
      <c r="Q174" s="237"/>
      <c r="R174" s="237"/>
      <c r="S174" s="237"/>
      <c r="T174" s="237"/>
      <c r="U174" s="237"/>
      <c r="V174" s="237"/>
      <c r="W174" s="237"/>
      <c r="X174" s="237"/>
      <c r="Y174" s="237"/>
      <c r="Z174" s="237"/>
    </row>
    <row r="175" ht="14.25" customHeight="1" spans="1:26">
      <c r="A175" s="237"/>
      <c r="B175" s="237"/>
      <c r="C175" s="237"/>
      <c r="D175" s="237"/>
      <c r="E175" s="237"/>
      <c r="F175" s="237"/>
      <c r="G175" s="237"/>
      <c r="H175" s="237"/>
      <c r="I175" s="237"/>
      <c r="J175" s="237"/>
      <c r="K175" s="237"/>
      <c r="L175" s="237"/>
      <c r="M175" s="237"/>
      <c r="N175" s="237"/>
      <c r="O175" s="237"/>
      <c r="P175" s="237"/>
      <c r="Q175" s="237"/>
      <c r="R175" s="237"/>
      <c r="S175" s="237"/>
      <c r="T175" s="237"/>
      <c r="U175" s="237"/>
      <c r="V175" s="237"/>
      <c r="W175" s="237"/>
      <c r="X175" s="237"/>
      <c r="Y175" s="237"/>
      <c r="Z175" s="237"/>
    </row>
    <row r="176" ht="14.25" customHeight="1" spans="1:26">
      <c r="A176" s="237"/>
      <c r="B176" s="237"/>
      <c r="C176" s="237"/>
      <c r="D176" s="237"/>
      <c r="E176" s="237"/>
      <c r="F176" s="237"/>
      <c r="G176" s="237"/>
      <c r="H176" s="237"/>
      <c r="I176" s="237"/>
      <c r="J176" s="237"/>
      <c r="K176" s="237"/>
      <c r="L176" s="237"/>
      <c r="M176" s="237"/>
      <c r="N176" s="237"/>
      <c r="O176" s="237"/>
      <c r="P176" s="237"/>
      <c r="Q176" s="237"/>
      <c r="R176" s="237"/>
      <c r="S176" s="237"/>
      <c r="T176" s="237"/>
      <c r="U176" s="237"/>
      <c r="V176" s="237"/>
      <c r="W176" s="237"/>
      <c r="X176" s="237"/>
      <c r="Y176" s="237"/>
      <c r="Z176" s="237"/>
    </row>
    <row r="177" ht="14.25" customHeight="1" spans="1:26">
      <c r="A177" s="237"/>
      <c r="B177" s="237"/>
      <c r="C177" s="237"/>
      <c r="D177" s="237"/>
      <c r="E177" s="237"/>
      <c r="F177" s="237"/>
      <c r="G177" s="237"/>
      <c r="H177" s="237"/>
      <c r="I177" s="237"/>
      <c r="J177" s="237"/>
      <c r="K177" s="237"/>
      <c r="L177" s="237"/>
      <c r="M177" s="237"/>
      <c r="N177" s="237"/>
      <c r="O177" s="237"/>
      <c r="P177" s="237"/>
      <c r="Q177" s="237"/>
      <c r="R177" s="237"/>
      <c r="S177" s="237"/>
      <c r="T177" s="237"/>
      <c r="U177" s="237"/>
      <c r="V177" s="237"/>
      <c r="W177" s="237"/>
      <c r="X177" s="237"/>
      <c r="Y177" s="237"/>
      <c r="Z177" s="237"/>
    </row>
    <row r="178" ht="14.25" customHeight="1" spans="1:26">
      <c r="A178" s="237"/>
      <c r="B178" s="237"/>
      <c r="C178" s="237"/>
      <c r="D178" s="237"/>
      <c r="E178" s="237"/>
      <c r="F178" s="237"/>
      <c r="G178" s="237"/>
      <c r="H178" s="237"/>
      <c r="I178" s="237"/>
      <c r="J178" s="237"/>
      <c r="K178" s="237"/>
      <c r="L178" s="237"/>
      <c r="M178" s="237"/>
      <c r="N178" s="237"/>
      <c r="O178" s="237"/>
      <c r="P178" s="237"/>
      <c r="Q178" s="237"/>
      <c r="R178" s="237"/>
      <c r="S178" s="237"/>
      <c r="T178" s="237"/>
      <c r="U178" s="237"/>
      <c r="V178" s="237"/>
      <c r="W178" s="237"/>
      <c r="X178" s="237"/>
      <c r="Y178" s="237"/>
      <c r="Z178" s="237"/>
    </row>
    <row r="179" ht="14.25" customHeight="1" spans="1:26">
      <c r="A179" s="237"/>
      <c r="B179" s="237"/>
      <c r="C179" s="237"/>
      <c r="D179" s="237"/>
      <c r="E179" s="237"/>
      <c r="F179" s="237"/>
      <c r="G179" s="237"/>
      <c r="H179" s="237"/>
      <c r="I179" s="237"/>
      <c r="J179" s="237"/>
      <c r="K179" s="237"/>
      <c r="L179" s="237"/>
      <c r="M179" s="237"/>
      <c r="N179" s="237"/>
      <c r="O179" s="237"/>
      <c r="P179" s="237"/>
      <c r="Q179" s="237"/>
      <c r="R179" s="237"/>
      <c r="S179" s="237"/>
      <c r="T179" s="237"/>
      <c r="U179" s="237"/>
      <c r="V179" s="237"/>
      <c r="W179" s="237"/>
      <c r="X179" s="237"/>
      <c r="Y179" s="237"/>
      <c r="Z179" s="237"/>
    </row>
    <row r="180" ht="14.25" customHeight="1" spans="1:26">
      <c r="A180" s="237"/>
      <c r="B180" s="237"/>
      <c r="C180" s="237"/>
      <c r="D180" s="237"/>
      <c r="E180" s="237"/>
      <c r="F180" s="237"/>
      <c r="G180" s="237"/>
      <c r="H180" s="237"/>
      <c r="I180" s="237"/>
      <c r="J180" s="237"/>
      <c r="K180" s="237"/>
      <c r="L180" s="237"/>
      <c r="M180" s="237"/>
      <c r="N180" s="237"/>
      <c r="O180" s="237"/>
      <c r="P180" s="237"/>
      <c r="Q180" s="237"/>
      <c r="R180" s="237"/>
      <c r="S180" s="237"/>
      <c r="T180" s="237"/>
      <c r="U180" s="237"/>
      <c r="V180" s="237"/>
      <c r="W180" s="237"/>
      <c r="X180" s="237"/>
      <c r="Y180" s="237"/>
      <c r="Z180" s="237"/>
    </row>
    <row r="181" ht="14.25" customHeight="1" spans="1:26">
      <c r="A181" s="237"/>
      <c r="B181" s="237"/>
      <c r="C181" s="237"/>
      <c r="D181" s="237"/>
      <c r="E181" s="237"/>
      <c r="F181" s="237"/>
      <c r="G181" s="237"/>
      <c r="H181" s="237"/>
      <c r="I181" s="237"/>
      <c r="J181" s="237"/>
      <c r="K181" s="237"/>
      <c r="L181" s="237"/>
      <c r="M181" s="237"/>
      <c r="N181" s="237"/>
      <c r="O181" s="237"/>
      <c r="P181" s="237"/>
      <c r="Q181" s="237"/>
      <c r="R181" s="237"/>
      <c r="S181" s="237"/>
      <c r="T181" s="237"/>
      <c r="U181" s="237"/>
      <c r="V181" s="237"/>
      <c r="W181" s="237"/>
      <c r="X181" s="237"/>
      <c r="Y181" s="237"/>
      <c r="Z181" s="237"/>
    </row>
    <row r="182" ht="14.25" customHeight="1" spans="1:26">
      <c r="A182" s="237"/>
      <c r="B182" s="237"/>
      <c r="C182" s="237"/>
      <c r="D182" s="237"/>
      <c r="E182" s="237"/>
      <c r="F182" s="237"/>
      <c r="G182" s="237"/>
      <c r="H182" s="237"/>
      <c r="I182" s="237"/>
      <c r="J182" s="237"/>
      <c r="K182" s="237"/>
      <c r="L182" s="237"/>
      <c r="M182" s="237"/>
      <c r="N182" s="237"/>
      <c r="O182" s="237"/>
      <c r="P182" s="237"/>
      <c r="Q182" s="237"/>
      <c r="R182" s="237"/>
      <c r="S182" s="237"/>
      <c r="T182" s="237"/>
      <c r="U182" s="237"/>
      <c r="V182" s="237"/>
      <c r="W182" s="237"/>
      <c r="X182" s="237"/>
      <c r="Y182" s="237"/>
      <c r="Z182" s="237"/>
    </row>
    <row r="183" ht="14.25" customHeight="1" spans="1:26">
      <c r="A183" s="237"/>
      <c r="B183" s="237"/>
      <c r="C183" s="237"/>
      <c r="D183" s="237"/>
      <c r="E183" s="237"/>
      <c r="F183" s="237"/>
      <c r="G183" s="237"/>
      <c r="H183" s="237"/>
      <c r="I183" s="237"/>
      <c r="J183" s="237"/>
      <c r="K183" s="237"/>
      <c r="L183" s="237"/>
      <c r="M183" s="237"/>
      <c r="N183" s="237"/>
      <c r="O183" s="237"/>
      <c r="P183" s="237"/>
      <c r="Q183" s="237"/>
      <c r="R183" s="237"/>
      <c r="S183" s="237"/>
      <c r="T183" s="237"/>
      <c r="U183" s="237"/>
      <c r="V183" s="237"/>
      <c r="W183" s="237"/>
      <c r="X183" s="237"/>
      <c r="Y183" s="237"/>
      <c r="Z183" s="237"/>
    </row>
    <row r="184" ht="14.25" customHeight="1" spans="1:26">
      <c r="A184" s="237"/>
      <c r="B184" s="237"/>
      <c r="C184" s="237"/>
      <c r="D184" s="237"/>
      <c r="E184" s="237"/>
      <c r="F184" s="237"/>
      <c r="G184" s="237"/>
      <c r="H184" s="237"/>
      <c r="I184" s="237"/>
      <c r="J184" s="237"/>
      <c r="K184" s="237"/>
      <c r="L184" s="237"/>
      <c r="M184" s="237"/>
      <c r="N184" s="237"/>
      <c r="O184" s="237"/>
      <c r="P184" s="237"/>
      <c r="Q184" s="237"/>
      <c r="R184" s="237"/>
      <c r="S184" s="237"/>
      <c r="T184" s="237"/>
      <c r="U184" s="237"/>
      <c r="V184" s="237"/>
      <c r="W184" s="237"/>
      <c r="X184" s="237"/>
      <c r="Y184" s="237"/>
      <c r="Z184" s="237"/>
    </row>
    <row r="185" ht="14.25" customHeight="1" spans="1:26">
      <c r="A185" s="237"/>
      <c r="B185" s="237"/>
      <c r="C185" s="237"/>
      <c r="D185" s="237"/>
      <c r="E185" s="237"/>
      <c r="F185" s="237"/>
      <c r="G185" s="237"/>
      <c r="H185" s="237"/>
      <c r="I185" s="237"/>
      <c r="J185" s="237"/>
      <c r="K185" s="237"/>
      <c r="L185" s="237"/>
      <c r="M185" s="237"/>
      <c r="N185" s="237"/>
      <c r="O185" s="237"/>
      <c r="P185" s="237"/>
      <c r="Q185" s="237"/>
      <c r="R185" s="237"/>
      <c r="S185" s="237"/>
      <c r="T185" s="237"/>
      <c r="U185" s="237"/>
      <c r="V185" s="237"/>
      <c r="W185" s="237"/>
      <c r="X185" s="237"/>
      <c r="Y185" s="237"/>
      <c r="Z185" s="237"/>
    </row>
    <row r="186" ht="14.25" customHeight="1" spans="1:26">
      <c r="A186" s="237"/>
      <c r="B186" s="237"/>
      <c r="C186" s="237"/>
      <c r="D186" s="237"/>
      <c r="E186" s="237"/>
      <c r="F186" s="237"/>
      <c r="G186" s="237"/>
      <c r="H186" s="237"/>
      <c r="I186" s="237"/>
      <c r="J186" s="237"/>
      <c r="K186" s="237"/>
      <c r="L186" s="237"/>
      <c r="M186" s="237"/>
      <c r="N186" s="237"/>
      <c r="O186" s="237"/>
      <c r="P186" s="237"/>
      <c r="Q186" s="237"/>
      <c r="R186" s="237"/>
      <c r="S186" s="237"/>
      <c r="T186" s="237"/>
      <c r="U186" s="237"/>
      <c r="V186" s="237"/>
      <c r="W186" s="237"/>
      <c r="X186" s="237"/>
      <c r="Y186" s="237"/>
      <c r="Z186" s="237"/>
    </row>
    <row r="187" ht="14.25" customHeight="1" spans="1:26">
      <c r="A187" s="237"/>
      <c r="B187" s="237"/>
      <c r="C187" s="237"/>
      <c r="D187" s="237"/>
      <c r="E187" s="237"/>
      <c r="F187" s="237"/>
      <c r="G187" s="237"/>
      <c r="H187" s="237"/>
      <c r="I187" s="237"/>
      <c r="J187" s="237"/>
      <c r="K187" s="237"/>
      <c r="L187" s="237"/>
      <c r="M187" s="237"/>
      <c r="N187" s="237"/>
      <c r="O187" s="237"/>
      <c r="P187" s="237"/>
      <c r="Q187" s="237"/>
      <c r="R187" s="237"/>
      <c r="S187" s="237"/>
      <c r="T187" s="237"/>
      <c r="U187" s="237"/>
      <c r="V187" s="237"/>
      <c r="W187" s="237"/>
      <c r="X187" s="237"/>
      <c r="Y187" s="237"/>
      <c r="Z187" s="237"/>
    </row>
    <row r="188" ht="14.25" customHeight="1" spans="1:26">
      <c r="A188" s="237"/>
      <c r="B188" s="237"/>
      <c r="C188" s="237"/>
      <c r="D188" s="237"/>
      <c r="E188" s="237"/>
      <c r="F188" s="237"/>
      <c r="G188" s="237"/>
      <c r="H188" s="237"/>
      <c r="I188" s="237"/>
      <c r="J188" s="237"/>
      <c r="K188" s="237"/>
      <c r="L188" s="237"/>
      <c r="M188" s="237"/>
      <c r="N188" s="237"/>
      <c r="O188" s="237"/>
      <c r="P188" s="237"/>
      <c r="Q188" s="237"/>
      <c r="R188" s="237"/>
      <c r="S188" s="237"/>
      <c r="T188" s="237"/>
      <c r="U188" s="237"/>
      <c r="V188" s="237"/>
      <c r="W188" s="237"/>
      <c r="X188" s="237"/>
      <c r="Y188" s="237"/>
      <c r="Z188" s="237"/>
    </row>
    <row r="189" ht="14.25" customHeight="1" spans="1:26">
      <c r="A189" s="237"/>
      <c r="B189" s="237"/>
      <c r="C189" s="237"/>
      <c r="D189" s="237"/>
      <c r="E189" s="237"/>
      <c r="F189" s="237"/>
      <c r="G189" s="237"/>
      <c r="H189" s="237"/>
      <c r="I189" s="237"/>
      <c r="J189" s="237"/>
      <c r="K189" s="237"/>
      <c r="L189" s="237"/>
      <c r="M189" s="237"/>
      <c r="N189" s="237"/>
      <c r="O189" s="237"/>
      <c r="P189" s="237"/>
      <c r="Q189" s="237"/>
      <c r="R189" s="237"/>
      <c r="S189" s="237"/>
      <c r="T189" s="237"/>
      <c r="U189" s="237"/>
      <c r="V189" s="237"/>
      <c r="W189" s="237"/>
      <c r="X189" s="237"/>
      <c r="Y189" s="237"/>
      <c r="Z189" s="237"/>
    </row>
    <row r="190" ht="14.25" customHeight="1" spans="1:26">
      <c r="A190" s="237"/>
      <c r="B190" s="237"/>
      <c r="C190" s="237"/>
      <c r="D190" s="237"/>
      <c r="E190" s="237"/>
      <c r="F190" s="237"/>
      <c r="G190" s="237"/>
      <c r="H190" s="237"/>
      <c r="I190" s="237"/>
      <c r="J190" s="237"/>
      <c r="K190" s="237"/>
      <c r="L190" s="237"/>
      <c r="M190" s="237"/>
      <c r="N190" s="237"/>
      <c r="O190" s="237"/>
      <c r="P190" s="237"/>
      <c r="Q190" s="237"/>
      <c r="R190" s="237"/>
      <c r="S190" s="237"/>
      <c r="T190" s="237"/>
      <c r="U190" s="237"/>
      <c r="V190" s="237"/>
      <c r="W190" s="237"/>
      <c r="X190" s="237"/>
      <c r="Y190" s="237"/>
      <c r="Z190" s="237"/>
    </row>
    <row r="191" ht="14.25" customHeight="1" spans="1:26">
      <c r="A191" s="237"/>
      <c r="B191" s="237"/>
      <c r="C191" s="237"/>
      <c r="D191" s="237"/>
      <c r="E191" s="237"/>
      <c r="F191" s="237"/>
      <c r="G191" s="237"/>
      <c r="H191" s="237"/>
      <c r="I191" s="237"/>
      <c r="J191" s="237"/>
      <c r="K191" s="237"/>
      <c r="L191" s="237"/>
      <c r="M191" s="237"/>
      <c r="N191" s="237"/>
      <c r="O191" s="237"/>
      <c r="P191" s="237"/>
      <c r="Q191" s="237"/>
      <c r="R191" s="237"/>
      <c r="S191" s="237"/>
      <c r="T191" s="237"/>
      <c r="U191" s="237"/>
      <c r="V191" s="237"/>
      <c r="W191" s="237"/>
      <c r="X191" s="237"/>
      <c r="Y191" s="237"/>
      <c r="Z191" s="237"/>
    </row>
    <row r="192" ht="14.25" customHeight="1" spans="1:26">
      <c r="A192" s="237"/>
      <c r="B192" s="237"/>
      <c r="C192" s="237"/>
      <c r="D192" s="237"/>
      <c r="E192" s="237"/>
      <c r="F192" s="237"/>
      <c r="G192" s="237"/>
      <c r="H192" s="237"/>
      <c r="I192" s="237"/>
      <c r="J192" s="237"/>
      <c r="K192" s="237"/>
      <c r="L192" s="237"/>
      <c r="M192" s="237"/>
      <c r="N192" s="237"/>
      <c r="O192" s="237"/>
      <c r="P192" s="237"/>
      <c r="Q192" s="237"/>
      <c r="R192" s="237"/>
      <c r="S192" s="237"/>
      <c r="T192" s="237"/>
      <c r="U192" s="237"/>
      <c r="V192" s="237"/>
      <c r="W192" s="237"/>
      <c r="X192" s="237"/>
      <c r="Y192" s="237"/>
      <c r="Z192" s="237"/>
    </row>
    <row r="193" ht="14.25" customHeight="1" spans="1:26">
      <c r="A193" s="237"/>
      <c r="B193" s="237"/>
      <c r="C193" s="237"/>
      <c r="D193" s="237"/>
      <c r="E193" s="237"/>
      <c r="F193" s="237"/>
      <c r="G193" s="237"/>
      <c r="H193" s="237"/>
      <c r="I193" s="237"/>
      <c r="J193" s="237"/>
      <c r="K193" s="237"/>
      <c r="L193" s="237"/>
      <c r="M193" s="237"/>
      <c r="N193" s="237"/>
      <c r="O193" s="237"/>
      <c r="P193" s="237"/>
      <c r="Q193" s="237"/>
      <c r="R193" s="237"/>
      <c r="S193" s="237"/>
      <c r="T193" s="237"/>
      <c r="U193" s="237"/>
      <c r="V193" s="237"/>
      <c r="W193" s="237"/>
      <c r="X193" s="237"/>
      <c r="Y193" s="237"/>
      <c r="Z193" s="237"/>
    </row>
    <row r="194" ht="14.25" customHeight="1" spans="1:26">
      <c r="A194" s="237"/>
      <c r="B194" s="237"/>
      <c r="C194" s="237"/>
      <c r="D194" s="237"/>
      <c r="E194" s="237"/>
      <c r="F194" s="237"/>
      <c r="G194" s="237"/>
      <c r="H194" s="237"/>
      <c r="I194" s="237"/>
      <c r="J194" s="237"/>
      <c r="K194" s="237"/>
      <c r="L194" s="237"/>
      <c r="M194" s="237"/>
      <c r="N194" s="237"/>
      <c r="O194" s="237"/>
      <c r="P194" s="237"/>
      <c r="Q194" s="237"/>
      <c r="R194" s="237"/>
      <c r="S194" s="237"/>
      <c r="T194" s="237"/>
      <c r="U194" s="237"/>
      <c r="V194" s="237"/>
      <c r="W194" s="237"/>
      <c r="X194" s="237"/>
      <c r="Y194" s="237"/>
      <c r="Z194" s="237"/>
    </row>
    <row r="195" ht="14.25" customHeight="1" spans="1:26">
      <c r="A195" s="237"/>
      <c r="B195" s="237"/>
      <c r="C195" s="237"/>
      <c r="D195" s="237"/>
      <c r="E195" s="237"/>
      <c r="F195" s="237"/>
      <c r="G195" s="237"/>
      <c r="H195" s="237"/>
      <c r="I195" s="237"/>
      <c r="J195" s="237"/>
      <c r="K195" s="237"/>
      <c r="L195" s="237"/>
      <c r="M195" s="237"/>
      <c r="N195" s="237"/>
      <c r="O195" s="237"/>
      <c r="P195" s="237"/>
      <c r="Q195" s="237"/>
      <c r="R195" s="237"/>
      <c r="S195" s="237"/>
      <c r="T195" s="237"/>
      <c r="U195" s="237"/>
      <c r="V195" s="237"/>
      <c r="W195" s="237"/>
      <c r="X195" s="237"/>
      <c r="Y195" s="237"/>
      <c r="Z195" s="237"/>
    </row>
    <row r="196" ht="14.25" customHeight="1" spans="1:26">
      <c r="A196" s="237"/>
      <c r="B196" s="237"/>
      <c r="C196" s="237"/>
      <c r="D196" s="237"/>
      <c r="E196" s="237"/>
      <c r="F196" s="237"/>
      <c r="G196" s="237"/>
      <c r="H196" s="237"/>
      <c r="I196" s="237"/>
      <c r="J196" s="237"/>
      <c r="K196" s="237"/>
      <c r="L196" s="237"/>
      <c r="M196" s="237"/>
      <c r="N196" s="237"/>
      <c r="O196" s="237"/>
      <c r="P196" s="237"/>
      <c r="Q196" s="237"/>
      <c r="R196" s="237"/>
      <c r="S196" s="237"/>
      <c r="T196" s="237"/>
      <c r="U196" s="237"/>
      <c r="V196" s="237"/>
      <c r="W196" s="237"/>
      <c r="X196" s="237"/>
      <c r="Y196" s="237"/>
      <c r="Z196" s="237"/>
    </row>
    <row r="197" ht="14.25" customHeight="1" spans="1:26">
      <c r="A197" s="237"/>
      <c r="B197" s="237"/>
      <c r="C197" s="237"/>
      <c r="D197" s="237"/>
      <c r="E197" s="237"/>
      <c r="F197" s="237"/>
      <c r="G197" s="237"/>
      <c r="H197" s="237"/>
      <c r="I197" s="237"/>
      <c r="J197" s="237"/>
      <c r="K197" s="237"/>
      <c r="L197" s="237"/>
      <c r="M197" s="237"/>
      <c r="N197" s="237"/>
      <c r="O197" s="237"/>
      <c r="P197" s="237"/>
      <c r="Q197" s="237"/>
      <c r="R197" s="237"/>
      <c r="S197" s="237"/>
      <c r="T197" s="237"/>
      <c r="U197" s="237"/>
      <c r="V197" s="237"/>
      <c r="W197" s="237"/>
      <c r="X197" s="237"/>
      <c r="Y197" s="237"/>
      <c r="Z197" s="237"/>
    </row>
    <row r="198" ht="14.25" customHeight="1" spans="1:26">
      <c r="A198" s="237"/>
      <c r="B198" s="237"/>
      <c r="C198" s="237"/>
      <c r="D198" s="237"/>
      <c r="E198" s="237"/>
      <c r="F198" s="237"/>
      <c r="G198" s="237"/>
      <c r="H198" s="237"/>
      <c r="I198" s="237"/>
      <c r="J198" s="237"/>
      <c r="K198" s="237"/>
      <c r="L198" s="237"/>
      <c r="M198" s="237"/>
      <c r="N198" s="237"/>
      <c r="O198" s="237"/>
      <c r="P198" s="237"/>
      <c r="Q198" s="237"/>
      <c r="R198" s="237"/>
      <c r="S198" s="237"/>
      <c r="T198" s="237"/>
      <c r="U198" s="237"/>
      <c r="V198" s="237"/>
      <c r="W198" s="237"/>
      <c r="X198" s="237"/>
      <c r="Y198" s="237"/>
      <c r="Z198" s="237"/>
    </row>
    <row r="199" ht="14.25" customHeight="1" spans="1:26">
      <c r="A199" s="237"/>
      <c r="B199" s="237"/>
      <c r="C199" s="237"/>
      <c r="D199" s="237"/>
      <c r="E199" s="237"/>
      <c r="F199" s="237"/>
      <c r="G199" s="237"/>
      <c r="H199" s="237"/>
      <c r="I199" s="237"/>
      <c r="J199" s="237"/>
      <c r="K199" s="237"/>
      <c r="L199" s="237"/>
      <c r="M199" s="237"/>
      <c r="N199" s="237"/>
      <c r="O199" s="237"/>
      <c r="P199" s="237"/>
      <c r="Q199" s="237"/>
      <c r="R199" s="237"/>
      <c r="S199" s="237"/>
      <c r="T199" s="237"/>
      <c r="U199" s="237"/>
      <c r="V199" s="237"/>
      <c r="W199" s="237"/>
      <c r="X199" s="237"/>
      <c r="Y199" s="237"/>
      <c r="Z199" s="237"/>
    </row>
    <row r="200" ht="14.25" customHeight="1" spans="1:26">
      <c r="A200" s="237"/>
      <c r="B200" s="237"/>
      <c r="C200" s="237"/>
      <c r="D200" s="237"/>
      <c r="E200" s="237"/>
      <c r="F200" s="237"/>
      <c r="G200" s="237"/>
      <c r="H200" s="237"/>
      <c r="I200" s="237"/>
      <c r="J200" s="237"/>
      <c r="K200" s="237"/>
      <c r="L200" s="237"/>
      <c r="M200" s="237"/>
      <c r="N200" s="237"/>
      <c r="O200" s="237"/>
      <c r="P200" s="237"/>
      <c r="Q200" s="237"/>
      <c r="R200" s="237"/>
      <c r="S200" s="237"/>
      <c r="T200" s="237"/>
      <c r="U200" s="237"/>
      <c r="V200" s="237"/>
      <c r="W200" s="237"/>
      <c r="X200" s="237"/>
      <c r="Y200" s="237"/>
      <c r="Z200" s="237"/>
    </row>
    <row r="201" ht="14.25" customHeight="1" spans="1:26">
      <c r="A201" s="237"/>
      <c r="B201" s="237"/>
      <c r="C201" s="237"/>
      <c r="D201" s="237"/>
      <c r="E201" s="237"/>
      <c r="F201" s="237"/>
      <c r="G201" s="237"/>
      <c r="H201" s="237"/>
      <c r="I201" s="237"/>
      <c r="J201" s="237"/>
      <c r="K201" s="237"/>
      <c r="L201" s="237"/>
      <c r="M201" s="237"/>
      <c r="N201" s="237"/>
      <c r="O201" s="237"/>
      <c r="P201" s="237"/>
      <c r="Q201" s="237"/>
      <c r="R201" s="237"/>
      <c r="S201" s="237"/>
      <c r="T201" s="237"/>
      <c r="U201" s="237"/>
      <c r="V201" s="237"/>
      <c r="W201" s="237"/>
      <c r="X201" s="237"/>
      <c r="Y201" s="237"/>
      <c r="Z201" s="237"/>
    </row>
    <row r="202" ht="14.25" customHeight="1" spans="1:26">
      <c r="A202" s="237"/>
      <c r="B202" s="237"/>
      <c r="C202" s="237"/>
      <c r="D202" s="237"/>
      <c r="E202" s="237"/>
      <c r="F202" s="237"/>
      <c r="G202" s="237"/>
      <c r="H202" s="237"/>
      <c r="I202" s="237"/>
      <c r="J202" s="237"/>
      <c r="K202" s="237"/>
      <c r="L202" s="237"/>
      <c r="M202" s="237"/>
      <c r="N202" s="237"/>
      <c r="O202" s="237"/>
      <c r="P202" s="237"/>
      <c r="Q202" s="237"/>
      <c r="R202" s="237"/>
      <c r="S202" s="237"/>
      <c r="T202" s="237"/>
      <c r="U202" s="237"/>
      <c r="V202" s="237"/>
      <c r="W202" s="237"/>
      <c r="X202" s="237"/>
      <c r="Y202" s="237"/>
      <c r="Z202" s="237"/>
    </row>
    <row r="203" ht="14.25" customHeight="1" spans="1:26">
      <c r="A203" s="237"/>
      <c r="B203" s="237"/>
      <c r="C203" s="237"/>
      <c r="D203" s="237"/>
      <c r="E203" s="237"/>
      <c r="F203" s="237"/>
      <c r="G203" s="237"/>
      <c r="H203" s="237"/>
      <c r="I203" s="237"/>
      <c r="J203" s="237"/>
      <c r="K203" s="237"/>
      <c r="L203" s="237"/>
      <c r="M203" s="237"/>
      <c r="N203" s="237"/>
      <c r="O203" s="237"/>
      <c r="P203" s="237"/>
      <c r="Q203" s="237"/>
      <c r="R203" s="237"/>
      <c r="S203" s="237"/>
      <c r="T203" s="237"/>
      <c r="U203" s="237"/>
      <c r="V203" s="237"/>
      <c r="W203" s="237"/>
      <c r="X203" s="237"/>
      <c r="Y203" s="237"/>
      <c r="Z203" s="237"/>
    </row>
    <row r="204" ht="14.25" customHeight="1" spans="1:26">
      <c r="A204" s="237"/>
      <c r="B204" s="237"/>
      <c r="C204" s="237"/>
      <c r="D204" s="237"/>
      <c r="E204" s="237"/>
      <c r="F204" s="237"/>
      <c r="G204" s="237"/>
      <c r="H204" s="237"/>
      <c r="I204" s="237"/>
      <c r="J204" s="237"/>
      <c r="K204" s="237"/>
      <c r="L204" s="237"/>
      <c r="M204" s="237"/>
      <c r="N204" s="237"/>
      <c r="O204" s="237"/>
      <c r="P204" s="237"/>
      <c r="Q204" s="237"/>
      <c r="R204" s="237"/>
      <c r="S204" s="237"/>
      <c r="T204" s="237"/>
      <c r="U204" s="237"/>
      <c r="V204" s="237"/>
      <c r="W204" s="237"/>
      <c r="X204" s="237"/>
      <c r="Y204" s="237"/>
      <c r="Z204" s="237"/>
    </row>
    <row r="205" ht="14.25" customHeight="1" spans="1:26">
      <c r="A205" s="237"/>
      <c r="B205" s="237"/>
      <c r="C205" s="237"/>
      <c r="D205" s="237"/>
      <c r="E205" s="237"/>
      <c r="F205" s="237"/>
      <c r="G205" s="237"/>
      <c r="H205" s="237"/>
      <c r="I205" s="237"/>
      <c r="J205" s="237"/>
      <c r="K205" s="237"/>
      <c r="L205" s="237"/>
      <c r="M205" s="237"/>
      <c r="N205" s="237"/>
      <c r="O205" s="237"/>
      <c r="P205" s="237"/>
      <c r="Q205" s="237"/>
      <c r="R205" s="237"/>
      <c r="S205" s="237"/>
      <c r="T205" s="237"/>
      <c r="U205" s="237"/>
      <c r="V205" s="237"/>
      <c r="W205" s="237"/>
      <c r="X205" s="237"/>
      <c r="Y205" s="237"/>
      <c r="Z205" s="237"/>
    </row>
    <row r="206" ht="14.25" customHeight="1" spans="1:26">
      <c r="A206" s="237"/>
      <c r="B206" s="237"/>
      <c r="C206" s="237"/>
      <c r="D206" s="237"/>
      <c r="E206" s="237"/>
      <c r="F206" s="237"/>
      <c r="G206" s="237"/>
      <c r="H206" s="237"/>
      <c r="I206" s="237"/>
      <c r="J206" s="237"/>
      <c r="K206" s="237"/>
      <c r="L206" s="237"/>
      <c r="M206" s="237"/>
      <c r="N206" s="237"/>
      <c r="O206" s="237"/>
      <c r="P206" s="237"/>
      <c r="Q206" s="237"/>
      <c r="R206" s="237"/>
      <c r="S206" s="237"/>
      <c r="T206" s="237"/>
      <c r="U206" s="237"/>
      <c r="V206" s="237"/>
      <c r="W206" s="237"/>
      <c r="X206" s="237"/>
      <c r="Y206" s="237"/>
      <c r="Z206" s="237"/>
    </row>
    <row r="207" ht="14.25" customHeight="1" spans="1:26">
      <c r="A207" s="237"/>
      <c r="B207" s="237"/>
      <c r="C207" s="237"/>
      <c r="D207" s="237"/>
      <c r="E207" s="237"/>
      <c r="F207" s="237"/>
      <c r="G207" s="237"/>
      <c r="H207" s="237"/>
      <c r="I207" s="237"/>
      <c r="J207" s="237"/>
      <c r="K207" s="237"/>
      <c r="L207" s="237"/>
      <c r="M207" s="237"/>
      <c r="N207" s="237"/>
      <c r="O207" s="237"/>
      <c r="P207" s="237"/>
      <c r="Q207" s="237"/>
      <c r="R207" s="237"/>
      <c r="S207" s="237"/>
      <c r="T207" s="237"/>
      <c r="U207" s="237"/>
      <c r="V207" s="237"/>
      <c r="W207" s="237"/>
      <c r="X207" s="237"/>
      <c r="Y207" s="237"/>
      <c r="Z207" s="237"/>
    </row>
    <row r="208" ht="14.25" customHeight="1" spans="1:26">
      <c r="A208" s="237"/>
      <c r="B208" s="237"/>
      <c r="C208" s="237"/>
      <c r="D208" s="237"/>
      <c r="E208" s="237"/>
      <c r="F208" s="237"/>
      <c r="G208" s="237"/>
      <c r="H208" s="237"/>
      <c r="I208" s="237"/>
      <c r="J208" s="237"/>
      <c r="K208" s="237"/>
      <c r="L208" s="237"/>
      <c r="M208" s="237"/>
      <c r="N208" s="237"/>
      <c r="O208" s="237"/>
      <c r="P208" s="237"/>
      <c r="Q208" s="237"/>
      <c r="R208" s="237"/>
      <c r="S208" s="237"/>
      <c r="T208" s="237"/>
      <c r="U208" s="237"/>
      <c r="V208" s="237"/>
      <c r="W208" s="237"/>
      <c r="X208" s="237"/>
      <c r="Y208" s="237"/>
      <c r="Z208" s="237"/>
    </row>
    <row r="209" ht="14.25" customHeight="1" spans="1:26">
      <c r="A209" s="237"/>
      <c r="B209" s="237"/>
      <c r="C209" s="237"/>
      <c r="D209" s="237"/>
      <c r="E209" s="237"/>
      <c r="F209" s="237"/>
      <c r="G209" s="237"/>
      <c r="H209" s="237"/>
      <c r="I209" s="237"/>
      <c r="J209" s="237"/>
      <c r="K209" s="237"/>
      <c r="L209" s="237"/>
      <c r="M209" s="237"/>
      <c r="N209" s="237"/>
      <c r="O209" s="237"/>
      <c r="P209" s="237"/>
      <c r="Q209" s="237"/>
      <c r="R209" s="237"/>
      <c r="S209" s="237"/>
      <c r="T209" s="237"/>
      <c r="U209" s="237"/>
      <c r="V209" s="237"/>
      <c r="W209" s="237"/>
      <c r="X209" s="237"/>
      <c r="Y209" s="237"/>
      <c r="Z209" s="237"/>
    </row>
    <row r="210" ht="14.25" customHeight="1" spans="1:26">
      <c r="A210" s="237"/>
      <c r="B210" s="237"/>
      <c r="C210" s="237"/>
      <c r="D210" s="237"/>
      <c r="E210" s="237"/>
      <c r="F210" s="237"/>
      <c r="G210" s="237"/>
      <c r="H210" s="237"/>
      <c r="I210" s="237"/>
      <c r="J210" s="237"/>
      <c r="K210" s="237"/>
      <c r="L210" s="237"/>
      <c r="M210" s="237"/>
      <c r="N210" s="237"/>
      <c r="O210" s="237"/>
      <c r="P210" s="237"/>
      <c r="Q210" s="237"/>
      <c r="R210" s="237"/>
      <c r="S210" s="237"/>
      <c r="T210" s="237"/>
      <c r="U210" s="237"/>
      <c r="V210" s="237"/>
      <c r="W210" s="237"/>
      <c r="X210" s="237"/>
      <c r="Y210" s="237"/>
      <c r="Z210" s="237"/>
    </row>
    <row r="211" ht="14.25" customHeight="1" spans="1:26">
      <c r="A211" s="237"/>
      <c r="B211" s="237"/>
      <c r="C211" s="237"/>
      <c r="D211" s="237"/>
      <c r="E211" s="237"/>
      <c r="F211" s="237"/>
      <c r="G211" s="237"/>
      <c r="H211" s="237"/>
      <c r="I211" s="237"/>
      <c r="J211" s="237"/>
      <c r="K211" s="237"/>
      <c r="L211" s="237"/>
      <c r="M211" s="237"/>
      <c r="N211" s="237"/>
      <c r="O211" s="237"/>
      <c r="P211" s="237"/>
      <c r="Q211" s="237"/>
      <c r="R211" s="237"/>
      <c r="S211" s="237"/>
      <c r="T211" s="237"/>
      <c r="U211" s="237"/>
      <c r="V211" s="237"/>
      <c r="W211" s="237"/>
      <c r="X211" s="237"/>
      <c r="Y211" s="237"/>
      <c r="Z211" s="237"/>
    </row>
    <row r="212" ht="14.25" customHeight="1" spans="1:26">
      <c r="A212" s="237"/>
      <c r="B212" s="237"/>
      <c r="C212" s="237"/>
      <c r="D212" s="237"/>
      <c r="E212" s="237"/>
      <c r="F212" s="237"/>
      <c r="G212" s="237"/>
      <c r="H212" s="237"/>
      <c r="I212" s="237"/>
      <c r="J212" s="237"/>
      <c r="K212" s="237"/>
      <c r="L212" s="237"/>
      <c r="M212" s="237"/>
      <c r="N212" s="237"/>
      <c r="O212" s="237"/>
      <c r="P212" s="237"/>
      <c r="Q212" s="237"/>
      <c r="R212" s="237"/>
      <c r="S212" s="237"/>
      <c r="T212" s="237"/>
      <c r="U212" s="237"/>
      <c r="V212" s="237"/>
      <c r="W212" s="237"/>
      <c r="X212" s="237"/>
      <c r="Y212" s="237"/>
      <c r="Z212" s="237"/>
    </row>
    <row r="213" ht="14.25" customHeight="1" spans="1:26">
      <c r="A213" s="237"/>
      <c r="B213" s="237"/>
      <c r="C213" s="237"/>
      <c r="D213" s="237"/>
      <c r="E213" s="237"/>
      <c r="F213" s="237"/>
      <c r="G213" s="237"/>
      <c r="H213" s="237"/>
      <c r="I213" s="237"/>
      <c r="J213" s="237"/>
      <c r="K213" s="237"/>
      <c r="L213" s="237"/>
      <c r="M213" s="237"/>
      <c r="N213" s="237"/>
      <c r="O213" s="237"/>
      <c r="P213" s="237"/>
      <c r="Q213" s="237"/>
      <c r="R213" s="237"/>
      <c r="S213" s="237"/>
      <c r="T213" s="237"/>
      <c r="U213" s="237"/>
      <c r="V213" s="237"/>
      <c r="W213" s="237"/>
      <c r="X213" s="237"/>
      <c r="Y213" s="237"/>
      <c r="Z213" s="237"/>
    </row>
    <row r="214" ht="14.25" customHeight="1" spans="1:26">
      <c r="A214" s="237"/>
      <c r="B214" s="237"/>
      <c r="C214" s="237"/>
      <c r="D214" s="237"/>
      <c r="E214" s="237"/>
      <c r="F214" s="237"/>
      <c r="G214" s="237"/>
      <c r="H214" s="237"/>
      <c r="I214" s="237"/>
      <c r="J214" s="237"/>
      <c r="K214" s="237"/>
      <c r="L214" s="237"/>
      <c r="M214" s="237"/>
      <c r="N214" s="237"/>
      <c r="O214" s="237"/>
      <c r="P214" s="237"/>
      <c r="Q214" s="237"/>
      <c r="R214" s="237"/>
      <c r="S214" s="237"/>
      <c r="T214" s="237"/>
      <c r="U214" s="237"/>
      <c r="V214" s="237"/>
      <c r="W214" s="237"/>
      <c r="X214" s="237"/>
      <c r="Y214" s="237"/>
      <c r="Z214" s="237"/>
    </row>
    <row r="215" ht="14.25" customHeight="1" spans="1:26">
      <c r="A215" s="237"/>
      <c r="B215" s="237"/>
      <c r="C215" s="237"/>
      <c r="D215" s="237"/>
      <c r="E215" s="237"/>
      <c r="F215" s="237"/>
      <c r="G215" s="237"/>
      <c r="H215" s="237"/>
      <c r="I215" s="237"/>
      <c r="J215" s="237"/>
      <c r="K215" s="237"/>
      <c r="L215" s="237"/>
      <c r="M215" s="237"/>
      <c r="N215" s="237"/>
      <c r="O215" s="237"/>
      <c r="P215" s="237"/>
      <c r="Q215" s="237"/>
      <c r="R215" s="237"/>
      <c r="S215" s="237"/>
      <c r="T215" s="237"/>
      <c r="U215" s="237"/>
      <c r="V215" s="237"/>
      <c r="W215" s="237"/>
      <c r="X215" s="237"/>
      <c r="Y215" s="237"/>
      <c r="Z215" s="237"/>
    </row>
    <row r="216" ht="14.25" customHeight="1" spans="1:26">
      <c r="A216" s="237"/>
      <c r="B216" s="237"/>
      <c r="C216" s="237"/>
      <c r="D216" s="237"/>
      <c r="E216" s="237"/>
      <c r="F216" s="237"/>
      <c r="G216" s="237"/>
      <c r="H216" s="237"/>
      <c r="I216" s="237"/>
      <c r="J216" s="237"/>
      <c r="K216" s="237"/>
      <c r="L216" s="237"/>
      <c r="M216" s="237"/>
      <c r="N216" s="237"/>
      <c r="O216" s="237"/>
      <c r="P216" s="237"/>
      <c r="Q216" s="237"/>
      <c r="R216" s="237"/>
      <c r="S216" s="237"/>
      <c r="T216" s="237"/>
      <c r="U216" s="237"/>
      <c r="V216" s="237"/>
      <c r="W216" s="237"/>
      <c r="X216" s="237"/>
      <c r="Y216" s="237"/>
      <c r="Z216" s="237"/>
    </row>
    <row r="217" ht="14.25" customHeight="1" spans="1:26">
      <c r="A217" s="237"/>
      <c r="B217" s="237"/>
      <c r="C217" s="237"/>
      <c r="D217" s="237"/>
      <c r="E217" s="237"/>
      <c r="F217" s="237"/>
      <c r="G217" s="237"/>
      <c r="H217" s="237"/>
      <c r="I217" s="237"/>
      <c r="J217" s="237"/>
      <c r="K217" s="237"/>
      <c r="L217" s="237"/>
      <c r="M217" s="237"/>
      <c r="N217" s="237"/>
      <c r="O217" s="237"/>
      <c r="P217" s="237"/>
      <c r="Q217" s="237"/>
      <c r="R217" s="237"/>
      <c r="S217" s="237"/>
      <c r="T217" s="237"/>
      <c r="U217" s="237"/>
      <c r="V217" s="237"/>
      <c r="W217" s="237"/>
      <c r="X217" s="237"/>
      <c r="Y217" s="237"/>
      <c r="Z217" s="237"/>
    </row>
    <row r="218" ht="14.25" customHeight="1" spans="1:26">
      <c r="A218" s="237"/>
      <c r="B218" s="237"/>
      <c r="C218" s="237"/>
      <c r="D218" s="237"/>
      <c r="E218" s="237"/>
      <c r="F218" s="237"/>
      <c r="G218" s="237"/>
      <c r="H218" s="237"/>
      <c r="I218" s="237"/>
      <c r="J218" s="237"/>
      <c r="K218" s="237"/>
      <c r="L218" s="237"/>
      <c r="M218" s="237"/>
      <c r="N218" s="237"/>
      <c r="O218" s="237"/>
      <c r="P218" s="237"/>
      <c r="Q218" s="237"/>
      <c r="R218" s="237"/>
      <c r="S218" s="237"/>
      <c r="T218" s="237"/>
      <c r="U218" s="237"/>
      <c r="V218" s="237"/>
      <c r="W218" s="237"/>
      <c r="X218" s="237"/>
      <c r="Y218" s="237"/>
      <c r="Z218" s="237"/>
    </row>
    <row r="219" ht="14.25" customHeight="1" spans="1:26">
      <c r="A219" s="237"/>
      <c r="B219" s="237"/>
      <c r="C219" s="237"/>
      <c r="D219" s="237"/>
      <c r="E219" s="237"/>
      <c r="F219" s="237"/>
      <c r="G219" s="237"/>
      <c r="H219" s="237"/>
      <c r="I219" s="237"/>
      <c r="J219" s="237"/>
      <c r="K219" s="237"/>
      <c r="L219" s="237"/>
      <c r="M219" s="237"/>
      <c r="N219" s="237"/>
      <c r="O219" s="237"/>
      <c r="P219" s="237"/>
      <c r="Q219" s="237"/>
      <c r="R219" s="237"/>
      <c r="S219" s="237"/>
      <c r="T219" s="237"/>
      <c r="U219" s="237"/>
      <c r="V219" s="237"/>
      <c r="W219" s="237"/>
      <c r="X219" s="237"/>
      <c r="Y219" s="237"/>
      <c r="Z219" s="237"/>
    </row>
    <row r="220" ht="14.25" customHeight="1" spans="1:26">
      <c r="A220" s="237"/>
      <c r="B220" s="237"/>
      <c r="C220" s="237"/>
      <c r="D220" s="237"/>
      <c r="E220" s="237"/>
      <c r="F220" s="237"/>
      <c r="G220" s="237"/>
      <c r="H220" s="237"/>
      <c r="I220" s="237"/>
      <c r="J220" s="237"/>
      <c r="K220" s="237"/>
      <c r="L220" s="237"/>
      <c r="M220" s="237"/>
      <c r="N220" s="237"/>
      <c r="O220" s="237"/>
      <c r="P220" s="237"/>
      <c r="Q220" s="237"/>
      <c r="R220" s="237"/>
      <c r="S220" s="237"/>
      <c r="T220" s="237"/>
      <c r="U220" s="237"/>
      <c r="V220" s="237"/>
      <c r="W220" s="237"/>
      <c r="X220" s="237"/>
      <c r="Y220" s="237"/>
      <c r="Z220" s="237"/>
    </row>
    <row r="221" ht="14.25" customHeight="1" spans="1:26">
      <c r="A221" s="237"/>
      <c r="B221" s="237"/>
      <c r="C221" s="237"/>
      <c r="D221" s="237"/>
      <c r="E221" s="237"/>
      <c r="F221" s="237"/>
      <c r="G221" s="237"/>
      <c r="H221" s="237"/>
      <c r="I221" s="237"/>
      <c r="J221" s="237"/>
      <c r="K221" s="237"/>
      <c r="L221" s="237"/>
      <c r="M221" s="237"/>
      <c r="N221" s="237"/>
      <c r="O221" s="237"/>
      <c r="P221" s="237"/>
      <c r="Q221" s="237"/>
      <c r="R221" s="237"/>
      <c r="S221" s="237"/>
      <c r="T221" s="237"/>
      <c r="U221" s="237"/>
      <c r="V221" s="237"/>
      <c r="W221" s="237"/>
      <c r="X221" s="237"/>
      <c r="Y221" s="237"/>
      <c r="Z221" s="237"/>
    </row>
    <row r="222" ht="14.25" customHeight="1" spans="1:26">
      <c r="A222" s="237"/>
      <c r="B222" s="237"/>
      <c r="C222" s="237"/>
      <c r="D222" s="237"/>
      <c r="E222" s="237"/>
      <c r="F222" s="237"/>
      <c r="G222" s="237"/>
      <c r="H222" s="237"/>
      <c r="I222" s="237"/>
      <c r="J222" s="237"/>
      <c r="K222" s="237"/>
      <c r="L222" s="237"/>
      <c r="M222" s="237"/>
      <c r="N222" s="237"/>
      <c r="O222" s="237"/>
      <c r="P222" s="237"/>
      <c r="Q222" s="237"/>
      <c r="R222" s="237"/>
      <c r="S222" s="237"/>
      <c r="T222" s="237"/>
      <c r="U222" s="237"/>
      <c r="V222" s="237"/>
      <c r="W222" s="237"/>
      <c r="X222" s="237"/>
      <c r="Y222" s="237"/>
      <c r="Z222" s="237"/>
    </row>
    <row r="223" ht="14.25" customHeight="1" spans="1:26">
      <c r="A223" s="237"/>
      <c r="B223" s="237"/>
      <c r="C223" s="237"/>
      <c r="D223" s="237"/>
      <c r="E223" s="237"/>
      <c r="F223" s="237"/>
      <c r="G223" s="237"/>
      <c r="H223" s="237"/>
      <c r="I223" s="237"/>
      <c r="J223" s="237"/>
      <c r="K223" s="237"/>
      <c r="L223" s="237"/>
      <c r="M223" s="237"/>
      <c r="N223" s="237"/>
      <c r="O223" s="237"/>
      <c r="P223" s="237"/>
      <c r="Q223" s="237"/>
      <c r="R223" s="237"/>
      <c r="S223" s="237"/>
      <c r="T223" s="237"/>
      <c r="U223" s="237"/>
      <c r="V223" s="237"/>
      <c r="W223" s="237"/>
      <c r="X223" s="237"/>
      <c r="Y223" s="237"/>
      <c r="Z223" s="237"/>
    </row>
    <row r="224" ht="14.25" customHeight="1" spans="1:26">
      <c r="A224" s="237"/>
      <c r="B224" s="237"/>
      <c r="C224" s="237"/>
      <c r="D224" s="237"/>
      <c r="E224" s="237"/>
      <c r="F224" s="237"/>
      <c r="G224" s="237"/>
      <c r="H224" s="237"/>
      <c r="I224" s="237"/>
      <c r="J224" s="237"/>
      <c r="K224" s="237"/>
      <c r="L224" s="237"/>
      <c r="M224" s="237"/>
      <c r="N224" s="237"/>
      <c r="O224" s="237"/>
      <c r="P224" s="237"/>
      <c r="Q224" s="237"/>
      <c r="R224" s="237"/>
      <c r="S224" s="237"/>
      <c r="T224" s="237"/>
      <c r="U224" s="237"/>
      <c r="V224" s="237"/>
      <c r="W224" s="237"/>
      <c r="X224" s="237"/>
      <c r="Y224" s="237"/>
      <c r="Z224" s="237"/>
    </row>
    <row r="225" ht="14.25" customHeight="1" spans="1:26">
      <c r="A225" s="237"/>
      <c r="B225" s="237"/>
      <c r="C225" s="237"/>
      <c r="D225" s="237"/>
      <c r="E225" s="237"/>
      <c r="F225" s="237"/>
      <c r="G225" s="237"/>
      <c r="H225" s="237"/>
      <c r="I225" s="237"/>
      <c r="J225" s="237"/>
      <c r="K225" s="237"/>
      <c r="L225" s="237"/>
      <c r="M225" s="237"/>
      <c r="N225" s="237"/>
      <c r="O225" s="237"/>
      <c r="P225" s="237"/>
      <c r="Q225" s="237"/>
      <c r="R225" s="237"/>
      <c r="S225" s="237"/>
      <c r="T225" s="237"/>
      <c r="U225" s="237"/>
      <c r="V225" s="237"/>
      <c r="W225" s="237"/>
      <c r="X225" s="237"/>
      <c r="Y225" s="237"/>
      <c r="Z225" s="237"/>
    </row>
    <row r="226" ht="14.25" customHeight="1" spans="1:26">
      <c r="A226" s="237"/>
      <c r="B226" s="237"/>
      <c r="C226" s="237"/>
      <c r="D226" s="237"/>
      <c r="E226" s="237"/>
      <c r="F226" s="237"/>
      <c r="G226" s="237"/>
      <c r="H226" s="237"/>
      <c r="I226" s="237"/>
      <c r="J226" s="237"/>
      <c r="K226" s="237"/>
      <c r="L226" s="237"/>
      <c r="M226" s="237"/>
      <c r="N226" s="237"/>
      <c r="O226" s="237"/>
      <c r="P226" s="237"/>
      <c r="Q226" s="237"/>
      <c r="R226" s="237"/>
      <c r="S226" s="237"/>
      <c r="T226" s="237"/>
      <c r="U226" s="237"/>
      <c r="V226" s="237"/>
      <c r="W226" s="237"/>
      <c r="X226" s="237"/>
      <c r="Y226" s="237"/>
      <c r="Z226" s="237"/>
    </row>
    <row r="227" ht="14.25" customHeight="1" spans="1:26">
      <c r="A227" s="237"/>
      <c r="B227" s="237"/>
      <c r="C227" s="237"/>
      <c r="D227" s="237"/>
      <c r="E227" s="237"/>
      <c r="F227" s="237"/>
      <c r="G227" s="237"/>
      <c r="H227" s="237"/>
      <c r="I227" s="237"/>
      <c r="J227" s="237"/>
      <c r="K227" s="237"/>
      <c r="L227" s="237"/>
      <c r="M227" s="237"/>
      <c r="N227" s="237"/>
      <c r="O227" s="237"/>
      <c r="P227" s="237"/>
      <c r="Q227" s="237"/>
      <c r="R227" s="237"/>
      <c r="S227" s="237"/>
      <c r="T227" s="237"/>
      <c r="U227" s="237"/>
      <c r="V227" s="237"/>
      <c r="W227" s="237"/>
      <c r="X227" s="237"/>
      <c r="Y227" s="237"/>
      <c r="Z227" s="237"/>
    </row>
    <row r="228" ht="14.25" customHeight="1" spans="1:26">
      <c r="A228" s="237"/>
      <c r="B228" s="237"/>
      <c r="C228" s="237"/>
      <c r="D228" s="237"/>
      <c r="E228" s="237"/>
      <c r="F228" s="237"/>
      <c r="G228" s="237"/>
      <c r="H228" s="237"/>
      <c r="I228" s="237"/>
      <c r="J228" s="237"/>
      <c r="K228" s="237"/>
      <c r="L228" s="237"/>
      <c r="M228" s="237"/>
      <c r="N228" s="237"/>
      <c r="O228" s="237"/>
      <c r="P228" s="237"/>
      <c r="Q228" s="237"/>
      <c r="R228" s="237"/>
      <c r="S228" s="237"/>
      <c r="T228" s="237"/>
      <c r="U228" s="237"/>
      <c r="V228" s="237"/>
      <c r="W228" s="237"/>
      <c r="X228" s="237"/>
      <c r="Y228" s="237"/>
      <c r="Z228" s="237"/>
    </row>
    <row r="229" ht="14.25" customHeight="1" spans="1:26">
      <c r="A229" s="237"/>
      <c r="B229" s="237"/>
      <c r="C229" s="237"/>
      <c r="D229" s="237"/>
      <c r="E229" s="237"/>
      <c r="F229" s="237"/>
      <c r="G229" s="237"/>
      <c r="H229" s="237"/>
      <c r="I229" s="237"/>
      <c r="J229" s="237"/>
      <c r="K229" s="237"/>
      <c r="L229" s="237"/>
      <c r="M229" s="237"/>
      <c r="N229" s="237"/>
      <c r="O229" s="237"/>
      <c r="P229" s="237"/>
      <c r="Q229" s="237"/>
      <c r="R229" s="237"/>
      <c r="S229" s="237"/>
      <c r="T229" s="237"/>
      <c r="U229" s="237"/>
      <c r="V229" s="237"/>
      <c r="W229" s="237"/>
      <c r="X229" s="237"/>
      <c r="Y229" s="237"/>
      <c r="Z229" s="237"/>
    </row>
    <row r="230" ht="14.25" customHeight="1" spans="1:26">
      <c r="A230" s="237"/>
      <c r="B230" s="237"/>
      <c r="C230" s="237"/>
      <c r="D230" s="237"/>
      <c r="E230" s="237"/>
      <c r="F230" s="237"/>
      <c r="G230" s="237"/>
      <c r="H230" s="237"/>
      <c r="I230" s="237"/>
      <c r="J230" s="237"/>
      <c r="K230" s="237"/>
      <c r="L230" s="237"/>
      <c r="M230" s="237"/>
      <c r="N230" s="237"/>
      <c r="O230" s="237"/>
      <c r="P230" s="237"/>
      <c r="Q230" s="237"/>
      <c r="R230" s="237"/>
      <c r="S230" s="237"/>
      <c r="T230" s="237"/>
      <c r="U230" s="237"/>
      <c r="V230" s="237"/>
      <c r="W230" s="237"/>
      <c r="X230" s="237"/>
      <c r="Y230" s="237"/>
      <c r="Z230" s="237"/>
    </row>
    <row r="231" ht="14.25" customHeight="1" spans="1:26">
      <c r="A231" s="237"/>
      <c r="B231" s="237"/>
      <c r="C231" s="237"/>
      <c r="D231" s="237"/>
      <c r="E231" s="237"/>
      <c r="F231" s="237"/>
      <c r="G231" s="237"/>
      <c r="H231" s="237"/>
      <c r="I231" s="237"/>
      <c r="J231" s="237"/>
      <c r="K231" s="237"/>
      <c r="L231" s="237"/>
      <c r="M231" s="237"/>
      <c r="N231" s="237"/>
      <c r="O231" s="237"/>
      <c r="P231" s="237"/>
      <c r="Q231" s="237"/>
      <c r="R231" s="237"/>
      <c r="S231" s="237"/>
      <c r="T231" s="237"/>
      <c r="U231" s="237"/>
      <c r="V231" s="237"/>
      <c r="W231" s="237"/>
      <c r="X231" s="237"/>
      <c r="Y231" s="237"/>
      <c r="Z231" s="237"/>
    </row>
    <row r="232" ht="14.25" customHeight="1" spans="1:26">
      <c r="A232" s="237"/>
      <c r="B232" s="237"/>
      <c r="C232" s="237"/>
      <c r="D232" s="237"/>
      <c r="E232" s="237"/>
      <c r="F232" s="237"/>
      <c r="G232" s="237"/>
      <c r="H232" s="237"/>
      <c r="I232" s="237"/>
      <c r="J232" s="237"/>
      <c r="K232" s="237"/>
      <c r="L232" s="237"/>
      <c r="M232" s="237"/>
      <c r="N232" s="237"/>
      <c r="O232" s="237"/>
      <c r="P232" s="237"/>
      <c r="Q232" s="237"/>
      <c r="R232" s="237"/>
      <c r="S232" s="237"/>
      <c r="T232" s="237"/>
      <c r="U232" s="237"/>
      <c r="V232" s="237"/>
      <c r="W232" s="237"/>
      <c r="X232" s="237"/>
      <c r="Y232" s="237"/>
      <c r="Z232" s="237"/>
    </row>
    <row r="233" ht="14.25" customHeight="1" spans="1:26">
      <c r="A233" s="237"/>
      <c r="B233" s="237"/>
      <c r="C233" s="237"/>
      <c r="D233" s="237"/>
      <c r="E233" s="237"/>
      <c r="F233" s="237"/>
      <c r="G233" s="237"/>
      <c r="H233" s="237"/>
      <c r="I233" s="237"/>
      <c r="J233" s="237"/>
      <c r="K233" s="237"/>
      <c r="L233" s="237"/>
      <c r="M233" s="237"/>
      <c r="N233" s="237"/>
      <c r="O233" s="237"/>
      <c r="P233" s="237"/>
      <c r="Q233" s="237"/>
      <c r="R233" s="237"/>
      <c r="S233" s="237"/>
      <c r="T233" s="237"/>
      <c r="U233" s="237"/>
      <c r="V233" s="237"/>
      <c r="W233" s="237"/>
      <c r="X233" s="237"/>
      <c r="Y233" s="237"/>
      <c r="Z233" s="237"/>
    </row>
    <row r="234" ht="14.25" customHeight="1" spans="1:26">
      <c r="A234" s="237"/>
      <c r="B234" s="237"/>
      <c r="C234" s="237"/>
      <c r="D234" s="237"/>
      <c r="E234" s="237"/>
      <c r="F234" s="237"/>
      <c r="G234" s="237"/>
      <c r="H234" s="237"/>
      <c r="I234" s="237"/>
      <c r="J234" s="237"/>
      <c r="K234" s="237"/>
      <c r="L234" s="237"/>
      <c r="M234" s="237"/>
      <c r="N234" s="237"/>
      <c r="O234" s="237"/>
      <c r="P234" s="237"/>
      <c r="Q234" s="237"/>
      <c r="R234" s="237"/>
      <c r="S234" s="237"/>
      <c r="T234" s="237"/>
      <c r="U234" s="237"/>
      <c r="V234" s="237"/>
      <c r="W234" s="237"/>
      <c r="X234" s="237"/>
      <c r="Y234" s="237"/>
      <c r="Z234" s="237"/>
    </row>
    <row r="235" ht="14.25" customHeight="1" spans="1:26">
      <c r="A235" s="237"/>
      <c r="B235" s="237"/>
      <c r="C235" s="237"/>
      <c r="D235" s="237"/>
      <c r="E235" s="237"/>
      <c r="F235" s="237"/>
      <c r="G235" s="237"/>
      <c r="H235" s="237"/>
      <c r="I235" s="237"/>
      <c r="J235" s="237"/>
      <c r="K235" s="237"/>
      <c r="L235" s="237"/>
      <c r="M235" s="237"/>
      <c r="N235" s="237"/>
      <c r="O235" s="237"/>
      <c r="P235" s="237"/>
      <c r="Q235" s="237"/>
      <c r="R235" s="237"/>
      <c r="S235" s="237"/>
      <c r="T235" s="237"/>
      <c r="U235" s="237"/>
      <c r="V235" s="237"/>
      <c r="W235" s="237"/>
      <c r="X235" s="237"/>
      <c r="Y235" s="237"/>
      <c r="Z235" s="237"/>
    </row>
    <row r="236" ht="14.25" customHeight="1" spans="1:26">
      <c r="A236" s="237"/>
      <c r="B236" s="237"/>
      <c r="C236" s="237"/>
      <c r="D236" s="237"/>
      <c r="E236" s="237"/>
      <c r="F236" s="237"/>
      <c r="G236" s="237"/>
      <c r="H236" s="237"/>
      <c r="I236" s="237"/>
      <c r="J236" s="237"/>
      <c r="K236" s="237"/>
      <c r="L236" s="237"/>
      <c r="M236" s="237"/>
      <c r="N236" s="237"/>
      <c r="O236" s="237"/>
      <c r="P236" s="237"/>
      <c r="Q236" s="237"/>
      <c r="R236" s="237"/>
      <c r="S236" s="237"/>
      <c r="T236" s="237"/>
      <c r="U236" s="237"/>
      <c r="V236" s="237"/>
      <c r="W236" s="237"/>
      <c r="X236" s="237"/>
      <c r="Y236" s="237"/>
      <c r="Z236" s="237"/>
    </row>
    <row r="237" ht="14.25" customHeight="1" spans="1:26">
      <c r="A237" s="237"/>
      <c r="B237" s="237"/>
      <c r="C237" s="237"/>
      <c r="D237" s="237"/>
      <c r="E237" s="237"/>
      <c r="F237" s="237"/>
      <c r="G237" s="237"/>
      <c r="H237" s="237"/>
      <c r="I237" s="237"/>
      <c r="J237" s="237"/>
      <c r="K237" s="237"/>
      <c r="L237" s="237"/>
      <c r="M237" s="237"/>
      <c r="N237" s="237"/>
      <c r="O237" s="237"/>
      <c r="P237" s="237"/>
      <c r="Q237" s="237"/>
      <c r="R237" s="237"/>
      <c r="S237" s="237"/>
      <c r="T237" s="237"/>
      <c r="U237" s="237"/>
      <c r="V237" s="237"/>
      <c r="W237" s="237"/>
      <c r="X237" s="237"/>
      <c r="Y237" s="237"/>
      <c r="Z237" s="237"/>
    </row>
    <row r="238" ht="14.25" customHeight="1" spans="1:26">
      <c r="A238" s="237"/>
      <c r="B238" s="237"/>
      <c r="C238" s="237"/>
      <c r="D238" s="237"/>
      <c r="E238" s="237"/>
      <c r="F238" s="237"/>
      <c r="G238" s="237"/>
      <c r="H238" s="237"/>
      <c r="I238" s="237"/>
      <c r="J238" s="237"/>
      <c r="K238" s="237"/>
      <c r="L238" s="237"/>
      <c r="M238" s="237"/>
      <c r="N238" s="237"/>
      <c r="O238" s="237"/>
      <c r="P238" s="237"/>
      <c r="Q238" s="237"/>
      <c r="R238" s="237"/>
      <c r="S238" s="237"/>
      <c r="T238" s="237"/>
      <c r="U238" s="237"/>
      <c r="V238" s="237"/>
      <c r="W238" s="237"/>
      <c r="X238" s="237"/>
      <c r="Y238" s="237"/>
      <c r="Z238" s="237"/>
    </row>
    <row r="239" ht="14.25" customHeight="1" spans="1:26">
      <c r="A239" s="237"/>
      <c r="B239" s="237"/>
      <c r="C239" s="237"/>
      <c r="D239" s="237"/>
      <c r="E239" s="237"/>
      <c r="F239" s="237"/>
      <c r="G239" s="237"/>
      <c r="H239" s="237"/>
      <c r="I239" s="237"/>
      <c r="J239" s="237"/>
      <c r="K239" s="237"/>
      <c r="L239" s="237"/>
      <c r="M239" s="237"/>
      <c r="N239" s="237"/>
      <c r="O239" s="237"/>
      <c r="P239" s="237"/>
      <c r="Q239" s="237"/>
      <c r="R239" s="237"/>
      <c r="S239" s="237"/>
      <c r="T239" s="237"/>
      <c r="U239" s="237"/>
      <c r="V239" s="237"/>
      <c r="W239" s="237"/>
      <c r="X239" s="237"/>
      <c r="Y239" s="237"/>
      <c r="Z239" s="237"/>
    </row>
    <row r="240" ht="14.25" customHeight="1" spans="1:26">
      <c r="A240" s="237"/>
      <c r="B240" s="237"/>
      <c r="C240" s="237"/>
      <c r="D240" s="237"/>
      <c r="E240" s="237"/>
      <c r="F240" s="237"/>
      <c r="G240" s="237"/>
      <c r="H240" s="237"/>
      <c r="I240" s="237"/>
      <c r="J240" s="237"/>
      <c r="K240" s="237"/>
      <c r="L240" s="237"/>
      <c r="M240" s="237"/>
      <c r="N240" s="237"/>
      <c r="O240" s="237"/>
      <c r="P240" s="237"/>
      <c r="Q240" s="237"/>
      <c r="R240" s="237"/>
      <c r="S240" s="237"/>
      <c r="T240" s="237"/>
      <c r="U240" s="237"/>
      <c r="V240" s="237"/>
      <c r="W240" s="237"/>
      <c r="X240" s="237"/>
      <c r="Y240" s="237"/>
      <c r="Z240" s="237"/>
    </row>
    <row r="241" ht="14.25" customHeight="1" spans="1:26">
      <c r="A241" s="237"/>
      <c r="B241" s="237"/>
      <c r="C241" s="237"/>
      <c r="D241" s="237"/>
      <c r="E241" s="237"/>
      <c r="F241" s="237"/>
      <c r="G241" s="237"/>
      <c r="H241" s="237"/>
      <c r="I241" s="237"/>
      <c r="J241" s="237"/>
      <c r="K241" s="237"/>
      <c r="L241" s="237"/>
      <c r="M241" s="237"/>
      <c r="N241" s="237"/>
      <c r="O241" s="237"/>
      <c r="P241" s="237"/>
      <c r="Q241" s="237"/>
      <c r="R241" s="237"/>
      <c r="S241" s="237"/>
      <c r="T241" s="237"/>
      <c r="U241" s="237"/>
      <c r="V241" s="237"/>
      <c r="W241" s="237"/>
      <c r="X241" s="237"/>
      <c r="Y241" s="237"/>
      <c r="Z241" s="237"/>
    </row>
    <row r="242" ht="14.25" customHeight="1" spans="1:26">
      <c r="A242" s="237"/>
      <c r="B242" s="237"/>
      <c r="C242" s="237"/>
      <c r="D242" s="237"/>
      <c r="E242" s="237"/>
      <c r="F242" s="237"/>
      <c r="G242" s="237"/>
      <c r="H242" s="237"/>
      <c r="I242" s="237"/>
      <c r="J242" s="237"/>
      <c r="K242" s="237"/>
      <c r="L242" s="237"/>
      <c r="M242" s="237"/>
      <c r="N242" s="237"/>
      <c r="O242" s="237"/>
      <c r="P242" s="237"/>
      <c r="Q242" s="237"/>
      <c r="R242" s="237"/>
      <c r="S242" s="237"/>
      <c r="T242" s="237"/>
      <c r="U242" s="237"/>
      <c r="V242" s="237"/>
      <c r="W242" s="237"/>
      <c r="X242" s="237"/>
      <c r="Y242" s="237"/>
      <c r="Z242" s="237"/>
    </row>
    <row r="243" ht="14.25" customHeight="1" spans="1:26">
      <c r="A243" s="237"/>
      <c r="B243" s="237"/>
      <c r="C243" s="237"/>
      <c r="D243" s="237"/>
      <c r="E243" s="237"/>
      <c r="F243" s="237"/>
      <c r="G243" s="237"/>
      <c r="H243" s="237"/>
      <c r="I243" s="237"/>
      <c r="J243" s="237"/>
      <c r="K243" s="237"/>
      <c r="L243" s="237"/>
      <c r="M243" s="237"/>
      <c r="N243" s="237"/>
      <c r="O243" s="237"/>
      <c r="P243" s="237"/>
      <c r="Q243" s="237"/>
      <c r="R243" s="237"/>
      <c r="S243" s="237"/>
      <c r="T243" s="237"/>
      <c r="U243" s="237"/>
      <c r="V243" s="237"/>
      <c r="W243" s="237"/>
      <c r="X243" s="237"/>
      <c r="Y243" s="237"/>
      <c r="Z243" s="237"/>
    </row>
    <row r="244" ht="14.25" customHeight="1" spans="1:26">
      <c r="A244" s="237"/>
      <c r="B244" s="237"/>
      <c r="C244" s="237"/>
      <c r="D244" s="237"/>
      <c r="E244" s="237"/>
      <c r="F244" s="237"/>
      <c r="G244" s="237"/>
      <c r="H244" s="237"/>
      <c r="I244" s="237"/>
      <c r="J244" s="237"/>
      <c r="K244" s="237"/>
      <c r="L244" s="237"/>
      <c r="M244" s="237"/>
      <c r="N244" s="237"/>
      <c r="O244" s="237"/>
      <c r="P244" s="237"/>
      <c r="Q244" s="237"/>
      <c r="R244" s="237"/>
      <c r="S244" s="237"/>
      <c r="T244" s="237"/>
      <c r="U244" s="237"/>
      <c r="V244" s="237"/>
      <c r="W244" s="237"/>
      <c r="X244" s="237"/>
      <c r="Y244" s="237"/>
      <c r="Z244" s="237"/>
    </row>
    <row r="245" ht="14.25" customHeight="1" spans="1:26">
      <c r="A245" s="237"/>
      <c r="B245" s="237"/>
      <c r="C245" s="237"/>
      <c r="D245" s="237"/>
      <c r="E245" s="237"/>
      <c r="F245" s="237"/>
      <c r="G245" s="237"/>
      <c r="H245" s="237"/>
      <c r="I245" s="237"/>
      <c r="J245" s="237"/>
      <c r="K245" s="237"/>
      <c r="L245" s="237"/>
      <c r="M245" s="237"/>
      <c r="N245" s="237"/>
      <c r="O245" s="237"/>
      <c r="P245" s="237"/>
      <c r="Q245" s="237"/>
      <c r="R245" s="237"/>
      <c r="S245" s="237"/>
      <c r="T245" s="237"/>
      <c r="U245" s="237"/>
      <c r="V245" s="237"/>
      <c r="W245" s="237"/>
      <c r="X245" s="237"/>
      <c r="Y245" s="237"/>
      <c r="Z245" s="237"/>
    </row>
    <row r="246" ht="14.25" customHeight="1" spans="1:26">
      <c r="A246" s="237"/>
      <c r="B246" s="237"/>
      <c r="C246" s="237"/>
      <c r="D246" s="237"/>
      <c r="E246" s="237"/>
      <c r="F246" s="237"/>
      <c r="G246" s="237"/>
      <c r="H246" s="237"/>
      <c r="I246" s="237"/>
      <c r="J246" s="237"/>
      <c r="K246" s="237"/>
      <c r="L246" s="237"/>
      <c r="M246" s="237"/>
      <c r="N246" s="237"/>
      <c r="O246" s="237"/>
      <c r="P246" s="237"/>
      <c r="Q246" s="237"/>
      <c r="R246" s="237"/>
      <c r="S246" s="237"/>
      <c r="T246" s="237"/>
      <c r="U246" s="237"/>
      <c r="V246" s="237"/>
      <c r="W246" s="237"/>
      <c r="X246" s="237"/>
      <c r="Y246" s="237"/>
      <c r="Z246" s="237"/>
    </row>
    <row r="247" ht="14.25" customHeight="1" spans="1:26">
      <c r="A247" s="237"/>
      <c r="B247" s="237"/>
      <c r="C247" s="237"/>
      <c r="D247" s="237"/>
      <c r="E247" s="237"/>
      <c r="F247" s="237"/>
      <c r="G247" s="237"/>
      <c r="H247" s="237"/>
      <c r="I247" s="237"/>
      <c r="J247" s="237"/>
      <c r="K247" s="237"/>
      <c r="L247" s="237"/>
      <c r="M247" s="237"/>
      <c r="N247" s="237"/>
      <c r="O247" s="237"/>
      <c r="P247" s="237"/>
      <c r="Q247" s="237"/>
      <c r="R247" s="237"/>
      <c r="S247" s="237"/>
      <c r="T247" s="237"/>
      <c r="U247" s="237"/>
      <c r="V247" s="237"/>
      <c r="W247" s="237"/>
      <c r="X247" s="237"/>
      <c r="Y247" s="237"/>
      <c r="Z247" s="237"/>
    </row>
    <row r="248" ht="14.25" customHeight="1" spans="1:26">
      <c r="A248" s="237"/>
      <c r="B248" s="237"/>
      <c r="C248" s="237"/>
      <c r="D248" s="237"/>
      <c r="E248" s="237"/>
      <c r="F248" s="237"/>
      <c r="G248" s="237"/>
      <c r="H248" s="237"/>
      <c r="I248" s="237"/>
      <c r="J248" s="237"/>
      <c r="K248" s="237"/>
      <c r="L248" s="237"/>
      <c r="M248" s="237"/>
      <c r="N248" s="237"/>
      <c r="O248" s="237"/>
      <c r="P248" s="237"/>
      <c r="Q248" s="237"/>
      <c r="R248" s="237"/>
      <c r="S248" s="237"/>
      <c r="T248" s="237"/>
      <c r="U248" s="237"/>
      <c r="V248" s="237"/>
      <c r="W248" s="237"/>
      <c r="X248" s="237"/>
      <c r="Y248" s="237"/>
      <c r="Z248" s="237"/>
    </row>
    <row r="249" ht="14.25" customHeight="1" spans="1:26">
      <c r="A249" s="237"/>
      <c r="B249" s="237"/>
      <c r="C249" s="237"/>
      <c r="D249" s="237"/>
      <c r="E249" s="237"/>
      <c r="F249" s="237"/>
      <c r="G249" s="237"/>
      <c r="H249" s="237"/>
      <c r="I249" s="237"/>
      <c r="J249" s="237"/>
      <c r="K249" s="237"/>
      <c r="L249" s="237"/>
      <c r="M249" s="237"/>
      <c r="N249" s="237"/>
      <c r="O249" s="237"/>
      <c r="P249" s="237"/>
      <c r="Q249" s="237"/>
      <c r="R249" s="237"/>
      <c r="S249" s="237"/>
      <c r="T249" s="237"/>
      <c r="U249" s="237"/>
      <c r="V249" s="237"/>
      <c r="W249" s="237"/>
      <c r="X249" s="237"/>
      <c r="Y249" s="237"/>
      <c r="Z249" s="237"/>
    </row>
    <row r="250" ht="14.25" customHeight="1" spans="1:26">
      <c r="A250" s="237"/>
      <c r="B250" s="237"/>
      <c r="C250" s="237"/>
      <c r="D250" s="237"/>
      <c r="E250" s="237"/>
      <c r="F250" s="237"/>
      <c r="G250" s="237"/>
      <c r="H250" s="237"/>
      <c r="I250" s="237"/>
      <c r="J250" s="237"/>
      <c r="K250" s="237"/>
      <c r="L250" s="237"/>
      <c r="M250" s="237"/>
      <c r="N250" s="237"/>
      <c r="O250" s="237"/>
      <c r="P250" s="237"/>
      <c r="Q250" s="237"/>
      <c r="R250" s="237"/>
      <c r="S250" s="237"/>
      <c r="T250" s="237"/>
      <c r="U250" s="237"/>
      <c r="V250" s="237"/>
      <c r="W250" s="237"/>
      <c r="X250" s="237"/>
      <c r="Y250" s="237"/>
      <c r="Z250" s="237"/>
    </row>
    <row r="251" ht="14.25" customHeight="1" spans="1:26">
      <c r="A251" s="237"/>
      <c r="B251" s="237"/>
      <c r="C251" s="237"/>
      <c r="D251" s="237"/>
      <c r="E251" s="237"/>
      <c r="F251" s="237"/>
      <c r="G251" s="237"/>
      <c r="H251" s="237"/>
      <c r="I251" s="237"/>
      <c r="J251" s="237"/>
      <c r="K251" s="237"/>
      <c r="L251" s="237"/>
      <c r="M251" s="237"/>
      <c r="N251" s="237"/>
      <c r="O251" s="237"/>
      <c r="P251" s="237"/>
      <c r="Q251" s="237"/>
      <c r="R251" s="237"/>
      <c r="S251" s="237"/>
      <c r="T251" s="237"/>
      <c r="U251" s="237"/>
      <c r="V251" s="237"/>
      <c r="W251" s="237"/>
      <c r="X251" s="237"/>
      <c r="Y251" s="237"/>
      <c r="Z251" s="237"/>
    </row>
    <row r="252" ht="14.25" customHeight="1" spans="1:26">
      <c r="A252" s="237"/>
      <c r="B252" s="237"/>
      <c r="C252" s="237"/>
      <c r="D252" s="237"/>
      <c r="E252" s="237"/>
      <c r="F252" s="237"/>
      <c r="G252" s="237"/>
      <c r="H252" s="237"/>
      <c r="I252" s="237"/>
      <c r="J252" s="237"/>
      <c r="K252" s="237"/>
      <c r="L252" s="237"/>
      <c r="M252" s="237"/>
      <c r="N252" s="237"/>
      <c r="O252" s="237"/>
      <c r="P252" s="237"/>
      <c r="Q252" s="237"/>
      <c r="R252" s="237"/>
      <c r="S252" s="237"/>
      <c r="T252" s="237"/>
      <c r="U252" s="237"/>
      <c r="V252" s="237"/>
      <c r="W252" s="237"/>
      <c r="X252" s="237"/>
      <c r="Y252" s="237"/>
      <c r="Z252" s="237"/>
    </row>
    <row r="253" ht="14.25" customHeight="1" spans="1:26">
      <c r="A253" s="237"/>
      <c r="B253" s="237"/>
      <c r="C253" s="237"/>
      <c r="D253" s="237"/>
      <c r="E253" s="237"/>
      <c r="F253" s="237"/>
      <c r="G253" s="237"/>
      <c r="H253" s="237"/>
      <c r="I253" s="237"/>
      <c r="J253" s="237"/>
      <c r="K253" s="237"/>
      <c r="L253" s="237"/>
      <c r="M253" s="237"/>
      <c r="N253" s="237"/>
      <c r="O253" s="237"/>
      <c r="P253" s="237"/>
      <c r="Q253" s="237"/>
      <c r="R253" s="237"/>
      <c r="S253" s="237"/>
      <c r="T253" s="237"/>
      <c r="U253" s="237"/>
      <c r="V253" s="237"/>
      <c r="W253" s="237"/>
      <c r="X253" s="237"/>
      <c r="Y253" s="237"/>
      <c r="Z253" s="237"/>
    </row>
    <row r="254" ht="14.25" customHeight="1" spans="1:26">
      <c r="A254" s="237"/>
      <c r="B254" s="237"/>
      <c r="C254" s="237"/>
      <c r="D254" s="237"/>
      <c r="E254" s="237"/>
      <c r="F254" s="237"/>
      <c r="G254" s="237"/>
      <c r="H254" s="237"/>
      <c r="I254" s="237"/>
      <c r="J254" s="237"/>
      <c r="K254" s="237"/>
      <c r="L254" s="237"/>
      <c r="M254" s="237"/>
      <c r="N254" s="237"/>
      <c r="O254" s="237"/>
      <c r="P254" s="237"/>
      <c r="Q254" s="237"/>
      <c r="R254" s="237"/>
      <c r="S254" s="237"/>
      <c r="T254" s="237"/>
      <c r="U254" s="237"/>
      <c r="V254" s="237"/>
      <c r="W254" s="237"/>
      <c r="X254" s="237"/>
      <c r="Y254" s="237"/>
      <c r="Z254" s="237"/>
    </row>
    <row r="255" ht="14.25" customHeight="1" spans="1:26">
      <c r="A255" s="237"/>
      <c r="B255" s="237"/>
      <c r="C255" s="237"/>
      <c r="D255" s="237"/>
      <c r="E255" s="237"/>
      <c r="F255" s="237"/>
      <c r="G255" s="237"/>
      <c r="H255" s="237"/>
      <c r="I255" s="237"/>
      <c r="J255" s="237"/>
      <c r="K255" s="237"/>
      <c r="L255" s="237"/>
      <c r="M255" s="237"/>
      <c r="N255" s="237"/>
      <c r="O255" s="237"/>
      <c r="P255" s="237"/>
      <c r="Q255" s="237"/>
      <c r="R255" s="237"/>
      <c r="S255" s="237"/>
      <c r="T255" s="237"/>
      <c r="U255" s="237"/>
      <c r="V255" s="237"/>
      <c r="W255" s="237"/>
      <c r="X255" s="237"/>
      <c r="Y255" s="237"/>
      <c r="Z255" s="237"/>
    </row>
    <row r="256" ht="14.25" customHeight="1" spans="1:26">
      <c r="A256" s="237"/>
      <c r="B256" s="237"/>
      <c r="C256" s="237"/>
      <c r="D256" s="237"/>
      <c r="E256" s="237"/>
      <c r="F256" s="237"/>
      <c r="G256" s="237"/>
      <c r="H256" s="237"/>
      <c r="I256" s="237"/>
      <c r="J256" s="237"/>
      <c r="K256" s="237"/>
      <c r="L256" s="237"/>
      <c r="M256" s="237"/>
      <c r="N256" s="237"/>
      <c r="O256" s="237"/>
      <c r="P256" s="237"/>
      <c r="Q256" s="237"/>
      <c r="R256" s="237"/>
      <c r="S256" s="237"/>
      <c r="T256" s="237"/>
      <c r="U256" s="237"/>
      <c r="V256" s="237"/>
      <c r="W256" s="237"/>
      <c r="X256" s="237"/>
      <c r="Y256" s="237"/>
      <c r="Z256" s="237"/>
    </row>
    <row r="257" ht="14.25" customHeight="1" spans="1:26">
      <c r="A257" s="237"/>
      <c r="B257" s="237"/>
      <c r="C257" s="237"/>
      <c r="D257" s="237"/>
      <c r="E257" s="237"/>
      <c r="F257" s="237"/>
      <c r="G257" s="237"/>
      <c r="H257" s="237"/>
      <c r="I257" s="237"/>
      <c r="J257" s="237"/>
      <c r="K257" s="237"/>
      <c r="L257" s="237"/>
      <c r="M257" s="237"/>
      <c r="N257" s="237"/>
      <c r="O257" s="237"/>
      <c r="P257" s="237"/>
      <c r="Q257" s="237"/>
      <c r="R257" s="237"/>
      <c r="S257" s="237"/>
      <c r="T257" s="237"/>
      <c r="U257" s="237"/>
      <c r="V257" s="237"/>
      <c r="W257" s="237"/>
      <c r="X257" s="237"/>
      <c r="Y257" s="237"/>
      <c r="Z257" s="237"/>
    </row>
    <row r="258" ht="14.25" customHeight="1" spans="1:26">
      <c r="A258" s="237"/>
      <c r="B258" s="237"/>
      <c r="C258" s="237"/>
      <c r="D258" s="237"/>
      <c r="E258" s="237"/>
      <c r="F258" s="237"/>
      <c r="G258" s="237"/>
      <c r="H258" s="237"/>
      <c r="I258" s="237"/>
      <c r="J258" s="237"/>
      <c r="K258" s="237"/>
      <c r="L258" s="237"/>
      <c r="M258" s="237"/>
      <c r="N258" s="237"/>
      <c r="O258" s="237"/>
      <c r="P258" s="237"/>
      <c r="Q258" s="237"/>
      <c r="R258" s="237"/>
      <c r="S258" s="237"/>
      <c r="T258" s="237"/>
      <c r="U258" s="237"/>
      <c r="V258" s="237"/>
      <c r="W258" s="237"/>
      <c r="X258" s="237"/>
      <c r="Y258" s="237"/>
      <c r="Z258" s="237"/>
    </row>
    <row r="259" ht="14.25" customHeight="1" spans="1:26">
      <c r="A259" s="237"/>
      <c r="B259" s="237"/>
      <c r="C259" s="237"/>
      <c r="D259" s="237"/>
      <c r="E259" s="237"/>
      <c r="F259" s="237"/>
      <c r="G259" s="237"/>
      <c r="H259" s="237"/>
      <c r="I259" s="237"/>
      <c r="J259" s="237"/>
      <c r="K259" s="237"/>
      <c r="L259" s="237"/>
      <c r="M259" s="237"/>
      <c r="N259" s="237"/>
      <c r="O259" s="237"/>
      <c r="P259" s="237"/>
      <c r="Q259" s="237"/>
      <c r="R259" s="237"/>
      <c r="S259" s="237"/>
      <c r="T259" s="237"/>
      <c r="U259" s="237"/>
      <c r="V259" s="237"/>
      <c r="W259" s="237"/>
      <c r="X259" s="237"/>
      <c r="Y259" s="237"/>
      <c r="Z259" s="237"/>
    </row>
    <row r="260" ht="14.25" customHeight="1" spans="1:26">
      <c r="A260" s="237"/>
      <c r="B260" s="237"/>
      <c r="C260" s="237"/>
      <c r="D260" s="237"/>
      <c r="E260" s="237"/>
      <c r="F260" s="237"/>
      <c r="G260" s="237"/>
      <c r="H260" s="237"/>
      <c r="I260" s="237"/>
      <c r="J260" s="237"/>
      <c r="K260" s="237"/>
      <c r="L260" s="237"/>
      <c r="M260" s="237"/>
      <c r="N260" s="237"/>
      <c r="O260" s="237"/>
      <c r="P260" s="237"/>
      <c r="Q260" s="237"/>
      <c r="R260" s="237"/>
      <c r="S260" s="237"/>
      <c r="T260" s="237"/>
      <c r="U260" s="237"/>
      <c r="V260" s="237"/>
      <c r="W260" s="237"/>
      <c r="X260" s="237"/>
      <c r="Y260" s="237"/>
      <c r="Z260" s="237"/>
    </row>
    <row r="261" ht="14.25" customHeight="1" spans="1:26">
      <c r="A261" s="237"/>
      <c r="B261" s="237"/>
      <c r="C261" s="237"/>
      <c r="D261" s="237"/>
      <c r="E261" s="237"/>
      <c r="F261" s="237"/>
      <c r="G261" s="237"/>
      <c r="H261" s="237"/>
      <c r="I261" s="237"/>
      <c r="J261" s="237"/>
      <c r="K261" s="237"/>
      <c r="L261" s="237"/>
      <c r="M261" s="237"/>
      <c r="N261" s="237"/>
      <c r="O261" s="237"/>
      <c r="P261" s="237"/>
      <c r="Q261" s="237"/>
      <c r="R261" s="237"/>
      <c r="S261" s="237"/>
      <c r="T261" s="237"/>
      <c r="U261" s="237"/>
      <c r="V261" s="237"/>
      <c r="W261" s="237"/>
      <c r="X261" s="237"/>
      <c r="Y261" s="237"/>
      <c r="Z261" s="237"/>
    </row>
    <row r="262" ht="14.25" customHeight="1" spans="1:26">
      <c r="A262" s="237"/>
      <c r="B262" s="237"/>
      <c r="C262" s="237"/>
      <c r="D262" s="237"/>
      <c r="E262" s="237"/>
      <c r="F262" s="237"/>
      <c r="G262" s="237"/>
      <c r="H262" s="237"/>
      <c r="I262" s="237"/>
      <c r="J262" s="237"/>
      <c r="K262" s="237"/>
      <c r="L262" s="237"/>
      <c r="M262" s="237"/>
      <c r="N262" s="237"/>
      <c r="O262" s="237"/>
      <c r="P262" s="237"/>
      <c r="Q262" s="237"/>
      <c r="R262" s="237"/>
      <c r="S262" s="237"/>
      <c r="T262" s="237"/>
      <c r="U262" s="237"/>
      <c r="V262" s="237"/>
      <c r="W262" s="237"/>
      <c r="X262" s="237"/>
      <c r="Y262" s="237"/>
      <c r="Z262" s="237"/>
    </row>
    <row r="263" ht="14.25" customHeight="1" spans="1:26">
      <c r="A263" s="237"/>
      <c r="B263" s="237"/>
      <c r="C263" s="237"/>
      <c r="D263" s="237"/>
      <c r="E263" s="237"/>
      <c r="F263" s="237"/>
      <c r="G263" s="237"/>
      <c r="H263" s="237"/>
      <c r="I263" s="237"/>
      <c r="J263" s="237"/>
      <c r="K263" s="237"/>
      <c r="L263" s="237"/>
      <c r="M263" s="237"/>
      <c r="N263" s="237"/>
      <c r="O263" s="237"/>
      <c r="P263" s="237"/>
      <c r="Q263" s="237"/>
      <c r="R263" s="237"/>
      <c r="S263" s="237"/>
      <c r="T263" s="237"/>
      <c r="U263" s="237"/>
      <c r="V263" s="237"/>
      <c r="W263" s="237"/>
      <c r="X263" s="237"/>
      <c r="Y263" s="237"/>
      <c r="Z263" s="237"/>
    </row>
    <row r="264" ht="14.25" customHeight="1" spans="1:26">
      <c r="A264" s="237"/>
      <c r="B264" s="237"/>
      <c r="C264" s="237"/>
      <c r="D264" s="237"/>
      <c r="E264" s="237"/>
      <c r="F264" s="237"/>
      <c r="G264" s="237"/>
      <c r="H264" s="237"/>
      <c r="I264" s="237"/>
      <c r="J264" s="237"/>
      <c r="K264" s="237"/>
      <c r="L264" s="237"/>
      <c r="M264" s="237"/>
      <c r="N264" s="237"/>
      <c r="O264" s="237"/>
      <c r="P264" s="237"/>
      <c r="Q264" s="237"/>
      <c r="R264" s="237"/>
      <c r="S264" s="237"/>
      <c r="T264" s="237"/>
      <c r="U264" s="237"/>
      <c r="V264" s="237"/>
      <c r="W264" s="237"/>
      <c r="X264" s="237"/>
      <c r="Y264" s="237"/>
      <c r="Z264" s="237"/>
    </row>
    <row r="265" ht="14.25" customHeight="1" spans="1:26">
      <c r="A265" s="237"/>
      <c r="B265" s="237"/>
      <c r="C265" s="237"/>
      <c r="D265" s="237"/>
      <c r="E265" s="237"/>
      <c r="F265" s="237"/>
      <c r="G265" s="237"/>
      <c r="H265" s="237"/>
      <c r="I265" s="237"/>
      <c r="J265" s="237"/>
      <c r="K265" s="237"/>
      <c r="L265" s="237"/>
      <c r="M265" s="237"/>
      <c r="N265" s="237"/>
      <c r="O265" s="237"/>
      <c r="P265" s="237"/>
      <c r="Q265" s="237"/>
      <c r="R265" s="237"/>
      <c r="S265" s="237"/>
      <c r="T265" s="237"/>
      <c r="U265" s="237"/>
      <c r="V265" s="237"/>
      <c r="W265" s="237"/>
      <c r="X265" s="237"/>
      <c r="Y265" s="237"/>
      <c r="Z265" s="237"/>
    </row>
    <row r="266" ht="14.25" customHeight="1" spans="1:26">
      <c r="A266" s="237"/>
      <c r="B266" s="237"/>
      <c r="C266" s="237"/>
      <c r="D266" s="237"/>
      <c r="E266" s="237"/>
      <c r="F266" s="237"/>
      <c r="G266" s="237"/>
      <c r="H266" s="237"/>
      <c r="I266" s="237"/>
      <c r="J266" s="237"/>
      <c r="K266" s="237"/>
      <c r="L266" s="237"/>
      <c r="M266" s="237"/>
      <c r="N266" s="237"/>
      <c r="O266" s="237"/>
      <c r="P266" s="237"/>
      <c r="Q266" s="237"/>
      <c r="R266" s="237"/>
      <c r="S266" s="237"/>
      <c r="T266" s="237"/>
      <c r="U266" s="237"/>
      <c r="V266" s="237"/>
      <c r="W266" s="237"/>
      <c r="X266" s="237"/>
      <c r="Y266" s="237"/>
      <c r="Z266" s="237"/>
    </row>
    <row r="267" ht="14.25" customHeight="1" spans="1:26">
      <c r="A267" s="237"/>
      <c r="B267" s="237"/>
      <c r="C267" s="237"/>
      <c r="D267" s="237"/>
      <c r="E267" s="237"/>
      <c r="F267" s="237"/>
      <c r="G267" s="237"/>
      <c r="H267" s="237"/>
      <c r="I267" s="237"/>
      <c r="J267" s="237"/>
      <c r="K267" s="237"/>
      <c r="L267" s="237"/>
      <c r="M267" s="237"/>
      <c r="N267" s="237"/>
      <c r="O267" s="237"/>
      <c r="P267" s="237"/>
      <c r="Q267" s="237"/>
      <c r="R267" s="237"/>
      <c r="S267" s="237"/>
      <c r="T267" s="237"/>
      <c r="U267" s="237"/>
      <c r="V267" s="237"/>
      <c r="W267" s="237"/>
      <c r="X267" s="237"/>
      <c r="Y267" s="237"/>
      <c r="Z267" s="237"/>
    </row>
    <row r="268" ht="14.25" customHeight="1" spans="1:26">
      <c r="A268" s="237"/>
      <c r="B268" s="237"/>
      <c r="C268" s="237"/>
      <c r="D268" s="237"/>
      <c r="E268" s="237"/>
      <c r="F268" s="237"/>
      <c r="G268" s="237"/>
      <c r="H268" s="237"/>
      <c r="I268" s="237"/>
      <c r="J268" s="237"/>
      <c r="K268" s="237"/>
      <c r="L268" s="237"/>
      <c r="M268" s="237"/>
      <c r="N268" s="237"/>
      <c r="O268" s="237"/>
      <c r="P268" s="237"/>
      <c r="Q268" s="237"/>
      <c r="R268" s="237"/>
      <c r="S268" s="237"/>
      <c r="T268" s="237"/>
      <c r="U268" s="237"/>
      <c r="V268" s="237"/>
      <c r="W268" s="237"/>
      <c r="X268" s="237"/>
      <c r="Y268" s="237"/>
      <c r="Z268" s="237"/>
    </row>
    <row r="269" ht="14.25" customHeight="1" spans="1:26">
      <c r="A269" s="237"/>
      <c r="B269" s="237"/>
      <c r="C269" s="237"/>
      <c r="D269" s="237"/>
      <c r="E269" s="237"/>
      <c r="F269" s="237"/>
      <c r="G269" s="237"/>
      <c r="H269" s="237"/>
      <c r="I269" s="237"/>
      <c r="J269" s="237"/>
      <c r="K269" s="237"/>
      <c r="L269" s="237"/>
      <c r="M269" s="237"/>
      <c r="N269" s="237"/>
      <c r="O269" s="237"/>
      <c r="P269" s="237"/>
      <c r="Q269" s="237"/>
      <c r="R269" s="237"/>
      <c r="S269" s="237"/>
      <c r="T269" s="237"/>
      <c r="U269" s="237"/>
      <c r="V269" s="237"/>
      <c r="W269" s="237"/>
      <c r="X269" s="237"/>
      <c r="Y269" s="237"/>
      <c r="Z269" s="237"/>
    </row>
    <row r="270" ht="14.25" customHeight="1" spans="1:26">
      <c r="A270" s="237"/>
      <c r="B270" s="237"/>
      <c r="C270" s="237"/>
      <c r="D270" s="237"/>
      <c r="E270" s="237"/>
      <c r="F270" s="237"/>
      <c r="G270" s="237"/>
      <c r="H270" s="237"/>
      <c r="I270" s="237"/>
      <c r="J270" s="237"/>
      <c r="K270" s="237"/>
      <c r="L270" s="237"/>
      <c r="M270" s="237"/>
      <c r="N270" s="237"/>
      <c r="O270" s="237"/>
      <c r="P270" s="237"/>
      <c r="Q270" s="237"/>
      <c r="R270" s="237"/>
      <c r="S270" s="237"/>
      <c r="T270" s="237"/>
      <c r="U270" s="237"/>
      <c r="V270" s="237"/>
      <c r="W270" s="237"/>
      <c r="X270" s="237"/>
      <c r="Y270" s="237"/>
      <c r="Z270" s="237"/>
    </row>
    <row r="271" ht="14.25" customHeight="1" spans="1:26">
      <c r="A271" s="237"/>
      <c r="B271" s="237"/>
      <c r="C271" s="237"/>
      <c r="D271" s="237"/>
      <c r="E271" s="237"/>
      <c r="F271" s="237"/>
      <c r="G271" s="237"/>
      <c r="H271" s="237"/>
      <c r="I271" s="237"/>
      <c r="J271" s="237"/>
      <c r="K271" s="237"/>
      <c r="L271" s="237"/>
      <c r="M271" s="237"/>
      <c r="N271" s="237"/>
      <c r="O271" s="237"/>
      <c r="P271" s="237"/>
      <c r="Q271" s="237"/>
      <c r="R271" s="237"/>
      <c r="S271" s="237"/>
      <c r="T271" s="237"/>
      <c r="U271" s="237"/>
      <c r="V271" s="237"/>
      <c r="W271" s="237"/>
      <c r="X271" s="237"/>
      <c r="Y271" s="237"/>
      <c r="Z271" s="237"/>
    </row>
    <row r="272" ht="14.25" customHeight="1" spans="1:26">
      <c r="A272" s="237"/>
      <c r="B272" s="237"/>
      <c r="C272" s="237"/>
      <c r="D272" s="237"/>
      <c r="E272" s="237"/>
      <c r="F272" s="237"/>
      <c r="G272" s="237"/>
      <c r="H272" s="237"/>
      <c r="I272" s="237"/>
      <c r="J272" s="237"/>
      <c r="K272" s="237"/>
      <c r="L272" s="237"/>
      <c r="M272" s="237"/>
      <c r="N272" s="237"/>
      <c r="O272" s="237"/>
      <c r="P272" s="237"/>
      <c r="Q272" s="237"/>
      <c r="R272" s="237"/>
      <c r="S272" s="237"/>
      <c r="T272" s="237"/>
      <c r="U272" s="237"/>
      <c r="V272" s="237"/>
      <c r="W272" s="237"/>
      <c r="X272" s="237"/>
      <c r="Y272" s="237"/>
      <c r="Z272" s="237"/>
    </row>
    <row r="273" ht="14.25" customHeight="1" spans="1:26">
      <c r="A273" s="237"/>
      <c r="B273" s="237"/>
      <c r="C273" s="237"/>
      <c r="D273" s="237"/>
      <c r="E273" s="237"/>
      <c r="F273" s="237"/>
      <c r="G273" s="237"/>
      <c r="H273" s="237"/>
      <c r="I273" s="237"/>
      <c r="J273" s="237"/>
      <c r="K273" s="237"/>
      <c r="L273" s="237"/>
      <c r="M273" s="237"/>
      <c r="N273" s="237"/>
      <c r="O273" s="237"/>
      <c r="P273" s="237"/>
      <c r="Q273" s="237"/>
      <c r="R273" s="237"/>
      <c r="S273" s="237"/>
      <c r="T273" s="237"/>
      <c r="U273" s="237"/>
      <c r="V273" s="237"/>
      <c r="W273" s="237"/>
      <c r="X273" s="237"/>
      <c r="Y273" s="237"/>
      <c r="Z273" s="237"/>
    </row>
    <row r="274" ht="14.25" customHeight="1" spans="1:26">
      <c r="A274" s="237"/>
      <c r="B274" s="237"/>
      <c r="C274" s="237"/>
      <c r="D274" s="237"/>
      <c r="E274" s="237"/>
      <c r="F274" s="237"/>
      <c r="G274" s="237"/>
      <c r="H274" s="237"/>
      <c r="I274" s="237"/>
      <c r="J274" s="237"/>
      <c r="K274" s="237"/>
      <c r="L274" s="237"/>
      <c r="M274" s="237"/>
      <c r="N274" s="237"/>
      <c r="O274" s="237"/>
      <c r="P274" s="237"/>
      <c r="Q274" s="237"/>
      <c r="R274" s="237"/>
      <c r="S274" s="237"/>
      <c r="T274" s="237"/>
      <c r="U274" s="237"/>
      <c r="V274" s="237"/>
      <c r="W274" s="237"/>
      <c r="X274" s="237"/>
      <c r="Y274" s="237"/>
      <c r="Z274" s="237"/>
    </row>
    <row r="275" ht="14.25" customHeight="1" spans="1:26">
      <c r="A275" s="237"/>
      <c r="B275" s="237"/>
      <c r="C275" s="237"/>
      <c r="D275" s="237"/>
      <c r="E275" s="237"/>
      <c r="F275" s="237"/>
      <c r="G275" s="237"/>
      <c r="H275" s="237"/>
      <c r="I275" s="237"/>
      <c r="J275" s="237"/>
      <c r="K275" s="237"/>
      <c r="L275" s="237"/>
      <c r="M275" s="237"/>
      <c r="N275" s="237"/>
      <c r="O275" s="237"/>
      <c r="P275" s="237"/>
      <c r="Q275" s="237"/>
      <c r="R275" s="237"/>
      <c r="S275" s="237"/>
      <c r="T275" s="237"/>
      <c r="U275" s="237"/>
      <c r="V275" s="237"/>
      <c r="W275" s="237"/>
      <c r="X275" s="237"/>
      <c r="Y275" s="237"/>
      <c r="Z275" s="237"/>
    </row>
    <row r="276" ht="14.25" customHeight="1" spans="1:26">
      <c r="A276" s="237"/>
      <c r="B276" s="237"/>
      <c r="C276" s="237"/>
      <c r="D276" s="237"/>
      <c r="E276" s="237"/>
      <c r="F276" s="237"/>
      <c r="G276" s="237"/>
      <c r="H276" s="237"/>
      <c r="I276" s="237"/>
      <c r="J276" s="237"/>
      <c r="K276" s="237"/>
      <c r="L276" s="237"/>
      <c r="M276" s="237"/>
      <c r="N276" s="237"/>
      <c r="O276" s="237"/>
      <c r="P276" s="237"/>
      <c r="Q276" s="237"/>
      <c r="R276" s="237"/>
      <c r="S276" s="237"/>
      <c r="T276" s="237"/>
      <c r="U276" s="237"/>
      <c r="V276" s="237"/>
      <c r="W276" s="237"/>
      <c r="X276" s="237"/>
      <c r="Y276" s="237"/>
      <c r="Z276" s="237"/>
    </row>
    <row r="277" ht="14.25" customHeight="1" spans="1:26">
      <c r="A277" s="237"/>
      <c r="B277" s="237"/>
      <c r="C277" s="237"/>
      <c r="D277" s="237"/>
      <c r="E277" s="237"/>
      <c r="F277" s="237"/>
      <c r="G277" s="237"/>
      <c r="H277" s="237"/>
      <c r="I277" s="237"/>
      <c r="J277" s="237"/>
      <c r="K277" s="237"/>
      <c r="L277" s="237"/>
      <c r="M277" s="237"/>
      <c r="N277" s="237"/>
      <c r="O277" s="237"/>
      <c r="P277" s="237"/>
      <c r="Q277" s="237"/>
      <c r="R277" s="237"/>
      <c r="S277" s="237"/>
      <c r="T277" s="237"/>
      <c r="U277" s="237"/>
      <c r="V277" s="237"/>
      <c r="W277" s="237"/>
      <c r="X277" s="237"/>
      <c r="Y277" s="237"/>
      <c r="Z277" s="237"/>
    </row>
    <row r="278" ht="14.25" customHeight="1" spans="1:26">
      <c r="A278" s="237"/>
      <c r="B278" s="237"/>
      <c r="C278" s="237"/>
      <c r="D278" s="237"/>
      <c r="E278" s="237"/>
      <c r="F278" s="237"/>
      <c r="G278" s="237"/>
      <c r="H278" s="237"/>
      <c r="I278" s="237"/>
      <c r="J278" s="237"/>
      <c r="K278" s="237"/>
      <c r="L278" s="237"/>
      <c r="M278" s="237"/>
      <c r="N278" s="237"/>
      <c r="O278" s="237"/>
      <c r="P278" s="237"/>
      <c r="Q278" s="237"/>
      <c r="R278" s="237"/>
      <c r="S278" s="237"/>
      <c r="T278" s="237"/>
      <c r="U278" s="237"/>
      <c r="V278" s="237"/>
      <c r="W278" s="237"/>
      <c r="X278" s="237"/>
      <c r="Y278" s="237"/>
      <c r="Z278" s="237"/>
    </row>
    <row r="279" ht="14.25" customHeight="1" spans="1:26">
      <c r="A279" s="237"/>
      <c r="B279" s="237"/>
      <c r="C279" s="237"/>
      <c r="D279" s="237"/>
      <c r="E279" s="237"/>
      <c r="F279" s="237"/>
      <c r="G279" s="237"/>
      <c r="H279" s="237"/>
      <c r="I279" s="237"/>
      <c r="J279" s="237"/>
      <c r="K279" s="237"/>
      <c r="L279" s="237"/>
      <c r="M279" s="237"/>
      <c r="N279" s="237"/>
      <c r="O279" s="237"/>
      <c r="P279" s="237"/>
      <c r="Q279" s="237"/>
      <c r="R279" s="237"/>
      <c r="S279" s="237"/>
      <c r="T279" s="237"/>
      <c r="U279" s="237"/>
      <c r="V279" s="237"/>
      <c r="W279" s="237"/>
      <c r="X279" s="237"/>
      <c r="Y279" s="237"/>
      <c r="Z279" s="237"/>
    </row>
    <row r="280" ht="14.25" customHeight="1" spans="1:26">
      <c r="A280" s="237"/>
      <c r="B280" s="237"/>
      <c r="C280" s="237"/>
      <c r="D280" s="237"/>
      <c r="E280" s="237"/>
      <c r="F280" s="237"/>
      <c r="G280" s="237"/>
      <c r="H280" s="237"/>
      <c r="I280" s="237"/>
      <c r="J280" s="237"/>
      <c r="K280" s="237"/>
      <c r="L280" s="237"/>
      <c r="M280" s="237"/>
      <c r="N280" s="237"/>
      <c r="O280" s="237"/>
      <c r="P280" s="237"/>
      <c r="Q280" s="237"/>
      <c r="R280" s="237"/>
      <c r="S280" s="237"/>
      <c r="T280" s="237"/>
      <c r="U280" s="237"/>
      <c r="V280" s="237"/>
      <c r="W280" s="237"/>
      <c r="X280" s="237"/>
      <c r="Y280" s="237"/>
      <c r="Z280" s="237"/>
    </row>
    <row r="281" ht="14.25" customHeight="1" spans="1:26">
      <c r="A281" s="237"/>
      <c r="B281" s="237"/>
      <c r="C281" s="237"/>
      <c r="D281" s="237"/>
      <c r="E281" s="237"/>
      <c r="F281" s="237"/>
      <c r="G281" s="237"/>
      <c r="H281" s="237"/>
      <c r="I281" s="237"/>
      <c r="J281" s="237"/>
      <c r="K281" s="237"/>
      <c r="L281" s="237"/>
      <c r="M281" s="237"/>
      <c r="N281" s="237"/>
      <c r="O281" s="237"/>
      <c r="P281" s="237"/>
      <c r="Q281" s="237"/>
      <c r="R281" s="237"/>
      <c r="S281" s="237"/>
      <c r="T281" s="237"/>
      <c r="U281" s="237"/>
      <c r="V281" s="237"/>
      <c r="W281" s="237"/>
      <c r="X281" s="237"/>
      <c r="Y281" s="237"/>
      <c r="Z281" s="237"/>
    </row>
    <row r="282" ht="14.25" customHeight="1" spans="1:26">
      <c r="A282" s="237"/>
      <c r="B282" s="237"/>
      <c r="C282" s="237"/>
      <c r="D282" s="237"/>
      <c r="E282" s="237"/>
      <c r="F282" s="237"/>
      <c r="G282" s="237"/>
      <c r="H282" s="237"/>
      <c r="I282" s="237"/>
      <c r="J282" s="237"/>
      <c r="K282" s="237"/>
      <c r="L282" s="237"/>
      <c r="M282" s="237"/>
      <c r="N282" s="237"/>
      <c r="O282" s="237"/>
      <c r="P282" s="237"/>
      <c r="Q282" s="237"/>
      <c r="R282" s="237"/>
      <c r="S282" s="237"/>
      <c r="T282" s="237"/>
      <c r="U282" s="237"/>
      <c r="V282" s="237"/>
      <c r="W282" s="237"/>
      <c r="X282" s="237"/>
      <c r="Y282" s="237"/>
      <c r="Z282" s="237"/>
    </row>
    <row r="283" ht="14.25" customHeight="1" spans="1:26">
      <c r="A283" s="237"/>
      <c r="B283" s="237"/>
      <c r="C283" s="237"/>
      <c r="D283" s="237"/>
      <c r="E283" s="237"/>
      <c r="F283" s="237"/>
      <c r="G283" s="237"/>
      <c r="H283" s="237"/>
      <c r="I283" s="237"/>
      <c r="J283" s="237"/>
      <c r="K283" s="237"/>
      <c r="L283" s="237"/>
      <c r="M283" s="237"/>
      <c r="N283" s="237"/>
      <c r="O283" s="237"/>
      <c r="P283" s="237"/>
      <c r="Q283" s="237"/>
      <c r="R283" s="237"/>
      <c r="S283" s="237"/>
      <c r="T283" s="237"/>
      <c r="U283" s="237"/>
      <c r="V283" s="237"/>
      <c r="W283" s="237"/>
      <c r="X283" s="237"/>
      <c r="Y283" s="237"/>
      <c r="Z283" s="237"/>
    </row>
    <row r="284" ht="14.25" customHeight="1" spans="1:26">
      <c r="A284" s="237"/>
      <c r="B284" s="237"/>
      <c r="C284" s="237"/>
      <c r="D284" s="237"/>
      <c r="E284" s="237"/>
      <c r="F284" s="237"/>
      <c r="G284" s="237"/>
      <c r="H284" s="237"/>
      <c r="I284" s="237"/>
      <c r="J284" s="237"/>
      <c r="K284" s="237"/>
      <c r="L284" s="237"/>
      <c r="M284" s="237"/>
      <c r="N284" s="237"/>
      <c r="O284" s="237"/>
      <c r="P284" s="237"/>
      <c r="Q284" s="237"/>
      <c r="R284" s="237"/>
      <c r="S284" s="237"/>
      <c r="T284" s="237"/>
      <c r="U284" s="237"/>
      <c r="V284" s="237"/>
      <c r="W284" s="237"/>
      <c r="X284" s="237"/>
      <c r="Y284" s="237"/>
      <c r="Z284" s="237"/>
    </row>
    <row r="285" ht="14.25" customHeight="1" spans="1:26">
      <c r="A285" s="237"/>
      <c r="B285" s="237"/>
      <c r="C285" s="237"/>
      <c r="D285" s="237"/>
      <c r="E285" s="237"/>
      <c r="F285" s="237"/>
      <c r="G285" s="237"/>
      <c r="H285" s="237"/>
      <c r="I285" s="237"/>
      <c r="J285" s="237"/>
      <c r="K285" s="237"/>
      <c r="L285" s="237"/>
      <c r="M285" s="237"/>
      <c r="N285" s="237"/>
      <c r="O285" s="237"/>
      <c r="P285" s="237"/>
      <c r="Q285" s="237"/>
      <c r="R285" s="237"/>
      <c r="S285" s="237"/>
      <c r="T285" s="237"/>
      <c r="U285" s="237"/>
      <c r="V285" s="237"/>
      <c r="W285" s="237"/>
      <c r="X285" s="237"/>
      <c r="Y285" s="237"/>
      <c r="Z285" s="237"/>
    </row>
    <row r="286" ht="14.25" customHeight="1" spans="1:26">
      <c r="A286" s="237"/>
      <c r="B286" s="237"/>
      <c r="C286" s="237"/>
      <c r="D286" s="237"/>
      <c r="E286" s="237"/>
      <c r="F286" s="237"/>
      <c r="G286" s="237"/>
      <c r="H286" s="237"/>
      <c r="I286" s="237"/>
      <c r="J286" s="237"/>
      <c r="K286" s="237"/>
      <c r="L286" s="237"/>
      <c r="M286" s="237"/>
      <c r="N286" s="237"/>
      <c r="O286" s="237"/>
      <c r="P286" s="237"/>
      <c r="Q286" s="237"/>
      <c r="R286" s="237"/>
      <c r="S286" s="237"/>
      <c r="T286" s="237"/>
      <c r="U286" s="237"/>
      <c r="V286" s="237"/>
      <c r="W286" s="237"/>
      <c r="X286" s="237"/>
      <c r="Y286" s="237"/>
      <c r="Z286" s="237"/>
    </row>
    <row r="287" ht="14.25" customHeight="1" spans="1:26">
      <c r="A287" s="237"/>
      <c r="B287" s="237"/>
      <c r="C287" s="237"/>
      <c r="D287" s="237"/>
      <c r="E287" s="237"/>
      <c r="F287" s="237"/>
      <c r="G287" s="237"/>
      <c r="H287" s="237"/>
      <c r="I287" s="237"/>
      <c r="J287" s="237"/>
      <c r="K287" s="237"/>
      <c r="L287" s="237"/>
      <c r="M287" s="237"/>
      <c r="N287" s="237"/>
      <c r="O287" s="237"/>
      <c r="P287" s="237"/>
      <c r="Q287" s="237"/>
      <c r="R287" s="237"/>
      <c r="S287" s="237"/>
      <c r="T287" s="237"/>
      <c r="U287" s="237"/>
      <c r="V287" s="237"/>
      <c r="W287" s="237"/>
      <c r="X287" s="237"/>
      <c r="Y287" s="237"/>
      <c r="Z287" s="237"/>
    </row>
    <row r="288" ht="14.25" customHeight="1" spans="1:26">
      <c r="A288" s="237"/>
      <c r="B288" s="237"/>
      <c r="C288" s="237"/>
      <c r="D288" s="237"/>
      <c r="E288" s="237"/>
      <c r="F288" s="237"/>
      <c r="G288" s="237"/>
      <c r="H288" s="237"/>
      <c r="I288" s="237"/>
      <c r="J288" s="237"/>
      <c r="K288" s="237"/>
      <c r="L288" s="237"/>
      <c r="M288" s="237"/>
      <c r="N288" s="237"/>
      <c r="O288" s="237"/>
      <c r="P288" s="237"/>
      <c r="Q288" s="237"/>
      <c r="R288" s="237"/>
      <c r="S288" s="237"/>
      <c r="T288" s="237"/>
      <c r="U288" s="237"/>
      <c r="V288" s="237"/>
      <c r="W288" s="237"/>
      <c r="X288" s="237"/>
      <c r="Y288" s="237"/>
      <c r="Z288" s="237"/>
    </row>
    <row r="289" ht="14.25" customHeight="1" spans="1:26">
      <c r="A289" s="237"/>
      <c r="B289" s="237"/>
      <c r="C289" s="237"/>
      <c r="D289" s="237"/>
      <c r="E289" s="237"/>
      <c r="F289" s="237"/>
      <c r="G289" s="237"/>
      <c r="H289" s="237"/>
      <c r="I289" s="237"/>
      <c r="J289" s="237"/>
      <c r="K289" s="237"/>
      <c r="L289" s="237"/>
      <c r="M289" s="237"/>
      <c r="N289" s="237"/>
      <c r="O289" s="237"/>
      <c r="P289" s="237"/>
      <c r="Q289" s="237"/>
      <c r="R289" s="237"/>
      <c r="S289" s="237"/>
      <c r="T289" s="237"/>
      <c r="U289" s="237"/>
      <c r="V289" s="237"/>
      <c r="W289" s="237"/>
      <c r="X289" s="237"/>
      <c r="Y289" s="237"/>
      <c r="Z289" s="237"/>
    </row>
    <row r="290" ht="14.25" customHeight="1" spans="1:26">
      <c r="A290" s="237"/>
      <c r="B290" s="237"/>
      <c r="C290" s="237"/>
      <c r="D290" s="237"/>
      <c r="E290" s="237"/>
      <c r="F290" s="237"/>
      <c r="G290" s="237"/>
      <c r="H290" s="237"/>
      <c r="I290" s="237"/>
      <c r="J290" s="237"/>
      <c r="K290" s="237"/>
      <c r="L290" s="237"/>
      <c r="M290" s="237"/>
      <c r="N290" s="237"/>
      <c r="O290" s="237"/>
      <c r="P290" s="237"/>
      <c r="Q290" s="237"/>
      <c r="R290" s="237"/>
      <c r="S290" s="237"/>
      <c r="T290" s="237"/>
      <c r="U290" s="237"/>
      <c r="V290" s="237"/>
      <c r="W290" s="237"/>
      <c r="X290" s="237"/>
      <c r="Y290" s="237"/>
      <c r="Z290" s="237"/>
    </row>
    <row r="291" ht="14.25" customHeight="1" spans="1:26">
      <c r="A291" s="237"/>
      <c r="B291" s="237"/>
      <c r="C291" s="237"/>
      <c r="D291" s="237"/>
      <c r="E291" s="237"/>
      <c r="F291" s="237"/>
      <c r="G291" s="237"/>
      <c r="H291" s="237"/>
      <c r="I291" s="237"/>
      <c r="J291" s="237"/>
      <c r="K291" s="237"/>
      <c r="L291" s="237"/>
      <c r="M291" s="237"/>
      <c r="N291" s="237"/>
      <c r="O291" s="237"/>
      <c r="P291" s="237"/>
      <c r="Q291" s="237"/>
      <c r="R291" s="237"/>
      <c r="S291" s="237"/>
      <c r="T291" s="237"/>
      <c r="U291" s="237"/>
      <c r="V291" s="237"/>
      <c r="W291" s="237"/>
      <c r="X291" s="237"/>
      <c r="Y291" s="237"/>
      <c r="Z291" s="237"/>
    </row>
    <row r="292" ht="14.25" customHeight="1" spans="1:26">
      <c r="A292" s="237"/>
      <c r="B292" s="237"/>
      <c r="C292" s="237"/>
      <c r="D292" s="237"/>
      <c r="E292" s="237"/>
      <c r="F292" s="237"/>
      <c r="G292" s="237"/>
      <c r="H292" s="237"/>
      <c r="I292" s="237"/>
      <c r="J292" s="237"/>
      <c r="K292" s="237"/>
      <c r="L292" s="237"/>
      <c r="M292" s="237"/>
      <c r="N292" s="237"/>
      <c r="O292" s="237"/>
      <c r="P292" s="237"/>
      <c r="Q292" s="237"/>
      <c r="R292" s="237"/>
      <c r="S292" s="237"/>
      <c r="T292" s="237"/>
      <c r="U292" s="237"/>
      <c r="V292" s="237"/>
      <c r="W292" s="237"/>
      <c r="X292" s="237"/>
      <c r="Y292" s="237"/>
      <c r="Z292" s="237"/>
    </row>
    <row r="293" ht="14.25" customHeight="1" spans="1:26">
      <c r="A293" s="237"/>
      <c r="B293" s="237"/>
      <c r="C293" s="237"/>
      <c r="D293" s="237"/>
      <c r="E293" s="237"/>
      <c r="F293" s="237"/>
      <c r="G293" s="237"/>
      <c r="H293" s="237"/>
      <c r="I293" s="237"/>
      <c r="J293" s="237"/>
      <c r="K293" s="237"/>
      <c r="L293" s="237"/>
      <c r="M293" s="237"/>
      <c r="N293" s="237"/>
      <c r="O293" s="237"/>
      <c r="P293" s="237"/>
      <c r="Q293" s="237"/>
      <c r="R293" s="237"/>
      <c r="S293" s="237"/>
      <c r="T293" s="237"/>
      <c r="U293" s="237"/>
      <c r="V293" s="237"/>
      <c r="W293" s="237"/>
      <c r="X293" s="237"/>
      <c r="Y293" s="237"/>
      <c r="Z293" s="237"/>
    </row>
    <row r="294" ht="14.25" customHeight="1" spans="1:26">
      <c r="A294" s="237"/>
      <c r="B294" s="237"/>
      <c r="C294" s="237"/>
      <c r="D294" s="237"/>
      <c r="E294" s="237"/>
      <c r="F294" s="237"/>
      <c r="G294" s="237"/>
      <c r="H294" s="237"/>
      <c r="I294" s="237"/>
      <c r="J294" s="237"/>
      <c r="K294" s="237"/>
      <c r="L294" s="237"/>
      <c r="M294" s="237"/>
      <c r="N294" s="237"/>
      <c r="O294" s="237"/>
      <c r="P294" s="237"/>
      <c r="Q294" s="237"/>
      <c r="R294" s="237"/>
      <c r="S294" s="237"/>
      <c r="T294" s="237"/>
      <c r="U294" s="237"/>
      <c r="V294" s="237"/>
      <c r="W294" s="237"/>
      <c r="X294" s="237"/>
      <c r="Y294" s="237"/>
      <c r="Z294" s="237"/>
    </row>
    <row r="295" ht="14.25" customHeight="1" spans="1:26">
      <c r="A295" s="237"/>
      <c r="B295" s="237"/>
      <c r="C295" s="237"/>
      <c r="D295" s="237"/>
      <c r="E295" s="237"/>
      <c r="F295" s="237"/>
      <c r="G295" s="237"/>
      <c r="H295" s="237"/>
      <c r="I295" s="237"/>
      <c r="J295" s="237"/>
      <c r="K295" s="237"/>
      <c r="L295" s="237"/>
      <c r="M295" s="237"/>
      <c r="N295" s="237"/>
      <c r="O295" s="237"/>
      <c r="P295" s="237"/>
      <c r="Q295" s="237"/>
      <c r="R295" s="237"/>
      <c r="S295" s="237"/>
      <c r="T295" s="237"/>
      <c r="U295" s="237"/>
      <c r="V295" s="237"/>
      <c r="W295" s="237"/>
      <c r="X295" s="237"/>
      <c r="Y295" s="237"/>
      <c r="Z295" s="237"/>
    </row>
    <row r="296" ht="14.25" customHeight="1" spans="1:26">
      <c r="A296" s="237"/>
      <c r="B296" s="237"/>
      <c r="C296" s="237"/>
      <c r="D296" s="237"/>
      <c r="E296" s="237"/>
      <c r="F296" s="237"/>
      <c r="G296" s="237"/>
      <c r="H296" s="237"/>
      <c r="I296" s="237"/>
      <c r="J296" s="237"/>
      <c r="K296" s="237"/>
      <c r="L296" s="237"/>
      <c r="M296" s="237"/>
      <c r="N296" s="237"/>
      <c r="O296" s="237"/>
      <c r="P296" s="237"/>
      <c r="Q296" s="237"/>
      <c r="R296" s="237"/>
      <c r="S296" s="237"/>
      <c r="T296" s="237"/>
      <c r="U296" s="237"/>
      <c r="V296" s="237"/>
      <c r="W296" s="237"/>
      <c r="X296" s="237"/>
      <c r="Y296" s="237"/>
      <c r="Z296" s="237"/>
    </row>
    <row r="297" ht="14.25" customHeight="1" spans="1:26">
      <c r="A297" s="237"/>
      <c r="B297" s="237"/>
      <c r="C297" s="237"/>
      <c r="D297" s="237"/>
      <c r="E297" s="237"/>
      <c r="F297" s="237"/>
      <c r="G297" s="237"/>
      <c r="H297" s="237"/>
      <c r="I297" s="237"/>
      <c r="J297" s="237"/>
      <c r="K297" s="237"/>
      <c r="L297" s="237"/>
      <c r="M297" s="237"/>
      <c r="N297" s="237"/>
      <c r="O297" s="237"/>
      <c r="P297" s="237"/>
      <c r="Q297" s="237"/>
      <c r="R297" s="237"/>
      <c r="S297" s="237"/>
      <c r="T297" s="237"/>
      <c r="U297" s="237"/>
      <c r="V297" s="237"/>
      <c r="W297" s="237"/>
      <c r="X297" s="237"/>
      <c r="Y297" s="237"/>
      <c r="Z297" s="237"/>
    </row>
    <row r="298" ht="14.25" customHeight="1" spans="1:26">
      <c r="A298" s="237"/>
      <c r="B298" s="237"/>
      <c r="C298" s="237"/>
      <c r="D298" s="237"/>
      <c r="E298" s="237"/>
      <c r="F298" s="237"/>
      <c r="G298" s="237"/>
      <c r="H298" s="237"/>
      <c r="I298" s="237"/>
      <c r="J298" s="237"/>
      <c r="K298" s="237"/>
      <c r="L298" s="237"/>
      <c r="M298" s="237"/>
      <c r="N298" s="237"/>
      <c r="O298" s="237"/>
      <c r="P298" s="237"/>
      <c r="Q298" s="237"/>
      <c r="R298" s="237"/>
      <c r="S298" s="237"/>
      <c r="T298" s="237"/>
      <c r="U298" s="237"/>
      <c r="V298" s="237"/>
      <c r="W298" s="237"/>
      <c r="X298" s="237"/>
      <c r="Y298" s="237"/>
      <c r="Z298" s="237"/>
    </row>
    <row r="299" ht="14.25" customHeight="1" spans="1:26">
      <c r="A299" s="237"/>
      <c r="B299" s="237"/>
      <c r="C299" s="237"/>
      <c r="D299" s="237"/>
      <c r="E299" s="237"/>
      <c r="F299" s="237"/>
      <c r="G299" s="237"/>
      <c r="H299" s="237"/>
      <c r="I299" s="237"/>
      <c r="J299" s="237"/>
      <c r="K299" s="237"/>
      <c r="L299" s="237"/>
      <c r="M299" s="237"/>
      <c r="N299" s="237"/>
      <c r="O299" s="237"/>
      <c r="P299" s="237"/>
      <c r="Q299" s="237"/>
      <c r="R299" s="237"/>
      <c r="S299" s="237"/>
      <c r="T299" s="237"/>
      <c r="U299" s="237"/>
      <c r="V299" s="237"/>
      <c r="W299" s="237"/>
      <c r="X299" s="237"/>
      <c r="Y299" s="237"/>
      <c r="Z299" s="237"/>
    </row>
    <row r="300" ht="14.25" customHeight="1" spans="1:26">
      <c r="A300" s="237"/>
      <c r="B300" s="237"/>
      <c r="C300" s="237"/>
      <c r="D300" s="237"/>
      <c r="E300" s="237"/>
      <c r="F300" s="237"/>
      <c r="G300" s="237"/>
      <c r="H300" s="237"/>
      <c r="I300" s="237"/>
      <c r="J300" s="237"/>
      <c r="K300" s="237"/>
      <c r="L300" s="237"/>
      <c r="M300" s="237"/>
      <c r="N300" s="237"/>
      <c r="O300" s="237"/>
      <c r="P300" s="237"/>
      <c r="Q300" s="237"/>
      <c r="R300" s="237"/>
      <c r="S300" s="237"/>
      <c r="T300" s="237"/>
      <c r="U300" s="237"/>
      <c r="V300" s="237"/>
      <c r="W300" s="237"/>
      <c r="X300" s="237"/>
      <c r="Y300" s="237"/>
      <c r="Z300" s="237"/>
    </row>
    <row r="301" ht="14.25" customHeight="1" spans="1:26">
      <c r="A301" s="237"/>
      <c r="B301" s="237"/>
      <c r="C301" s="237"/>
      <c r="D301" s="237"/>
      <c r="E301" s="237"/>
      <c r="F301" s="237"/>
      <c r="G301" s="237"/>
      <c r="H301" s="237"/>
      <c r="I301" s="237"/>
      <c r="J301" s="237"/>
      <c r="K301" s="237"/>
      <c r="L301" s="237"/>
      <c r="M301" s="237"/>
      <c r="N301" s="237"/>
      <c r="O301" s="237"/>
      <c r="P301" s="237"/>
      <c r="Q301" s="237"/>
      <c r="R301" s="237"/>
      <c r="S301" s="237"/>
      <c r="T301" s="237"/>
      <c r="U301" s="237"/>
      <c r="V301" s="237"/>
      <c r="W301" s="237"/>
      <c r="X301" s="237"/>
      <c r="Y301" s="237"/>
      <c r="Z301" s="237"/>
    </row>
    <row r="302" ht="14.25" customHeight="1" spans="1:26">
      <c r="A302" s="237"/>
      <c r="B302" s="237"/>
      <c r="C302" s="237"/>
      <c r="D302" s="237"/>
      <c r="E302" s="237"/>
      <c r="F302" s="237"/>
      <c r="G302" s="237"/>
      <c r="H302" s="237"/>
      <c r="I302" s="237"/>
      <c r="J302" s="237"/>
      <c r="K302" s="237"/>
      <c r="L302" s="237"/>
      <c r="M302" s="237"/>
      <c r="N302" s="237"/>
      <c r="O302" s="237"/>
      <c r="P302" s="237"/>
      <c r="Q302" s="237"/>
      <c r="R302" s="237"/>
      <c r="S302" s="237"/>
      <c r="T302" s="237"/>
      <c r="U302" s="237"/>
      <c r="V302" s="237"/>
      <c r="W302" s="237"/>
      <c r="X302" s="237"/>
      <c r="Y302" s="237"/>
      <c r="Z302" s="237"/>
    </row>
    <row r="303" ht="14.25" customHeight="1" spans="1:26">
      <c r="A303" s="237"/>
      <c r="B303" s="237"/>
      <c r="C303" s="237"/>
      <c r="D303" s="237"/>
      <c r="E303" s="237"/>
      <c r="F303" s="237"/>
      <c r="G303" s="237"/>
      <c r="H303" s="237"/>
      <c r="I303" s="237"/>
      <c r="J303" s="237"/>
      <c r="K303" s="237"/>
      <c r="L303" s="237"/>
      <c r="M303" s="237"/>
      <c r="N303" s="237"/>
      <c r="O303" s="237"/>
      <c r="P303" s="237"/>
      <c r="Q303" s="237"/>
      <c r="R303" s="237"/>
      <c r="S303" s="237"/>
      <c r="T303" s="237"/>
      <c r="U303" s="237"/>
      <c r="V303" s="237"/>
      <c r="W303" s="237"/>
      <c r="X303" s="237"/>
      <c r="Y303" s="237"/>
      <c r="Z303" s="237"/>
    </row>
    <row r="304" ht="14.25" customHeight="1" spans="1:26">
      <c r="A304" s="237"/>
      <c r="B304" s="237"/>
      <c r="C304" s="237"/>
      <c r="D304" s="237"/>
      <c r="E304" s="237"/>
      <c r="F304" s="237"/>
      <c r="G304" s="237"/>
      <c r="H304" s="237"/>
      <c r="I304" s="237"/>
      <c r="J304" s="237"/>
      <c r="K304" s="237"/>
      <c r="L304" s="237"/>
      <c r="M304" s="237"/>
      <c r="N304" s="237"/>
      <c r="O304" s="237"/>
      <c r="P304" s="237"/>
      <c r="Q304" s="237"/>
      <c r="R304" s="237"/>
      <c r="S304" s="237"/>
      <c r="T304" s="237"/>
      <c r="U304" s="237"/>
      <c r="V304" s="237"/>
      <c r="W304" s="237"/>
      <c r="X304" s="237"/>
      <c r="Y304" s="237"/>
      <c r="Z304" s="237"/>
    </row>
    <row r="305" ht="14.25" customHeight="1" spans="1:26">
      <c r="A305" s="237"/>
      <c r="B305" s="237"/>
      <c r="C305" s="237"/>
      <c r="D305" s="237"/>
      <c r="E305" s="237"/>
      <c r="F305" s="237"/>
      <c r="G305" s="237"/>
      <c r="H305" s="237"/>
      <c r="I305" s="237"/>
      <c r="J305" s="237"/>
      <c r="K305" s="237"/>
      <c r="L305" s="237"/>
      <c r="M305" s="237"/>
      <c r="N305" s="237"/>
      <c r="O305" s="237"/>
      <c r="P305" s="237"/>
      <c r="Q305" s="237"/>
      <c r="R305" s="237"/>
      <c r="S305" s="237"/>
      <c r="T305" s="237"/>
      <c r="U305" s="237"/>
      <c r="V305" s="237"/>
      <c r="W305" s="237"/>
      <c r="X305" s="237"/>
      <c r="Y305" s="237"/>
      <c r="Z305" s="237"/>
    </row>
    <row r="306" ht="14.25" customHeight="1" spans="1:26">
      <c r="A306" s="237"/>
      <c r="B306" s="237"/>
      <c r="C306" s="237"/>
      <c r="D306" s="237"/>
      <c r="E306" s="237"/>
      <c r="F306" s="237"/>
      <c r="G306" s="237"/>
      <c r="H306" s="237"/>
      <c r="I306" s="237"/>
      <c r="J306" s="237"/>
      <c r="K306" s="237"/>
      <c r="L306" s="237"/>
      <c r="M306" s="237"/>
      <c r="N306" s="237"/>
      <c r="O306" s="237"/>
      <c r="P306" s="237"/>
      <c r="Q306" s="237"/>
      <c r="R306" s="237"/>
      <c r="S306" s="237"/>
      <c r="T306" s="237"/>
      <c r="U306" s="237"/>
      <c r="V306" s="237"/>
      <c r="W306" s="237"/>
      <c r="X306" s="237"/>
      <c r="Y306" s="237"/>
      <c r="Z306" s="237"/>
    </row>
    <row r="307" ht="14.25" customHeight="1" spans="1:26">
      <c r="A307" s="237"/>
      <c r="B307" s="237"/>
      <c r="C307" s="237"/>
      <c r="D307" s="237"/>
      <c r="E307" s="237"/>
      <c r="F307" s="237"/>
      <c r="G307" s="237"/>
      <c r="H307" s="237"/>
      <c r="I307" s="237"/>
      <c r="J307" s="237"/>
      <c r="K307" s="237"/>
      <c r="L307" s="237"/>
      <c r="M307" s="237"/>
      <c r="N307" s="237"/>
      <c r="O307" s="237"/>
      <c r="P307" s="237"/>
      <c r="Q307" s="237"/>
      <c r="R307" s="237"/>
      <c r="S307" s="237"/>
      <c r="T307" s="237"/>
      <c r="U307" s="237"/>
      <c r="V307" s="237"/>
      <c r="W307" s="237"/>
      <c r="X307" s="237"/>
      <c r="Y307" s="237"/>
      <c r="Z307" s="237"/>
    </row>
    <row r="308" ht="14.25" customHeight="1" spans="1:26">
      <c r="A308" s="237"/>
      <c r="B308" s="237"/>
      <c r="C308" s="237"/>
      <c r="D308" s="237"/>
      <c r="E308" s="237"/>
      <c r="F308" s="237"/>
      <c r="G308" s="237"/>
      <c r="H308" s="237"/>
      <c r="I308" s="237"/>
      <c r="J308" s="237"/>
      <c r="K308" s="237"/>
      <c r="L308" s="237"/>
      <c r="M308" s="237"/>
      <c r="N308" s="237"/>
      <c r="O308" s="237"/>
      <c r="P308" s="237"/>
      <c r="Q308" s="237"/>
      <c r="R308" s="237"/>
      <c r="S308" s="237"/>
      <c r="T308" s="237"/>
      <c r="U308" s="237"/>
      <c r="V308" s="237"/>
      <c r="W308" s="237"/>
      <c r="X308" s="237"/>
      <c r="Y308" s="237"/>
      <c r="Z308" s="237"/>
    </row>
    <row r="309" ht="14.25" customHeight="1" spans="1:26">
      <c r="A309" s="237"/>
      <c r="B309" s="237"/>
      <c r="C309" s="237"/>
      <c r="D309" s="237"/>
      <c r="E309" s="237"/>
      <c r="F309" s="237"/>
      <c r="G309" s="237"/>
      <c r="H309" s="237"/>
      <c r="I309" s="237"/>
      <c r="J309" s="237"/>
      <c r="K309" s="237"/>
      <c r="L309" s="237"/>
      <c r="M309" s="237"/>
      <c r="N309" s="237"/>
      <c r="O309" s="237"/>
      <c r="P309" s="237"/>
      <c r="Q309" s="237"/>
      <c r="R309" s="237"/>
      <c r="S309" s="237"/>
      <c r="T309" s="237"/>
      <c r="U309" s="237"/>
      <c r="V309" s="237"/>
      <c r="W309" s="237"/>
      <c r="X309" s="237"/>
      <c r="Y309" s="237"/>
      <c r="Z309" s="237"/>
    </row>
    <row r="310" ht="14.25" customHeight="1" spans="1:26">
      <c r="A310" s="237"/>
      <c r="B310" s="237"/>
      <c r="C310" s="237"/>
      <c r="D310" s="237"/>
      <c r="E310" s="237"/>
      <c r="F310" s="237"/>
      <c r="G310" s="237"/>
      <c r="H310" s="237"/>
      <c r="I310" s="237"/>
      <c r="J310" s="237"/>
      <c r="K310" s="237"/>
      <c r="L310" s="237"/>
      <c r="M310" s="237"/>
      <c r="N310" s="237"/>
      <c r="O310" s="237"/>
      <c r="P310" s="237"/>
      <c r="Q310" s="237"/>
      <c r="R310" s="237"/>
      <c r="S310" s="237"/>
      <c r="T310" s="237"/>
      <c r="U310" s="237"/>
      <c r="V310" s="237"/>
      <c r="W310" s="237"/>
      <c r="X310" s="237"/>
      <c r="Y310" s="237"/>
      <c r="Z310" s="237"/>
    </row>
    <row r="311" ht="14.25" customHeight="1" spans="1:26">
      <c r="A311" s="237"/>
      <c r="B311" s="237"/>
      <c r="C311" s="237"/>
      <c r="D311" s="237"/>
      <c r="E311" s="237"/>
      <c r="F311" s="237"/>
      <c r="G311" s="237"/>
      <c r="H311" s="237"/>
      <c r="I311" s="237"/>
      <c r="J311" s="237"/>
      <c r="K311" s="237"/>
      <c r="L311" s="237"/>
      <c r="M311" s="237"/>
      <c r="N311" s="237"/>
      <c r="O311" s="237"/>
      <c r="P311" s="237"/>
      <c r="Q311" s="237"/>
      <c r="R311" s="237"/>
      <c r="S311" s="237"/>
      <c r="T311" s="237"/>
      <c r="U311" s="237"/>
      <c r="V311" s="237"/>
      <c r="W311" s="237"/>
      <c r="X311" s="237"/>
      <c r="Y311" s="237"/>
      <c r="Z311" s="237"/>
    </row>
    <row r="312" ht="14.25" customHeight="1" spans="1:26">
      <c r="A312" s="237"/>
      <c r="B312" s="237"/>
      <c r="C312" s="237"/>
      <c r="D312" s="237"/>
      <c r="E312" s="237"/>
      <c r="F312" s="237"/>
      <c r="G312" s="237"/>
      <c r="H312" s="237"/>
      <c r="I312" s="237"/>
      <c r="J312" s="237"/>
      <c r="K312" s="237"/>
      <c r="L312" s="237"/>
      <c r="M312" s="237"/>
      <c r="N312" s="237"/>
      <c r="O312" s="237"/>
      <c r="P312" s="237"/>
      <c r="Q312" s="237"/>
      <c r="R312" s="237"/>
      <c r="S312" s="237"/>
      <c r="T312" s="237"/>
      <c r="U312" s="237"/>
      <c r="V312" s="237"/>
      <c r="W312" s="237"/>
      <c r="X312" s="237"/>
      <c r="Y312" s="237"/>
      <c r="Z312" s="237"/>
    </row>
    <row r="313" ht="14.25" customHeight="1" spans="1:26">
      <c r="A313" s="237"/>
      <c r="B313" s="237"/>
      <c r="C313" s="237"/>
      <c r="D313" s="237"/>
      <c r="E313" s="237"/>
      <c r="F313" s="237"/>
      <c r="G313" s="237"/>
      <c r="H313" s="237"/>
      <c r="I313" s="237"/>
      <c r="J313" s="237"/>
      <c r="K313" s="237"/>
      <c r="L313" s="237"/>
      <c r="M313" s="237"/>
      <c r="N313" s="237"/>
      <c r="O313" s="237"/>
      <c r="P313" s="237"/>
      <c r="Q313" s="237"/>
      <c r="R313" s="237"/>
      <c r="S313" s="237"/>
      <c r="T313" s="237"/>
      <c r="U313" s="237"/>
      <c r="V313" s="237"/>
      <c r="W313" s="237"/>
      <c r="X313" s="237"/>
      <c r="Y313" s="237"/>
      <c r="Z313" s="237"/>
    </row>
    <row r="314" ht="14.25" customHeight="1" spans="1:26">
      <c r="A314" s="237"/>
      <c r="B314" s="237"/>
      <c r="C314" s="237"/>
      <c r="D314" s="237"/>
      <c r="E314" s="237"/>
      <c r="F314" s="237"/>
      <c r="G314" s="237"/>
      <c r="H314" s="237"/>
      <c r="I314" s="237"/>
      <c r="J314" s="237"/>
      <c r="K314" s="237"/>
      <c r="L314" s="237"/>
      <c r="M314" s="237"/>
      <c r="N314" s="237"/>
      <c r="O314" s="237"/>
      <c r="P314" s="237"/>
      <c r="Q314" s="237"/>
      <c r="R314" s="237"/>
      <c r="S314" s="237"/>
      <c r="T314" s="237"/>
      <c r="U314" s="237"/>
      <c r="V314" s="237"/>
      <c r="W314" s="237"/>
      <c r="X314" s="237"/>
      <c r="Y314" s="237"/>
      <c r="Z314" s="237"/>
    </row>
    <row r="315" ht="14.25" customHeight="1" spans="1:26">
      <c r="A315" s="237"/>
      <c r="B315" s="237"/>
      <c r="C315" s="237"/>
      <c r="D315" s="237"/>
      <c r="E315" s="237"/>
      <c r="F315" s="237"/>
      <c r="G315" s="237"/>
      <c r="H315" s="237"/>
      <c r="I315" s="237"/>
      <c r="J315" s="237"/>
      <c r="K315" s="237"/>
      <c r="L315" s="237"/>
      <c r="M315" s="237"/>
      <c r="N315" s="237"/>
      <c r="O315" s="237"/>
      <c r="P315" s="237"/>
      <c r="Q315" s="237"/>
      <c r="R315" s="237"/>
      <c r="S315" s="237"/>
      <c r="T315" s="237"/>
      <c r="U315" s="237"/>
      <c r="V315" s="237"/>
      <c r="W315" s="237"/>
      <c r="X315" s="237"/>
      <c r="Y315" s="237"/>
      <c r="Z315" s="237"/>
    </row>
    <row r="316" ht="14.25" customHeight="1" spans="1:26">
      <c r="A316" s="237"/>
      <c r="B316" s="237"/>
      <c r="C316" s="237"/>
      <c r="D316" s="237"/>
      <c r="E316" s="237"/>
      <c r="F316" s="237"/>
      <c r="G316" s="237"/>
      <c r="H316" s="237"/>
      <c r="I316" s="237"/>
      <c r="J316" s="237"/>
      <c r="K316" s="237"/>
      <c r="L316" s="237"/>
      <c r="M316" s="237"/>
      <c r="N316" s="237"/>
      <c r="O316" s="237"/>
      <c r="P316" s="237"/>
      <c r="Q316" s="237"/>
      <c r="R316" s="237"/>
      <c r="S316" s="237"/>
      <c r="T316" s="237"/>
      <c r="U316" s="237"/>
      <c r="V316" s="237"/>
      <c r="W316" s="237"/>
      <c r="X316" s="237"/>
      <c r="Y316" s="237"/>
      <c r="Z316" s="237"/>
    </row>
    <row r="317" ht="14.25" customHeight="1" spans="1:26">
      <c r="A317" s="237"/>
      <c r="B317" s="237"/>
      <c r="C317" s="237"/>
      <c r="D317" s="237"/>
      <c r="E317" s="237"/>
      <c r="F317" s="237"/>
      <c r="G317" s="237"/>
      <c r="H317" s="237"/>
      <c r="I317" s="237"/>
      <c r="J317" s="237"/>
      <c r="K317" s="237"/>
      <c r="L317" s="237"/>
      <c r="M317" s="237"/>
      <c r="N317" s="237"/>
      <c r="O317" s="237"/>
      <c r="P317" s="237"/>
      <c r="Q317" s="237"/>
      <c r="R317" s="237"/>
      <c r="S317" s="237"/>
      <c r="T317" s="237"/>
      <c r="U317" s="237"/>
      <c r="V317" s="237"/>
      <c r="W317" s="237"/>
      <c r="X317" s="237"/>
      <c r="Y317" s="237"/>
      <c r="Z317" s="237"/>
    </row>
    <row r="318" ht="14.25" customHeight="1" spans="1:26">
      <c r="A318" s="237"/>
      <c r="B318" s="237"/>
      <c r="C318" s="237"/>
      <c r="D318" s="237"/>
      <c r="E318" s="237"/>
      <c r="F318" s="237"/>
      <c r="G318" s="237"/>
      <c r="H318" s="237"/>
      <c r="I318" s="237"/>
      <c r="J318" s="237"/>
      <c r="K318" s="237"/>
      <c r="L318" s="237"/>
      <c r="M318" s="237"/>
      <c r="N318" s="237"/>
      <c r="O318" s="237"/>
      <c r="P318" s="237"/>
      <c r="Q318" s="237"/>
      <c r="R318" s="237"/>
      <c r="S318" s="237"/>
      <c r="T318" s="237"/>
      <c r="U318" s="237"/>
      <c r="V318" s="237"/>
      <c r="W318" s="237"/>
      <c r="X318" s="237"/>
      <c r="Y318" s="237"/>
      <c r="Z318" s="237"/>
    </row>
    <row r="319" ht="14.25" customHeight="1" spans="1:26">
      <c r="A319" s="237"/>
      <c r="B319" s="237"/>
      <c r="C319" s="237"/>
      <c r="D319" s="237"/>
      <c r="E319" s="237"/>
      <c r="F319" s="237"/>
      <c r="G319" s="237"/>
      <c r="H319" s="237"/>
      <c r="I319" s="237"/>
      <c r="J319" s="237"/>
      <c r="K319" s="237"/>
      <c r="L319" s="237"/>
      <c r="M319" s="237"/>
      <c r="N319" s="237"/>
      <c r="O319" s="237"/>
      <c r="P319" s="237"/>
      <c r="Q319" s="237"/>
      <c r="R319" s="237"/>
      <c r="S319" s="237"/>
      <c r="T319" s="237"/>
      <c r="U319" s="237"/>
      <c r="V319" s="237"/>
      <c r="W319" s="237"/>
      <c r="X319" s="237"/>
      <c r="Y319" s="237"/>
      <c r="Z319" s="237"/>
    </row>
    <row r="320" ht="14.25" customHeight="1" spans="1:26">
      <c r="A320" s="237"/>
      <c r="B320" s="237"/>
      <c r="C320" s="237"/>
      <c r="D320" s="237"/>
      <c r="E320" s="237"/>
      <c r="F320" s="237"/>
      <c r="G320" s="237"/>
      <c r="H320" s="237"/>
      <c r="I320" s="237"/>
      <c r="J320" s="237"/>
      <c r="K320" s="237"/>
      <c r="L320" s="237"/>
      <c r="M320" s="237"/>
      <c r="N320" s="237"/>
      <c r="O320" s="237"/>
      <c r="P320" s="237"/>
      <c r="Q320" s="237"/>
      <c r="R320" s="237"/>
      <c r="S320" s="237"/>
      <c r="T320" s="237"/>
      <c r="U320" s="237"/>
      <c r="V320" s="237"/>
      <c r="W320" s="237"/>
      <c r="X320" s="237"/>
      <c r="Y320" s="237"/>
      <c r="Z320" s="237"/>
    </row>
    <row r="321" ht="14.25" customHeight="1" spans="1:26">
      <c r="A321" s="237"/>
      <c r="B321" s="237"/>
      <c r="C321" s="237"/>
      <c r="D321" s="237"/>
      <c r="E321" s="237"/>
      <c r="F321" s="237"/>
      <c r="G321" s="237"/>
      <c r="H321" s="237"/>
      <c r="I321" s="237"/>
      <c r="J321" s="237"/>
      <c r="K321" s="237"/>
      <c r="L321" s="237"/>
      <c r="M321" s="237"/>
      <c r="N321" s="237"/>
      <c r="O321" s="237"/>
      <c r="P321" s="237"/>
      <c r="Q321" s="237"/>
      <c r="R321" s="237"/>
      <c r="S321" s="237"/>
      <c r="T321" s="237"/>
      <c r="U321" s="237"/>
      <c r="V321" s="237"/>
      <c r="W321" s="237"/>
      <c r="X321" s="237"/>
      <c r="Y321" s="237"/>
      <c r="Z321" s="237"/>
    </row>
    <row r="322" ht="14.25" customHeight="1" spans="1:26">
      <c r="A322" s="237"/>
      <c r="B322" s="237"/>
      <c r="C322" s="237"/>
      <c r="D322" s="237"/>
      <c r="E322" s="237"/>
      <c r="F322" s="237"/>
      <c r="G322" s="237"/>
      <c r="H322" s="237"/>
      <c r="I322" s="237"/>
      <c r="J322" s="237"/>
      <c r="K322" s="237"/>
      <c r="L322" s="237"/>
      <c r="M322" s="237"/>
      <c r="N322" s="237"/>
      <c r="O322" s="237"/>
      <c r="P322" s="237"/>
      <c r="Q322" s="237"/>
      <c r="R322" s="237"/>
      <c r="S322" s="237"/>
      <c r="T322" s="237"/>
      <c r="U322" s="237"/>
      <c r="V322" s="237"/>
      <c r="W322" s="237"/>
      <c r="X322" s="237"/>
      <c r="Y322" s="237"/>
      <c r="Z322" s="237"/>
    </row>
    <row r="323" ht="14.25" customHeight="1" spans="1:26">
      <c r="A323" s="237"/>
      <c r="B323" s="237"/>
      <c r="C323" s="237"/>
      <c r="D323" s="237"/>
      <c r="E323" s="237"/>
      <c r="F323" s="237"/>
      <c r="G323" s="237"/>
      <c r="H323" s="237"/>
      <c r="I323" s="237"/>
      <c r="J323" s="237"/>
      <c r="K323" s="237"/>
      <c r="L323" s="237"/>
      <c r="M323" s="237"/>
      <c r="N323" s="237"/>
      <c r="O323" s="237"/>
      <c r="P323" s="237"/>
      <c r="Q323" s="237"/>
      <c r="R323" s="237"/>
      <c r="S323" s="237"/>
      <c r="T323" s="237"/>
      <c r="U323" s="237"/>
      <c r="V323" s="237"/>
      <c r="W323" s="237"/>
      <c r="X323" s="237"/>
      <c r="Y323" s="237"/>
      <c r="Z323" s="237"/>
    </row>
    <row r="324" ht="14.25" customHeight="1" spans="1:26">
      <c r="A324" s="237"/>
      <c r="B324" s="237"/>
      <c r="C324" s="237"/>
      <c r="D324" s="237"/>
      <c r="E324" s="237"/>
      <c r="F324" s="237"/>
      <c r="G324" s="237"/>
      <c r="H324" s="237"/>
      <c r="I324" s="237"/>
      <c r="J324" s="237"/>
      <c r="K324" s="237"/>
      <c r="L324" s="237"/>
      <c r="M324" s="237"/>
      <c r="N324" s="237"/>
      <c r="O324" s="237"/>
      <c r="P324" s="237"/>
      <c r="Q324" s="237"/>
      <c r="R324" s="237"/>
      <c r="S324" s="237"/>
      <c r="T324" s="237"/>
      <c r="U324" s="237"/>
      <c r="V324" s="237"/>
      <c r="W324" s="237"/>
      <c r="X324" s="237"/>
      <c r="Y324" s="237"/>
      <c r="Z324" s="237"/>
    </row>
    <row r="325" ht="14.25" customHeight="1" spans="1:26">
      <c r="A325" s="237"/>
      <c r="B325" s="237"/>
      <c r="C325" s="237"/>
      <c r="D325" s="237"/>
      <c r="E325" s="237"/>
      <c r="F325" s="237"/>
      <c r="G325" s="237"/>
      <c r="H325" s="237"/>
      <c r="I325" s="237"/>
      <c r="J325" s="237"/>
      <c r="K325" s="237"/>
      <c r="L325" s="237"/>
      <c r="M325" s="237"/>
      <c r="N325" s="237"/>
      <c r="O325" s="237"/>
      <c r="P325" s="237"/>
      <c r="Q325" s="237"/>
      <c r="R325" s="237"/>
      <c r="S325" s="237"/>
      <c r="T325" s="237"/>
      <c r="U325" s="237"/>
      <c r="V325" s="237"/>
      <c r="W325" s="237"/>
      <c r="X325" s="237"/>
      <c r="Y325" s="237"/>
      <c r="Z325" s="237"/>
    </row>
    <row r="326" ht="14.25" customHeight="1" spans="1:26">
      <c r="A326" s="237"/>
      <c r="B326" s="237"/>
      <c r="C326" s="237"/>
      <c r="D326" s="237"/>
      <c r="E326" s="237"/>
      <c r="F326" s="237"/>
      <c r="G326" s="237"/>
      <c r="H326" s="237"/>
      <c r="I326" s="237"/>
      <c r="J326" s="237"/>
      <c r="K326" s="237"/>
      <c r="L326" s="237"/>
      <c r="M326" s="237"/>
      <c r="N326" s="237"/>
      <c r="O326" s="237"/>
      <c r="P326" s="237"/>
      <c r="Q326" s="237"/>
      <c r="R326" s="237"/>
      <c r="S326" s="237"/>
      <c r="T326" s="237"/>
      <c r="U326" s="237"/>
      <c r="V326" s="237"/>
      <c r="W326" s="237"/>
      <c r="X326" s="237"/>
      <c r="Y326" s="237"/>
      <c r="Z326" s="237"/>
    </row>
    <row r="327" ht="14.25" customHeight="1" spans="1:26">
      <c r="A327" s="237"/>
      <c r="B327" s="237"/>
      <c r="C327" s="237"/>
      <c r="D327" s="237"/>
      <c r="E327" s="237"/>
      <c r="F327" s="237"/>
      <c r="G327" s="237"/>
      <c r="H327" s="237"/>
      <c r="I327" s="237"/>
      <c r="J327" s="237"/>
      <c r="K327" s="237"/>
      <c r="L327" s="237"/>
      <c r="M327" s="237"/>
      <c r="N327" s="237"/>
      <c r="O327" s="237"/>
      <c r="P327" s="237"/>
      <c r="Q327" s="237"/>
      <c r="R327" s="237"/>
      <c r="S327" s="237"/>
      <c r="T327" s="237"/>
      <c r="U327" s="237"/>
      <c r="V327" s="237"/>
      <c r="W327" s="237"/>
      <c r="X327" s="237"/>
      <c r="Y327" s="237"/>
      <c r="Z327" s="237"/>
    </row>
    <row r="328" ht="14.25" customHeight="1" spans="1:26">
      <c r="A328" s="237"/>
      <c r="B328" s="237"/>
      <c r="C328" s="237"/>
      <c r="D328" s="237"/>
      <c r="E328" s="237"/>
      <c r="F328" s="237"/>
      <c r="G328" s="237"/>
      <c r="H328" s="237"/>
      <c r="I328" s="237"/>
      <c r="J328" s="237"/>
      <c r="K328" s="237"/>
      <c r="L328" s="237"/>
      <c r="M328" s="237"/>
      <c r="N328" s="237"/>
      <c r="O328" s="237"/>
      <c r="P328" s="237"/>
      <c r="Q328" s="237"/>
      <c r="R328" s="237"/>
      <c r="S328" s="237"/>
      <c r="T328" s="237"/>
      <c r="U328" s="237"/>
      <c r="V328" s="237"/>
      <c r="W328" s="237"/>
      <c r="X328" s="237"/>
      <c r="Y328" s="237"/>
      <c r="Z328" s="237"/>
    </row>
    <row r="329" ht="14.25" customHeight="1" spans="1:26">
      <c r="A329" s="237"/>
      <c r="B329" s="237"/>
      <c r="C329" s="237"/>
      <c r="D329" s="237"/>
      <c r="E329" s="237"/>
      <c r="F329" s="237"/>
      <c r="G329" s="237"/>
      <c r="H329" s="237"/>
      <c r="I329" s="237"/>
      <c r="J329" s="237"/>
      <c r="K329" s="237"/>
      <c r="L329" s="237"/>
      <c r="M329" s="237"/>
      <c r="N329" s="237"/>
      <c r="O329" s="237"/>
      <c r="P329" s="237"/>
      <c r="Q329" s="237"/>
      <c r="R329" s="237"/>
      <c r="S329" s="237"/>
      <c r="T329" s="237"/>
      <c r="U329" s="237"/>
      <c r="V329" s="237"/>
      <c r="W329" s="237"/>
      <c r="X329" s="237"/>
      <c r="Y329" s="237"/>
      <c r="Z329" s="237"/>
    </row>
    <row r="330" ht="14.25" customHeight="1" spans="1:26">
      <c r="A330" s="237"/>
      <c r="B330" s="237"/>
      <c r="C330" s="237"/>
      <c r="D330" s="237"/>
      <c r="E330" s="237"/>
      <c r="F330" s="237"/>
      <c r="G330" s="237"/>
      <c r="H330" s="237"/>
      <c r="I330" s="237"/>
      <c r="J330" s="237"/>
      <c r="K330" s="237"/>
      <c r="L330" s="237"/>
      <c r="M330" s="237"/>
      <c r="N330" s="237"/>
      <c r="O330" s="237"/>
      <c r="P330" s="237"/>
      <c r="Q330" s="237"/>
      <c r="R330" s="237"/>
      <c r="S330" s="237"/>
      <c r="T330" s="237"/>
      <c r="U330" s="237"/>
      <c r="V330" s="237"/>
      <c r="W330" s="237"/>
      <c r="X330" s="237"/>
      <c r="Y330" s="237"/>
      <c r="Z330" s="237"/>
    </row>
    <row r="331" ht="14.25" customHeight="1" spans="1:26">
      <c r="A331" s="237"/>
      <c r="B331" s="237"/>
      <c r="C331" s="237"/>
      <c r="D331" s="237"/>
      <c r="E331" s="237"/>
      <c r="F331" s="237"/>
      <c r="G331" s="237"/>
      <c r="H331" s="237"/>
      <c r="I331" s="237"/>
      <c r="J331" s="237"/>
      <c r="K331" s="237"/>
      <c r="L331" s="237"/>
      <c r="M331" s="237"/>
      <c r="N331" s="237"/>
      <c r="O331" s="237"/>
      <c r="P331" s="237"/>
      <c r="Q331" s="237"/>
      <c r="R331" s="237"/>
      <c r="S331" s="237"/>
      <c r="T331" s="237"/>
      <c r="U331" s="237"/>
      <c r="V331" s="237"/>
      <c r="W331" s="237"/>
      <c r="X331" s="237"/>
      <c r="Y331" s="237"/>
      <c r="Z331" s="237"/>
    </row>
    <row r="332" ht="14.25" customHeight="1" spans="1:26">
      <c r="A332" s="237"/>
      <c r="B332" s="237"/>
      <c r="C332" s="237"/>
      <c r="D332" s="237"/>
      <c r="E332" s="237"/>
      <c r="F332" s="237"/>
      <c r="G332" s="237"/>
      <c r="H332" s="237"/>
      <c r="I332" s="237"/>
      <c r="J332" s="237"/>
      <c r="K332" s="237"/>
      <c r="L332" s="237"/>
      <c r="M332" s="237"/>
      <c r="N332" s="237"/>
      <c r="O332" s="237"/>
      <c r="P332" s="237"/>
      <c r="Q332" s="237"/>
      <c r="R332" s="237"/>
      <c r="S332" s="237"/>
      <c r="T332" s="237"/>
      <c r="U332" s="237"/>
      <c r="V332" s="237"/>
      <c r="W332" s="237"/>
      <c r="X332" s="237"/>
      <c r="Y332" s="237"/>
      <c r="Z332" s="237"/>
    </row>
    <row r="333" ht="14.25" customHeight="1" spans="1:26">
      <c r="A333" s="237"/>
      <c r="B333" s="237"/>
      <c r="C333" s="237"/>
      <c r="D333" s="237"/>
      <c r="E333" s="237"/>
      <c r="F333" s="237"/>
      <c r="G333" s="237"/>
      <c r="H333" s="237"/>
      <c r="I333" s="237"/>
      <c r="J333" s="237"/>
      <c r="K333" s="237"/>
      <c r="L333" s="237"/>
      <c r="M333" s="237"/>
      <c r="N333" s="237"/>
      <c r="O333" s="237"/>
      <c r="P333" s="237"/>
      <c r="Q333" s="237"/>
      <c r="R333" s="237"/>
      <c r="S333" s="237"/>
      <c r="T333" s="237"/>
      <c r="U333" s="237"/>
      <c r="V333" s="237"/>
      <c r="W333" s="237"/>
      <c r="X333" s="237"/>
      <c r="Y333" s="237"/>
      <c r="Z333" s="237"/>
    </row>
    <row r="334" ht="14.25" customHeight="1" spans="1:26">
      <c r="A334" s="237"/>
      <c r="B334" s="237"/>
      <c r="C334" s="237"/>
      <c r="D334" s="237"/>
      <c r="E334" s="237"/>
      <c r="F334" s="237"/>
      <c r="G334" s="237"/>
      <c r="H334" s="237"/>
      <c r="I334" s="237"/>
      <c r="J334" s="237"/>
      <c r="K334" s="237"/>
      <c r="L334" s="237"/>
      <c r="M334" s="237"/>
      <c r="N334" s="237"/>
      <c r="O334" s="237"/>
      <c r="P334" s="237"/>
      <c r="Q334" s="237"/>
      <c r="R334" s="237"/>
      <c r="S334" s="237"/>
      <c r="T334" s="237"/>
      <c r="U334" s="237"/>
      <c r="V334" s="237"/>
      <c r="W334" s="237"/>
      <c r="X334" s="237"/>
      <c r="Y334" s="237"/>
      <c r="Z334" s="237"/>
    </row>
    <row r="335" ht="14.25" customHeight="1" spans="1:26">
      <c r="A335" s="237"/>
      <c r="B335" s="237"/>
      <c r="C335" s="237"/>
      <c r="D335" s="237"/>
      <c r="E335" s="237"/>
      <c r="F335" s="237"/>
      <c r="G335" s="237"/>
      <c r="H335" s="237"/>
      <c r="I335" s="237"/>
      <c r="J335" s="237"/>
      <c r="K335" s="237"/>
      <c r="L335" s="237"/>
      <c r="M335" s="237"/>
      <c r="N335" s="237"/>
      <c r="O335" s="237"/>
      <c r="P335" s="237"/>
      <c r="Q335" s="237"/>
      <c r="R335" s="237"/>
      <c r="S335" s="237"/>
      <c r="T335" s="237"/>
      <c r="U335" s="237"/>
      <c r="V335" s="237"/>
      <c r="W335" s="237"/>
      <c r="X335" s="237"/>
      <c r="Y335" s="237"/>
      <c r="Z335" s="237"/>
    </row>
    <row r="336" ht="14.25" customHeight="1" spans="1:26">
      <c r="A336" s="237"/>
      <c r="B336" s="237"/>
      <c r="C336" s="237"/>
      <c r="D336" s="237"/>
      <c r="E336" s="237"/>
      <c r="F336" s="237"/>
      <c r="G336" s="237"/>
      <c r="H336" s="237"/>
      <c r="I336" s="237"/>
      <c r="J336" s="237"/>
      <c r="K336" s="237"/>
      <c r="L336" s="237"/>
      <c r="M336" s="237"/>
      <c r="N336" s="237"/>
      <c r="O336" s="237"/>
      <c r="P336" s="237"/>
      <c r="Q336" s="237"/>
      <c r="R336" s="237"/>
      <c r="S336" s="237"/>
      <c r="T336" s="237"/>
      <c r="U336" s="237"/>
      <c r="V336" s="237"/>
      <c r="W336" s="237"/>
      <c r="X336" s="237"/>
      <c r="Y336" s="237"/>
      <c r="Z336" s="237"/>
    </row>
    <row r="337" ht="14.25" customHeight="1" spans="1:26">
      <c r="A337" s="237"/>
      <c r="B337" s="237"/>
      <c r="C337" s="237"/>
      <c r="D337" s="237"/>
      <c r="E337" s="237"/>
      <c r="F337" s="237"/>
      <c r="G337" s="237"/>
      <c r="H337" s="237"/>
      <c r="I337" s="237"/>
      <c r="J337" s="237"/>
      <c r="K337" s="237"/>
      <c r="L337" s="237"/>
      <c r="M337" s="237"/>
      <c r="N337" s="237"/>
      <c r="O337" s="237"/>
      <c r="P337" s="237"/>
      <c r="Q337" s="237"/>
      <c r="R337" s="237"/>
      <c r="S337" s="237"/>
      <c r="T337" s="237"/>
      <c r="U337" s="237"/>
      <c r="V337" s="237"/>
      <c r="W337" s="237"/>
      <c r="X337" s="237"/>
      <c r="Y337" s="237"/>
      <c r="Z337" s="237"/>
    </row>
    <row r="338" ht="14.25" customHeight="1" spans="1:26">
      <c r="A338" s="237"/>
      <c r="B338" s="237"/>
      <c r="C338" s="237"/>
      <c r="D338" s="237"/>
      <c r="E338" s="237"/>
      <c r="F338" s="237"/>
      <c r="G338" s="237"/>
      <c r="H338" s="237"/>
      <c r="I338" s="237"/>
      <c r="J338" s="237"/>
      <c r="K338" s="237"/>
      <c r="L338" s="237"/>
      <c r="M338" s="237"/>
      <c r="N338" s="237"/>
      <c r="O338" s="237"/>
      <c r="P338" s="237"/>
      <c r="Q338" s="237"/>
      <c r="R338" s="237"/>
      <c r="S338" s="237"/>
      <c r="T338" s="237"/>
      <c r="U338" s="237"/>
      <c r="V338" s="237"/>
      <c r="W338" s="237"/>
      <c r="X338" s="237"/>
      <c r="Y338" s="237"/>
      <c r="Z338" s="237"/>
    </row>
    <row r="339" ht="14.25" customHeight="1" spans="1:26">
      <c r="A339" s="237"/>
      <c r="B339" s="237"/>
      <c r="C339" s="237"/>
      <c r="D339" s="237"/>
      <c r="E339" s="237"/>
      <c r="F339" s="237"/>
      <c r="G339" s="237"/>
      <c r="H339" s="237"/>
      <c r="I339" s="237"/>
      <c r="J339" s="237"/>
      <c r="K339" s="237"/>
      <c r="L339" s="237"/>
      <c r="M339" s="237"/>
      <c r="N339" s="237"/>
      <c r="O339" s="237"/>
      <c r="P339" s="237"/>
      <c r="Q339" s="237"/>
      <c r="R339" s="237"/>
      <c r="S339" s="237"/>
      <c r="T339" s="237"/>
      <c r="U339" s="237"/>
      <c r="V339" s="237"/>
      <c r="W339" s="237"/>
      <c r="X339" s="237"/>
      <c r="Y339" s="237"/>
      <c r="Z339" s="237"/>
    </row>
    <row r="340" ht="14.25" customHeight="1" spans="1:26">
      <c r="A340" s="237"/>
      <c r="B340" s="237"/>
      <c r="C340" s="237"/>
      <c r="D340" s="237"/>
      <c r="E340" s="237"/>
      <c r="F340" s="237"/>
      <c r="G340" s="237"/>
      <c r="H340" s="237"/>
      <c r="I340" s="237"/>
      <c r="J340" s="237"/>
      <c r="K340" s="237"/>
      <c r="L340" s="237"/>
      <c r="M340" s="237"/>
      <c r="N340" s="237"/>
      <c r="O340" s="237"/>
      <c r="P340" s="237"/>
      <c r="Q340" s="237"/>
      <c r="R340" s="237"/>
      <c r="S340" s="237"/>
      <c r="T340" s="237"/>
      <c r="U340" s="237"/>
      <c r="V340" s="237"/>
      <c r="W340" s="237"/>
      <c r="X340" s="237"/>
      <c r="Y340" s="237"/>
      <c r="Z340" s="237"/>
    </row>
    <row r="341" ht="14.25" customHeight="1" spans="1:26">
      <c r="A341" s="237"/>
      <c r="B341" s="237"/>
      <c r="C341" s="237"/>
      <c r="D341" s="237"/>
      <c r="E341" s="237"/>
      <c r="F341" s="237"/>
      <c r="G341" s="237"/>
      <c r="H341" s="237"/>
      <c r="I341" s="237"/>
      <c r="J341" s="237"/>
      <c r="K341" s="237"/>
      <c r="L341" s="237"/>
      <c r="M341" s="237"/>
      <c r="N341" s="237"/>
      <c r="O341" s="237"/>
      <c r="P341" s="237"/>
      <c r="Q341" s="237"/>
      <c r="R341" s="237"/>
      <c r="S341" s="237"/>
      <c r="T341" s="237"/>
      <c r="U341" s="237"/>
      <c r="V341" s="237"/>
      <c r="W341" s="237"/>
      <c r="X341" s="237"/>
      <c r="Y341" s="237"/>
      <c r="Z341" s="237"/>
    </row>
    <row r="342" ht="14.25" customHeight="1" spans="1:26">
      <c r="A342" s="237"/>
      <c r="B342" s="237"/>
      <c r="C342" s="237"/>
      <c r="D342" s="237"/>
      <c r="E342" s="237"/>
      <c r="F342" s="237"/>
      <c r="G342" s="237"/>
      <c r="H342" s="237"/>
      <c r="I342" s="237"/>
      <c r="J342" s="237"/>
      <c r="K342" s="237"/>
      <c r="L342" s="237"/>
      <c r="M342" s="237"/>
      <c r="N342" s="237"/>
      <c r="O342" s="237"/>
      <c r="P342" s="237"/>
      <c r="Q342" s="237"/>
      <c r="R342" s="237"/>
      <c r="S342" s="237"/>
      <c r="T342" s="237"/>
      <c r="U342" s="237"/>
      <c r="V342" s="237"/>
      <c r="W342" s="237"/>
      <c r="X342" s="237"/>
      <c r="Y342" s="237"/>
      <c r="Z342" s="237"/>
    </row>
    <row r="343" ht="14.25" customHeight="1" spans="1:26">
      <c r="A343" s="237"/>
      <c r="B343" s="237"/>
      <c r="C343" s="237"/>
      <c r="D343" s="237"/>
      <c r="E343" s="237"/>
      <c r="F343" s="237"/>
      <c r="G343" s="237"/>
      <c r="H343" s="237"/>
      <c r="I343" s="237"/>
      <c r="J343" s="237"/>
      <c r="K343" s="237"/>
      <c r="L343" s="237"/>
      <c r="M343" s="237"/>
      <c r="N343" s="237"/>
      <c r="O343" s="237"/>
      <c r="P343" s="237"/>
      <c r="Q343" s="237"/>
      <c r="R343" s="237"/>
      <c r="S343" s="237"/>
      <c r="T343" s="237"/>
      <c r="U343" s="237"/>
      <c r="V343" s="237"/>
      <c r="W343" s="237"/>
      <c r="X343" s="237"/>
      <c r="Y343" s="237"/>
      <c r="Z343" s="237"/>
    </row>
    <row r="344" ht="14.25" customHeight="1" spans="1:26">
      <c r="A344" s="237"/>
      <c r="B344" s="237"/>
      <c r="C344" s="237"/>
      <c r="D344" s="237"/>
      <c r="E344" s="237"/>
      <c r="F344" s="237"/>
      <c r="G344" s="237"/>
      <c r="H344" s="237"/>
      <c r="I344" s="237"/>
      <c r="J344" s="237"/>
      <c r="K344" s="237"/>
      <c r="L344" s="237"/>
      <c r="M344" s="237"/>
      <c r="N344" s="237"/>
      <c r="O344" s="237"/>
      <c r="P344" s="237"/>
      <c r="Q344" s="237"/>
      <c r="R344" s="237"/>
      <c r="S344" s="237"/>
      <c r="T344" s="237"/>
      <c r="U344" s="237"/>
      <c r="V344" s="237"/>
      <c r="W344" s="237"/>
      <c r="X344" s="237"/>
      <c r="Y344" s="237"/>
      <c r="Z344" s="237"/>
    </row>
    <row r="345" ht="14.25" customHeight="1" spans="1:26">
      <c r="A345" s="237"/>
      <c r="B345" s="237"/>
      <c r="C345" s="237"/>
      <c r="D345" s="237"/>
      <c r="E345" s="237"/>
      <c r="F345" s="237"/>
      <c r="G345" s="237"/>
      <c r="H345" s="237"/>
      <c r="I345" s="237"/>
      <c r="J345" s="237"/>
      <c r="K345" s="237"/>
      <c r="L345" s="237"/>
      <c r="M345" s="237"/>
      <c r="N345" s="237"/>
      <c r="O345" s="237"/>
      <c r="P345" s="237"/>
      <c r="Q345" s="237"/>
      <c r="R345" s="237"/>
      <c r="S345" s="237"/>
      <c r="T345" s="237"/>
      <c r="U345" s="237"/>
      <c r="V345" s="237"/>
      <c r="W345" s="237"/>
      <c r="X345" s="237"/>
      <c r="Y345" s="237"/>
      <c r="Z345" s="237"/>
    </row>
    <row r="346" ht="14.25" customHeight="1" spans="1:26">
      <c r="A346" s="237"/>
      <c r="B346" s="237"/>
      <c r="C346" s="237"/>
      <c r="D346" s="237"/>
      <c r="E346" s="237"/>
      <c r="F346" s="237"/>
      <c r="G346" s="237"/>
      <c r="H346" s="237"/>
      <c r="I346" s="237"/>
      <c r="J346" s="237"/>
      <c r="K346" s="237"/>
      <c r="L346" s="237"/>
      <c r="M346" s="237"/>
      <c r="N346" s="237"/>
      <c r="O346" s="237"/>
      <c r="P346" s="237"/>
      <c r="Q346" s="237"/>
      <c r="R346" s="237"/>
      <c r="S346" s="237"/>
      <c r="T346" s="237"/>
      <c r="U346" s="237"/>
      <c r="V346" s="237"/>
      <c r="W346" s="237"/>
      <c r="X346" s="237"/>
      <c r="Y346" s="237"/>
      <c r="Z346" s="237"/>
    </row>
    <row r="347" ht="14.25" customHeight="1" spans="1:26">
      <c r="A347" s="237"/>
      <c r="B347" s="237"/>
      <c r="C347" s="237"/>
      <c r="D347" s="237"/>
      <c r="E347" s="237"/>
      <c r="F347" s="237"/>
      <c r="G347" s="237"/>
      <c r="H347" s="237"/>
      <c r="I347" s="237"/>
      <c r="J347" s="237"/>
      <c r="K347" s="237"/>
      <c r="L347" s="237"/>
      <c r="M347" s="237"/>
      <c r="N347" s="237"/>
      <c r="O347" s="237"/>
      <c r="P347" s="237"/>
      <c r="Q347" s="237"/>
      <c r="R347" s="237"/>
      <c r="S347" s="237"/>
      <c r="T347" s="237"/>
      <c r="U347" s="237"/>
      <c r="V347" s="237"/>
      <c r="W347" s="237"/>
      <c r="X347" s="237"/>
      <c r="Y347" s="237"/>
      <c r="Z347" s="237"/>
    </row>
    <row r="348" ht="14.25" customHeight="1" spans="1:26">
      <c r="A348" s="237"/>
      <c r="B348" s="237"/>
      <c r="C348" s="237"/>
      <c r="D348" s="237"/>
      <c r="E348" s="237"/>
      <c r="F348" s="237"/>
      <c r="G348" s="237"/>
      <c r="H348" s="237"/>
      <c r="I348" s="237"/>
      <c r="J348" s="237"/>
      <c r="K348" s="237"/>
      <c r="L348" s="237"/>
      <c r="M348" s="237"/>
      <c r="N348" s="237"/>
      <c r="O348" s="237"/>
      <c r="P348" s="237"/>
      <c r="Q348" s="237"/>
      <c r="R348" s="237"/>
      <c r="S348" s="237"/>
      <c r="T348" s="237"/>
      <c r="U348" s="237"/>
      <c r="V348" s="237"/>
      <c r="W348" s="237"/>
      <c r="X348" s="237"/>
      <c r="Y348" s="237"/>
      <c r="Z348" s="237"/>
    </row>
    <row r="349" ht="14.25" customHeight="1" spans="1:26">
      <c r="A349" s="237"/>
      <c r="B349" s="237"/>
      <c r="C349" s="237"/>
      <c r="D349" s="237"/>
      <c r="E349" s="237"/>
      <c r="F349" s="237"/>
      <c r="G349" s="237"/>
      <c r="H349" s="237"/>
      <c r="I349" s="237"/>
      <c r="J349" s="237"/>
      <c r="K349" s="237"/>
      <c r="L349" s="237"/>
      <c r="M349" s="237"/>
      <c r="N349" s="237"/>
      <c r="O349" s="237"/>
      <c r="P349" s="237"/>
      <c r="Q349" s="237"/>
      <c r="R349" s="237"/>
      <c r="S349" s="237"/>
      <c r="T349" s="237"/>
      <c r="U349" s="237"/>
      <c r="V349" s="237"/>
      <c r="W349" s="237"/>
      <c r="X349" s="237"/>
      <c r="Y349" s="237"/>
      <c r="Z349" s="237"/>
    </row>
    <row r="350" ht="14.25" customHeight="1" spans="1:26">
      <c r="A350" s="237"/>
      <c r="B350" s="237"/>
      <c r="C350" s="237"/>
      <c r="D350" s="237"/>
      <c r="E350" s="237"/>
      <c r="F350" s="237"/>
      <c r="G350" s="237"/>
      <c r="H350" s="237"/>
      <c r="I350" s="237"/>
      <c r="J350" s="237"/>
      <c r="K350" s="237"/>
      <c r="L350" s="237"/>
      <c r="M350" s="237"/>
      <c r="N350" s="237"/>
      <c r="O350" s="237"/>
      <c r="P350" s="237"/>
      <c r="Q350" s="237"/>
      <c r="R350" s="237"/>
      <c r="S350" s="237"/>
      <c r="T350" s="237"/>
      <c r="U350" s="237"/>
      <c r="V350" s="237"/>
      <c r="W350" s="237"/>
      <c r="X350" s="237"/>
      <c r="Y350" s="237"/>
      <c r="Z350" s="237"/>
    </row>
    <row r="351" ht="14.25" customHeight="1" spans="1:26">
      <c r="A351" s="237"/>
      <c r="B351" s="237"/>
      <c r="C351" s="237"/>
      <c r="D351" s="237"/>
      <c r="E351" s="237"/>
      <c r="F351" s="237"/>
      <c r="G351" s="237"/>
      <c r="H351" s="237"/>
      <c r="I351" s="237"/>
      <c r="J351" s="237"/>
      <c r="K351" s="237"/>
      <c r="L351" s="237"/>
      <c r="M351" s="237"/>
      <c r="N351" s="237"/>
      <c r="O351" s="237"/>
      <c r="P351" s="237"/>
      <c r="Q351" s="237"/>
      <c r="R351" s="237"/>
      <c r="S351" s="237"/>
      <c r="T351" s="237"/>
      <c r="U351" s="237"/>
      <c r="V351" s="237"/>
      <c r="W351" s="237"/>
      <c r="X351" s="237"/>
      <c r="Y351" s="237"/>
      <c r="Z351" s="237"/>
    </row>
    <row r="352" ht="14.25" customHeight="1" spans="1:26">
      <c r="A352" s="237"/>
      <c r="B352" s="237"/>
      <c r="C352" s="237"/>
      <c r="D352" s="237"/>
      <c r="E352" s="237"/>
      <c r="F352" s="237"/>
      <c r="G352" s="237"/>
      <c r="H352" s="237"/>
      <c r="I352" s="237"/>
      <c r="J352" s="237"/>
      <c r="K352" s="237"/>
      <c r="L352" s="237"/>
      <c r="M352" s="237"/>
      <c r="N352" s="237"/>
      <c r="O352" s="237"/>
      <c r="P352" s="237"/>
      <c r="Q352" s="237"/>
      <c r="R352" s="237"/>
      <c r="S352" s="237"/>
      <c r="T352" s="237"/>
      <c r="U352" s="237"/>
      <c r="V352" s="237"/>
      <c r="W352" s="237"/>
      <c r="X352" s="237"/>
      <c r="Y352" s="237"/>
      <c r="Z352" s="237"/>
    </row>
    <row r="353" ht="14.25" customHeight="1" spans="1:26">
      <c r="A353" s="237"/>
      <c r="B353" s="237"/>
      <c r="C353" s="237"/>
      <c r="D353" s="237"/>
      <c r="E353" s="237"/>
      <c r="F353" s="237"/>
      <c r="G353" s="237"/>
      <c r="H353" s="237"/>
      <c r="I353" s="237"/>
      <c r="J353" s="237"/>
      <c r="K353" s="237"/>
      <c r="L353" s="237"/>
      <c r="M353" s="237"/>
      <c r="N353" s="237"/>
      <c r="O353" s="237"/>
      <c r="P353" s="237"/>
      <c r="Q353" s="237"/>
      <c r="R353" s="237"/>
      <c r="S353" s="237"/>
      <c r="T353" s="237"/>
      <c r="U353" s="237"/>
      <c r="V353" s="237"/>
      <c r="W353" s="237"/>
      <c r="X353" s="237"/>
      <c r="Y353" s="237"/>
      <c r="Z353" s="237"/>
    </row>
    <row r="354" ht="14.25" customHeight="1" spans="1:26">
      <c r="A354" s="237"/>
      <c r="B354" s="237"/>
      <c r="C354" s="237"/>
      <c r="D354" s="237"/>
      <c r="E354" s="237"/>
      <c r="F354" s="237"/>
      <c r="G354" s="237"/>
      <c r="H354" s="237"/>
      <c r="I354" s="237"/>
      <c r="J354" s="237"/>
      <c r="K354" s="237"/>
      <c r="L354" s="237"/>
      <c r="M354" s="237"/>
      <c r="N354" s="237"/>
      <c r="O354" s="237"/>
      <c r="P354" s="237"/>
      <c r="Q354" s="237"/>
      <c r="R354" s="237"/>
      <c r="S354" s="237"/>
      <c r="T354" s="237"/>
      <c r="U354" s="237"/>
      <c r="V354" s="237"/>
      <c r="W354" s="237"/>
      <c r="X354" s="237"/>
      <c r="Y354" s="237"/>
      <c r="Z354" s="237"/>
    </row>
    <row r="355" ht="14.25" customHeight="1" spans="1:26">
      <c r="A355" s="237"/>
      <c r="B355" s="237"/>
      <c r="C355" s="237"/>
      <c r="D355" s="237"/>
      <c r="E355" s="237"/>
      <c r="F355" s="237"/>
      <c r="G355" s="237"/>
      <c r="H355" s="237"/>
      <c r="I355" s="237"/>
      <c r="J355" s="237"/>
      <c r="K355" s="237"/>
      <c r="L355" s="237"/>
      <c r="M355" s="237"/>
      <c r="N355" s="237"/>
      <c r="O355" s="237"/>
      <c r="P355" s="237"/>
      <c r="Q355" s="237"/>
      <c r="R355" s="237"/>
      <c r="S355" s="237"/>
      <c r="T355" s="237"/>
      <c r="U355" s="237"/>
      <c r="V355" s="237"/>
      <c r="W355" s="237"/>
      <c r="X355" s="237"/>
      <c r="Y355" s="237"/>
      <c r="Z355" s="237"/>
    </row>
    <row r="356" ht="14.25" customHeight="1" spans="1:26">
      <c r="A356" s="237"/>
      <c r="B356" s="237"/>
      <c r="C356" s="237"/>
      <c r="D356" s="237"/>
      <c r="E356" s="237"/>
      <c r="F356" s="237"/>
      <c r="G356" s="237"/>
      <c r="H356" s="237"/>
      <c r="I356" s="237"/>
      <c r="J356" s="237"/>
      <c r="K356" s="237"/>
      <c r="L356" s="237"/>
      <c r="M356" s="237"/>
      <c r="N356" s="237"/>
      <c r="O356" s="237"/>
      <c r="P356" s="237"/>
      <c r="Q356" s="237"/>
      <c r="R356" s="237"/>
      <c r="S356" s="237"/>
      <c r="T356" s="237"/>
      <c r="U356" s="237"/>
      <c r="V356" s="237"/>
      <c r="W356" s="237"/>
      <c r="X356" s="237"/>
      <c r="Y356" s="237"/>
      <c r="Z356" s="237"/>
    </row>
    <row r="357" ht="14.25" customHeight="1" spans="1:26">
      <c r="A357" s="237"/>
      <c r="B357" s="237"/>
      <c r="C357" s="237"/>
      <c r="D357" s="237"/>
      <c r="E357" s="237"/>
      <c r="F357" s="237"/>
      <c r="G357" s="237"/>
      <c r="H357" s="237"/>
      <c r="I357" s="237"/>
      <c r="J357" s="237"/>
      <c r="K357" s="237"/>
      <c r="L357" s="237"/>
      <c r="M357" s="237"/>
      <c r="N357" s="237"/>
      <c r="O357" s="237"/>
      <c r="P357" s="237"/>
      <c r="Q357" s="237"/>
      <c r="R357" s="237"/>
      <c r="S357" s="237"/>
      <c r="T357" s="237"/>
      <c r="U357" s="237"/>
      <c r="V357" s="237"/>
      <c r="W357" s="237"/>
      <c r="X357" s="237"/>
      <c r="Y357" s="237"/>
      <c r="Z357" s="237"/>
    </row>
    <row r="358" ht="14.25" customHeight="1" spans="1:26">
      <c r="A358" s="237"/>
      <c r="B358" s="237"/>
      <c r="C358" s="237"/>
      <c r="D358" s="237"/>
      <c r="E358" s="237"/>
      <c r="F358" s="237"/>
      <c r="G358" s="237"/>
      <c r="H358" s="237"/>
      <c r="I358" s="237"/>
      <c r="J358" s="237"/>
      <c r="K358" s="237"/>
      <c r="L358" s="237"/>
      <c r="M358" s="237"/>
      <c r="N358" s="237"/>
      <c r="O358" s="237"/>
      <c r="P358" s="237"/>
      <c r="Q358" s="237"/>
      <c r="R358" s="237"/>
      <c r="S358" s="237"/>
      <c r="T358" s="237"/>
      <c r="U358" s="237"/>
      <c r="V358" s="237"/>
      <c r="W358" s="237"/>
      <c r="X358" s="237"/>
      <c r="Y358" s="237"/>
      <c r="Z358" s="237"/>
    </row>
    <row r="359" ht="14.25" customHeight="1" spans="1:26">
      <c r="A359" s="237"/>
      <c r="B359" s="237"/>
      <c r="C359" s="237"/>
      <c r="D359" s="237"/>
      <c r="E359" s="237"/>
      <c r="F359" s="237"/>
      <c r="G359" s="237"/>
      <c r="H359" s="237"/>
      <c r="I359" s="237"/>
      <c r="J359" s="237"/>
      <c r="K359" s="237"/>
      <c r="L359" s="237"/>
      <c r="M359" s="237"/>
      <c r="N359" s="237"/>
      <c r="O359" s="237"/>
      <c r="P359" s="237"/>
      <c r="Q359" s="237"/>
      <c r="R359" s="237"/>
      <c r="S359" s="237"/>
      <c r="T359" s="237"/>
      <c r="U359" s="237"/>
      <c r="V359" s="237"/>
      <c r="W359" s="237"/>
      <c r="X359" s="237"/>
      <c r="Y359" s="237"/>
      <c r="Z359" s="237"/>
    </row>
    <row r="360" ht="14.25" customHeight="1" spans="1:26">
      <c r="A360" s="237"/>
      <c r="B360" s="237"/>
      <c r="C360" s="237"/>
      <c r="D360" s="237"/>
      <c r="E360" s="237"/>
      <c r="F360" s="237"/>
      <c r="G360" s="237"/>
      <c r="H360" s="237"/>
      <c r="I360" s="237"/>
      <c r="J360" s="237"/>
      <c r="K360" s="237"/>
      <c r="L360" s="237"/>
      <c r="M360" s="237"/>
      <c r="N360" s="237"/>
      <c r="O360" s="237"/>
      <c r="P360" s="237"/>
      <c r="Q360" s="237"/>
      <c r="R360" s="237"/>
      <c r="S360" s="237"/>
      <c r="T360" s="237"/>
      <c r="U360" s="237"/>
      <c r="V360" s="237"/>
      <c r="W360" s="237"/>
      <c r="X360" s="237"/>
      <c r="Y360" s="237"/>
      <c r="Z360" s="237"/>
    </row>
    <row r="361" ht="14.25" customHeight="1" spans="1:26">
      <c r="A361" s="237"/>
      <c r="B361" s="237"/>
      <c r="C361" s="237"/>
      <c r="D361" s="237"/>
      <c r="E361" s="237"/>
      <c r="F361" s="237"/>
      <c r="G361" s="237"/>
      <c r="H361" s="237"/>
      <c r="I361" s="237"/>
      <c r="J361" s="237"/>
      <c r="K361" s="237"/>
      <c r="L361" s="237"/>
      <c r="M361" s="237"/>
      <c r="N361" s="237"/>
      <c r="O361" s="237"/>
      <c r="P361" s="237"/>
      <c r="Q361" s="237"/>
      <c r="R361" s="237"/>
      <c r="S361" s="237"/>
      <c r="T361" s="237"/>
      <c r="U361" s="237"/>
      <c r="V361" s="237"/>
      <c r="W361" s="237"/>
      <c r="X361" s="237"/>
      <c r="Y361" s="237"/>
      <c r="Z361" s="237"/>
    </row>
    <row r="362" ht="14.25" customHeight="1" spans="1:26">
      <c r="A362" s="237"/>
      <c r="B362" s="237"/>
      <c r="C362" s="237"/>
      <c r="D362" s="237"/>
      <c r="E362" s="237"/>
      <c r="F362" s="237"/>
      <c r="G362" s="237"/>
      <c r="H362" s="237"/>
      <c r="I362" s="237"/>
      <c r="J362" s="237"/>
      <c r="K362" s="237"/>
      <c r="L362" s="237"/>
      <c r="M362" s="237"/>
      <c r="N362" s="237"/>
      <c r="O362" s="237"/>
      <c r="P362" s="237"/>
      <c r="Q362" s="237"/>
      <c r="R362" s="237"/>
      <c r="S362" s="237"/>
      <c r="T362" s="237"/>
      <c r="U362" s="237"/>
      <c r="V362" s="237"/>
      <c r="W362" s="237"/>
      <c r="X362" s="237"/>
      <c r="Y362" s="237"/>
      <c r="Z362" s="237"/>
    </row>
    <row r="363" ht="14.25" customHeight="1" spans="1:26">
      <c r="A363" s="237"/>
      <c r="B363" s="237"/>
      <c r="C363" s="237"/>
      <c r="D363" s="237"/>
      <c r="E363" s="237"/>
      <c r="F363" s="237"/>
      <c r="G363" s="237"/>
      <c r="H363" s="237"/>
      <c r="I363" s="237"/>
      <c r="J363" s="237"/>
      <c r="K363" s="237"/>
      <c r="L363" s="237"/>
      <c r="M363" s="237"/>
      <c r="N363" s="237"/>
      <c r="O363" s="237"/>
      <c r="P363" s="237"/>
      <c r="Q363" s="237"/>
      <c r="R363" s="237"/>
      <c r="S363" s="237"/>
      <c r="T363" s="237"/>
      <c r="U363" s="237"/>
      <c r="V363" s="237"/>
      <c r="W363" s="237"/>
      <c r="X363" s="237"/>
      <c r="Y363" s="237"/>
      <c r="Z363" s="237"/>
    </row>
    <row r="364" ht="14.25" customHeight="1" spans="1:26">
      <c r="A364" s="237"/>
      <c r="B364" s="237"/>
      <c r="C364" s="237"/>
      <c r="D364" s="237"/>
      <c r="E364" s="237"/>
      <c r="F364" s="237"/>
      <c r="G364" s="237"/>
      <c r="H364" s="237"/>
      <c r="I364" s="237"/>
      <c r="J364" s="237"/>
      <c r="K364" s="237"/>
      <c r="L364" s="237"/>
      <c r="M364" s="237"/>
      <c r="N364" s="237"/>
      <c r="O364" s="237"/>
      <c r="P364" s="237"/>
      <c r="Q364" s="237"/>
      <c r="R364" s="237"/>
      <c r="S364" s="237"/>
      <c r="T364" s="237"/>
      <c r="U364" s="237"/>
      <c r="V364" s="237"/>
      <c r="W364" s="237"/>
      <c r="X364" s="237"/>
      <c r="Y364" s="237"/>
      <c r="Z364" s="237"/>
    </row>
    <row r="365" ht="14.25" customHeight="1" spans="1:26">
      <c r="A365" s="237"/>
      <c r="B365" s="237"/>
      <c r="C365" s="237"/>
      <c r="D365" s="237"/>
      <c r="E365" s="237"/>
      <c r="F365" s="237"/>
      <c r="G365" s="237"/>
      <c r="H365" s="237"/>
      <c r="I365" s="237"/>
      <c r="J365" s="237"/>
      <c r="K365" s="237"/>
      <c r="L365" s="237"/>
      <c r="M365" s="237"/>
      <c r="N365" s="237"/>
      <c r="O365" s="237"/>
      <c r="P365" s="237"/>
      <c r="Q365" s="237"/>
      <c r="R365" s="237"/>
      <c r="S365" s="237"/>
      <c r="T365" s="237"/>
      <c r="U365" s="237"/>
      <c r="V365" s="237"/>
      <c r="W365" s="237"/>
      <c r="X365" s="237"/>
      <c r="Y365" s="237"/>
      <c r="Z365" s="237"/>
    </row>
    <row r="366" ht="14.25" customHeight="1" spans="1:26">
      <c r="A366" s="237"/>
      <c r="B366" s="237"/>
      <c r="C366" s="237"/>
      <c r="D366" s="237"/>
      <c r="E366" s="237"/>
      <c r="F366" s="237"/>
      <c r="G366" s="237"/>
      <c r="H366" s="237"/>
      <c r="I366" s="237"/>
      <c r="J366" s="237"/>
      <c r="K366" s="237"/>
      <c r="L366" s="237"/>
      <c r="M366" s="237"/>
      <c r="N366" s="237"/>
      <c r="O366" s="237"/>
      <c r="P366" s="237"/>
      <c r="Q366" s="237"/>
      <c r="R366" s="237"/>
      <c r="S366" s="237"/>
      <c r="T366" s="237"/>
      <c r="U366" s="237"/>
      <c r="V366" s="237"/>
      <c r="W366" s="237"/>
      <c r="X366" s="237"/>
      <c r="Y366" s="237"/>
      <c r="Z366" s="237"/>
    </row>
    <row r="367" ht="14.25" customHeight="1" spans="1:26">
      <c r="A367" s="237"/>
      <c r="B367" s="237"/>
      <c r="C367" s="237"/>
      <c r="D367" s="237"/>
      <c r="E367" s="237"/>
      <c r="F367" s="237"/>
      <c r="G367" s="237"/>
      <c r="H367" s="237"/>
      <c r="I367" s="237"/>
      <c r="J367" s="237"/>
      <c r="K367" s="237"/>
      <c r="L367" s="237"/>
      <c r="M367" s="237"/>
      <c r="N367" s="237"/>
      <c r="O367" s="237"/>
      <c r="P367" s="237"/>
      <c r="Q367" s="237"/>
      <c r="R367" s="237"/>
      <c r="S367" s="237"/>
      <c r="T367" s="237"/>
      <c r="U367" s="237"/>
      <c r="V367" s="237"/>
      <c r="W367" s="237"/>
      <c r="X367" s="237"/>
      <c r="Y367" s="237"/>
      <c r="Z367" s="237"/>
    </row>
    <row r="368" ht="14.25" customHeight="1" spans="1:26">
      <c r="A368" s="237"/>
      <c r="B368" s="237"/>
      <c r="C368" s="237"/>
      <c r="D368" s="237"/>
      <c r="E368" s="237"/>
      <c r="F368" s="237"/>
      <c r="G368" s="237"/>
      <c r="H368" s="237"/>
      <c r="I368" s="237"/>
      <c r="J368" s="237"/>
      <c r="K368" s="237"/>
      <c r="L368" s="237"/>
      <c r="M368" s="237"/>
      <c r="N368" s="237"/>
      <c r="O368" s="237"/>
      <c r="P368" s="237"/>
      <c r="Q368" s="237"/>
      <c r="R368" s="237"/>
      <c r="S368" s="237"/>
      <c r="T368" s="237"/>
      <c r="U368" s="237"/>
      <c r="V368" s="237"/>
      <c r="W368" s="237"/>
      <c r="X368" s="237"/>
      <c r="Y368" s="237"/>
      <c r="Z368" s="237"/>
    </row>
    <row r="369" ht="14.25" customHeight="1" spans="1:26">
      <c r="A369" s="237"/>
      <c r="B369" s="237"/>
      <c r="C369" s="237"/>
      <c r="D369" s="237"/>
      <c r="E369" s="237"/>
      <c r="F369" s="237"/>
      <c r="G369" s="237"/>
      <c r="H369" s="237"/>
      <c r="I369" s="237"/>
      <c r="J369" s="237"/>
      <c r="K369" s="237"/>
      <c r="L369" s="237"/>
      <c r="M369" s="237"/>
      <c r="N369" s="237"/>
      <c r="O369" s="237"/>
      <c r="P369" s="237"/>
      <c r="Q369" s="237"/>
      <c r="R369" s="237"/>
      <c r="S369" s="237"/>
      <c r="T369" s="237"/>
      <c r="U369" s="237"/>
      <c r="V369" s="237"/>
      <c r="W369" s="237"/>
      <c r="X369" s="237"/>
      <c r="Y369" s="237"/>
      <c r="Z369" s="237"/>
    </row>
    <row r="370" ht="14.25" customHeight="1" spans="1:26">
      <c r="A370" s="237"/>
      <c r="B370" s="237"/>
      <c r="C370" s="237"/>
      <c r="D370" s="237"/>
      <c r="E370" s="237"/>
      <c r="F370" s="237"/>
      <c r="G370" s="237"/>
      <c r="H370" s="237"/>
      <c r="I370" s="237"/>
      <c r="J370" s="237"/>
      <c r="K370" s="237"/>
      <c r="L370" s="237"/>
      <c r="M370" s="237"/>
      <c r="N370" s="237"/>
      <c r="O370" s="237"/>
      <c r="P370" s="237"/>
      <c r="Q370" s="237"/>
      <c r="R370" s="237"/>
      <c r="S370" s="237"/>
      <c r="T370" s="237"/>
      <c r="U370" s="237"/>
      <c r="V370" s="237"/>
      <c r="W370" s="237"/>
      <c r="X370" s="237"/>
      <c r="Y370" s="237"/>
      <c r="Z370" s="237"/>
    </row>
    <row r="371" ht="14.25" customHeight="1" spans="1:26">
      <c r="A371" s="237"/>
      <c r="B371" s="237"/>
      <c r="C371" s="237"/>
      <c r="D371" s="237"/>
      <c r="E371" s="237"/>
      <c r="F371" s="237"/>
      <c r="G371" s="237"/>
      <c r="H371" s="237"/>
      <c r="I371" s="237"/>
      <c r="J371" s="237"/>
      <c r="K371" s="237"/>
      <c r="L371" s="237"/>
      <c r="M371" s="237"/>
      <c r="N371" s="237"/>
      <c r="O371" s="237"/>
      <c r="P371" s="237"/>
      <c r="Q371" s="237"/>
      <c r="R371" s="237"/>
      <c r="S371" s="237"/>
      <c r="T371" s="237"/>
      <c r="U371" s="237"/>
      <c r="V371" s="237"/>
      <c r="W371" s="237"/>
      <c r="X371" s="237"/>
      <c r="Y371" s="237"/>
      <c r="Z371" s="237"/>
    </row>
    <row r="372" ht="14.25" customHeight="1" spans="1:26">
      <c r="A372" s="237"/>
      <c r="B372" s="237"/>
      <c r="C372" s="237"/>
      <c r="D372" s="237"/>
      <c r="E372" s="237"/>
      <c r="F372" s="237"/>
      <c r="G372" s="237"/>
      <c r="H372" s="237"/>
      <c r="I372" s="237"/>
      <c r="J372" s="237"/>
      <c r="K372" s="237"/>
      <c r="L372" s="237"/>
      <c r="M372" s="237"/>
      <c r="N372" s="237"/>
      <c r="O372" s="237"/>
      <c r="P372" s="237"/>
      <c r="Q372" s="237"/>
      <c r="R372" s="237"/>
      <c r="S372" s="237"/>
      <c r="T372" s="237"/>
      <c r="U372" s="237"/>
      <c r="V372" s="237"/>
      <c r="W372" s="237"/>
      <c r="X372" s="237"/>
      <c r="Y372" s="237"/>
      <c r="Z372" s="237"/>
    </row>
    <row r="373" ht="14.25" customHeight="1" spans="1:26">
      <c r="A373" s="237"/>
      <c r="B373" s="237"/>
      <c r="C373" s="237"/>
      <c r="D373" s="237"/>
      <c r="E373" s="237"/>
      <c r="F373" s="237"/>
      <c r="G373" s="237"/>
      <c r="H373" s="237"/>
      <c r="I373" s="237"/>
      <c r="J373" s="237"/>
      <c r="K373" s="237"/>
      <c r="L373" s="237"/>
      <c r="M373" s="237"/>
      <c r="N373" s="237"/>
      <c r="O373" s="237"/>
      <c r="P373" s="237"/>
      <c r="Q373" s="237"/>
      <c r="R373" s="237"/>
      <c r="S373" s="237"/>
      <c r="T373" s="237"/>
      <c r="U373" s="237"/>
      <c r="V373" s="237"/>
      <c r="W373" s="237"/>
      <c r="X373" s="237"/>
      <c r="Y373" s="237"/>
      <c r="Z373" s="237"/>
    </row>
    <row r="374" ht="14.25" customHeight="1" spans="1:26">
      <c r="A374" s="237"/>
      <c r="B374" s="237"/>
      <c r="C374" s="237"/>
      <c r="D374" s="237"/>
      <c r="E374" s="237"/>
      <c r="F374" s="237"/>
      <c r="G374" s="237"/>
      <c r="H374" s="237"/>
      <c r="I374" s="237"/>
      <c r="J374" s="237"/>
      <c r="K374" s="237"/>
      <c r="L374" s="237"/>
      <c r="M374" s="237"/>
      <c r="N374" s="237"/>
      <c r="O374" s="237"/>
      <c r="P374" s="237"/>
      <c r="Q374" s="237"/>
      <c r="R374" s="237"/>
      <c r="S374" s="237"/>
      <c r="T374" s="237"/>
      <c r="U374" s="237"/>
      <c r="V374" s="237"/>
      <c r="W374" s="237"/>
      <c r="X374" s="237"/>
      <c r="Y374" s="237"/>
      <c r="Z374" s="237"/>
    </row>
    <row r="375" ht="14.25" customHeight="1" spans="1:26">
      <c r="A375" s="237"/>
      <c r="B375" s="237"/>
      <c r="C375" s="237"/>
      <c r="D375" s="237"/>
      <c r="E375" s="237"/>
      <c r="F375" s="237"/>
      <c r="G375" s="237"/>
      <c r="H375" s="237"/>
      <c r="I375" s="237"/>
      <c r="J375" s="237"/>
      <c r="K375" s="237"/>
      <c r="L375" s="237"/>
      <c r="M375" s="237"/>
      <c r="N375" s="237"/>
      <c r="O375" s="237"/>
      <c r="P375" s="237"/>
      <c r="Q375" s="237"/>
      <c r="R375" s="237"/>
      <c r="S375" s="237"/>
      <c r="T375" s="237"/>
      <c r="U375" s="237"/>
      <c r="V375" s="237"/>
      <c r="W375" s="237"/>
      <c r="X375" s="237"/>
      <c r="Y375" s="237"/>
      <c r="Z375" s="237"/>
    </row>
    <row r="376" ht="14.25" customHeight="1" spans="1:26">
      <c r="A376" s="237"/>
      <c r="B376" s="237"/>
      <c r="C376" s="237"/>
      <c r="D376" s="237"/>
      <c r="E376" s="237"/>
      <c r="F376" s="237"/>
      <c r="G376" s="237"/>
      <c r="H376" s="237"/>
      <c r="I376" s="237"/>
      <c r="J376" s="237"/>
      <c r="K376" s="237"/>
      <c r="L376" s="237"/>
      <c r="M376" s="237"/>
      <c r="N376" s="237"/>
      <c r="O376" s="237"/>
      <c r="P376" s="237"/>
      <c r="Q376" s="237"/>
      <c r="R376" s="237"/>
      <c r="S376" s="237"/>
      <c r="T376" s="237"/>
      <c r="U376" s="237"/>
      <c r="V376" s="237"/>
      <c r="W376" s="237"/>
      <c r="X376" s="237"/>
      <c r="Y376" s="237"/>
      <c r="Z376" s="237"/>
    </row>
    <row r="377" ht="14.25" customHeight="1" spans="1:26">
      <c r="A377" s="237"/>
      <c r="B377" s="237"/>
      <c r="C377" s="237"/>
      <c r="D377" s="237"/>
      <c r="E377" s="237"/>
      <c r="F377" s="237"/>
      <c r="G377" s="237"/>
      <c r="H377" s="237"/>
      <c r="I377" s="237"/>
      <c r="J377" s="237"/>
      <c r="K377" s="237"/>
      <c r="L377" s="237"/>
      <c r="M377" s="237"/>
      <c r="N377" s="237"/>
      <c r="O377" s="237"/>
      <c r="P377" s="237"/>
      <c r="Q377" s="237"/>
      <c r="R377" s="237"/>
      <c r="S377" s="237"/>
      <c r="T377" s="237"/>
      <c r="U377" s="237"/>
      <c r="V377" s="237"/>
      <c r="W377" s="237"/>
      <c r="X377" s="237"/>
      <c r="Y377" s="237"/>
      <c r="Z377" s="237"/>
    </row>
    <row r="378" ht="14.25" customHeight="1" spans="1:26">
      <c r="A378" s="237"/>
      <c r="B378" s="237"/>
      <c r="C378" s="237"/>
      <c r="D378" s="237"/>
      <c r="E378" s="237"/>
      <c r="F378" s="237"/>
      <c r="G378" s="237"/>
      <c r="H378" s="237"/>
      <c r="I378" s="237"/>
      <c r="J378" s="237"/>
      <c r="K378" s="237"/>
      <c r="L378" s="237"/>
      <c r="M378" s="237"/>
      <c r="N378" s="237"/>
      <c r="O378" s="237"/>
      <c r="P378" s="237"/>
      <c r="Q378" s="237"/>
      <c r="R378" s="237"/>
      <c r="S378" s="237"/>
      <c r="T378" s="237"/>
      <c r="U378" s="237"/>
      <c r="V378" s="237"/>
      <c r="W378" s="237"/>
      <c r="X378" s="237"/>
      <c r="Y378" s="237"/>
      <c r="Z378" s="237"/>
    </row>
    <row r="379" ht="14.25" customHeight="1" spans="1:26">
      <c r="A379" s="237"/>
      <c r="B379" s="237"/>
      <c r="C379" s="237"/>
      <c r="D379" s="237"/>
      <c r="E379" s="237"/>
      <c r="F379" s="237"/>
      <c r="G379" s="237"/>
      <c r="H379" s="237"/>
      <c r="I379" s="237"/>
      <c r="J379" s="237"/>
      <c r="K379" s="237"/>
      <c r="L379" s="237"/>
      <c r="M379" s="237"/>
      <c r="N379" s="237"/>
      <c r="O379" s="237"/>
      <c r="P379" s="237"/>
      <c r="Q379" s="237"/>
      <c r="R379" s="237"/>
      <c r="S379" s="237"/>
      <c r="T379" s="237"/>
      <c r="U379" s="237"/>
      <c r="V379" s="237"/>
      <c r="W379" s="237"/>
      <c r="X379" s="237"/>
      <c r="Y379" s="237"/>
      <c r="Z379" s="237"/>
    </row>
    <row r="380" ht="14.25" customHeight="1" spans="1:26">
      <c r="A380" s="237"/>
      <c r="B380" s="237"/>
      <c r="C380" s="237"/>
      <c r="D380" s="237"/>
      <c r="E380" s="237"/>
      <c r="F380" s="237"/>
      <c r="G380" s="237"/>
      <c r="H380" s="237"/>
      <c r="I380" s="237"/>
      <c r="J380" s="237"/>
      <c r="K380" s="237"/>
      <c r="L380" s="237"/>
      <c r="M380" s="237"/>
      <c r="N380" s="237"/>
      <c r="O380" s="237"/>
      <c r="P380" s="237"/>
      <c r="Q380" s="237"/>
      <c r="R380" s="237"/>
      <c r="S380" s="237"/>
      <c r="T380" s="237"/>
      <c r="U380" s="237"/>
      <c r="V380" s="237"/>
      <c r="W380" s="237"/>
      <c r="X380" s="237"/>
      <c r="Y380" s="237"/>
      <c r="Z380" s="237"/>
    </row>
    <row r="381" ht="14.25" customHeight="1" spans="1:26">
      <c r="A381" s="237"/>
      <c r="B381" s="237"/>
      <c r="C381" s="237"/>
      <c r="D381" s="237"/>
      <c r="E381" s="237"/>
      <c r="F381" s="237"/>
      <c r="G381" s="237"/>
      <c r="H381" s="237"/>
      <c r="I381" s="237"/>
      <c r="J381" s="237"/>
      <c r="K381" s="237"/>
      <c r="L381" s="237"/>
      <c r="M381" s="237"/>
      <c r="N381" s="237"/>
      <c r="O381" s="237"/>
      <c r="P381" s="237"/>
      <c r="Q381" s="237"/>
      <c r="R381" s="237"/>
      <c r="S381" s="237"/>
      <c r="T381" s="237"/>
      <c r="U381" s="237"/>
      <c r="V381" s="237"/>
      <c r="W381" s="237"/>
      <c r="X381" s="237"/>
      <c r="Y381" s="237"/>
      <c r="Z381" s="237"/>
    </row>
    <row r="382" ht="14.25" customHeight="1" spans="1:26">
      <c r="A382" s="237"/>
      <c r="B382" s="237"/>
      <c r="C382" s="237"/>
      <c r="D382" s="237"/>
      <c r="E382" s="237"/>
      <c r="F382" s="237"/>
      <c r="G382" s="237"/>
      <c r="H382" s="237"/>
      <c r="I382" s="237"/>
      <c r="J382" s="237"/>
      <c r="K382" s="237"/>
      <c r="L382" s="237"/>
      <c r="M382" s="237"/>
      <c r="N382" s="237"/>
      <c r="O382" s="237"/>
      <c r="P382" s="237"/>
      <c r="Q382" s="237"/>
      <c r="R382" s="237"/>
      <c r="S382" s="237"/>
      <c r="T382" s="237"/>
      <c r="U382" s="237"/>
      <c r="V382" s="237"/>
      <c r="W382" s="237"/>
      <c r="X382" s="237"/>
      <c r="Y382" s="237"/>
      <c r="Z382" s="237"/>
    </row>
    <row r="383" ht="14.25" customHeight="1" spans="1:26">
      <c r="A383" s="237"/>
      <c r="B383" s="237"/>
      <c r="C383" s="237"/>
      <c r="D383" s="237"/>
      <c r="E383" s="237"/>
      <c r="F383" s="237"/>
      <c r="G383" s="237"/>
      <c r="H383" s="237"/>
      <c r="I383" s="237"/>
      <c r="J383" s="237"/>
      <c r="K383" s="237"/>
      <c r="L383" s="237"/>
      <c r="M383" s="237"/>
      <c r="N383" s="237"/>
      <c r="O383" s="237"/>
      <c r="P383" s="237"/>
      <c r="Q383" s="237"/>
      <c r="R383" s="237"/>
      <c r="S383" s="237"/>
      <c r="T383" s="237"/>
      <c r="U383" s="237"/>
      <c r="V383" s="237"/>
      <c r="W383" s="237"/>
      <c r="X383" s="237"/>
      <c r="Y383" s="237"/>
      <c r="Z383" s="237"/>
    </row>
    <row r="384" ht="14.25" customHeight="1" spans="1:26">
      <c r="A384" s="237"/>
      <c r="B384" s="237"/>
      <c r="C384" s="237"/>
      <c r="D384" s="237"/>
      <c r="E384" s="237"/>
      <c r="F384" s="237"/>
      <c r="G384" s="237"/>
      <c r="H384" s="237"/>
      <c r="I384" s="237"/>
      <c r="J384" s="237"/>
      <c r="K384" s="237"/>
      <c r="L384" s="237"/>
      <c r="M384" s="237"/>
      <c r="N384" s="237"/>
      <c r="O384" s="237"/>
      <c r="P384" s="237"/>
      <c r="Q384" s="237"/>
      <c r="R384" s="237"/>
      <c r="S384" s="237"/>
      <c r="T384" s="237"/>
      <c r="U384" s="237"/>
      <c r="V384" s="237"/>
      <c r="W384" s="237"/>
      <c r="X384" s="237"/>
      <c r="Y384" s="237"/>
      <c r="Z384" s="237"/>
    </row>
    <row r="385" ht="14.25" customHeight="1" spans="1:26">
      <c r="A385" s="237"/>
      <c r="B385" s="237"/>
      <c r="C385" s="237"/>
      <c r="D385" s="237"/>
      <c r="E385" s="237"/>
      <c r="F385" s="237"/>
      <c r="G385" s="237"/>
      <c r="H385" s="237"/>
      <c r="I385" s="237"/>
      <c r="J385" s="237"/>
      <c r="K385" s="237"/>
      <c r="L385" s="237"/>
      <c r="M385" s="237"/>
      <c r="N385" s="237"/>
      <c r="O385" s="237"/>
      <c r="P385" s="237"/>
      <c r="Q385" s="237"/>
      <c r="R385" s="237"/>
      <c r="S385" s="237"/>
      <c r="T385" s="237"/>
      <c r="U385" s="237"/>
      <c r="V385" s="237"/>
      <c r="W385" s="237"/>
      <c r="X385" s="237"/>
      <c r="Y385" s="237"/>
      <c r="Z385" s="237"/>
    </row>
    <row r="386" ht="14.25" customHeight="1" spans="1:26">
      <c r="A386" s="237"/>
      <c r="B386" s="237"/>
      <c r="C386" s="237"/>
      <c r="D386" s="237"/>
      <c r="E386" s="237"/>
      <c r="F386" s="237"/>
      <c r="G386" s="237"/>
      <c r="H386" s="237"/>
      <c r="I386" s="237"/>
      <c r="J386" s="237"/>
      <c r="K386" s="237"/>
      <c r="L386" s="237"/>
      <c r="M386" s="237"/>
      <c r="N386" s="237"/>
      <c r="O386" s="237"/>
      <c r="P386" s="237"/>
      <c r="Q386" s="237"/>
      <c r="R386" s="237"/>
      <c r="S386" s="237"/>
      <c r="T386" s="237"/>
      <c r="U386" s="237"/>
      <c r="V386" s="237"/>
      <c r="W386" s="237"/>
      <c r="X386" s="237"/>
      <c r="Y386" s="237"/>
      <c r="Z386" s="237"/>
    </row>
    <row r="387" ht="14.25" customHeight="1" spans="1:26">
      <c r="A387" s="237"/>
      <c r="B387" s="237"/>
      <c r="C387" s="237"/>
      <c r="D387" s="237"/>
      <c r="E387" s="237"/>
      <c r="F387" s="237"/>
      <c r="G387" s="237"/>
      <c r="H387" s="237"/>
      <c r="I387" s="237"/>
      <c r="J387" s="237"/>
      <c r="K387" s="237"/>
      <c r="L387" s="237"/>
      <c r="M387" s="237"/>
      <c r="N387" s="237"/>
      <c r="O387" s="237"/>
      <c r="P387" s="237"/>
      <c r="Q387" s="237"/>
      <c r="R387" s="237"/>
      <c r="S387" s="237"/>
      <c r="T387" s="237"/>
      <c r="U387" s="237"/>
      <c r="V387" s="237"/>
      <c r="W387" s="237"/>
      <c r="X387" s="237"/>
      <c r="Y387" s="237"/>
      <c r="Z387" s="237"/>
    </row>
    <row r="388" ht="14.25" customHeight="1" spans="1:26">
      <c r="A388" s="237"/>
      <c r="B388" s="237"/>
      <c r="C388" s="237"/>
      <c r="D388" s="237"/>
      <c r="E388" s="237"/>
      <c r="F388" s="237"/>
      <c r="G388" s="237"/>
      <c r="H388" s="237"/>
      <c r="I388" s="237"/>
      <c r="J388" s="237"/>
      <c r="K388" s="237"/>
      <c r="L388" s="237"/>
      <c r="M388" s="237"/>
      <c r="N388" s="237"/>
      <c r="O388" s="237"/>
      <c r="P388" s="237"/>
      <c r="Q388" s="237"/>
      <c r="R388" s="237"/>
      <c r="S388" s="237"/>
      <c r="T388" s="237"/>
      <c r="U388" s="237"/>
      <c r="V388" s="237"/>
      <c r="W388" s="237"/>
      <c r="X388" s="237"/>
      <c r="Y388" s="237"/>
      <c r="Z388" s="237"/>
    </row>
    <row r="389" ht="14.25" customHeight="1" spans="1:26">
      <c r="A389" s="237"/>
      <c r="B389" s="237"/>
      <c r="C389" s="237"/>
      <c r="D389" s="237"/>
      <c r="E389" s="237"/>
      <c r="F389" s="237"/>
      <c r="G389" s="237"/>
      <c r="H389" s="237"/>
      <c r="I389" s="237"/>
      <c r="J389" s="237"/>
      <c r="K389" s="237"/>
      <c r="L389" s="237"/>
      <c r="M389" s="237"/>
      <c r="N389" s="237"/>
      <c r="O389" s="237"/>
      <c r="P389" s="237"/>
      <c r="Q389" s="237"/>
      <c r="R389" s="237"/>
      <c r="S389" s="237"/>
      <c r="T389" s="237"/>
      <c r="U389" s="237"/>
      <c r="V389" s="237"/>
      <c r="W389" s="237"/>
      <c r="X389" s="237"/>
      <c r="Y389" s="237"/>
      <c r="Z389" s="237"/>
    </row>
    <row r="390" ht="14.25" customHeight="1" spans="1:26">
      <c r="A390" s="237"/>
      <c r="B390" s="237"/>
      <c r="C390" s="237"/>
      <c r="D390" s="237"/>
      <c r="E390" s="237"/>
      <c r="F390" s="237"/>
      <c r="G390" s="237"/>
      <c r="H390" s="237"/>
      <c r="I390" s="237"/>
      <c r="J390" s="237"/>
      <c r="K390" s="237"/>
      <c r="L390" s="237"/>
      <c r="M390" s="237"/>
      <c r="N390" s="237"/>
      <c r="O390" s="237"/>
      <c r="P390" s="237"/>
      <c r="Q390" s="237"/>
      <c r="R390" s="237"/>
      <c r="S390" s="237"/>
      <c r="T390" s="237"/>
      <c r="U390" s="237"/>
      <c r="V390" s="237"/>
      <c r="W390" s="237"/>
      <c r="X390" s="237"/>
      <c r="Y390" s="237"/>
      <c r="Z390" s="237"/>
    </row>
    <row r="391" ht="14.25" customHeight="1" spans="1:26">
      <c r="A391" s="237"/>
      <c r="B391" s="237"/>
      <c r="C391" s="237"/>
      <c r="D391" s="237"/>
      <c r="E391" s="237"/>
      <c r="F391" s="237"/>
      <c r="G391" s="237"/>
      <c r="H391" s="237"/>
      <c r="I391" s="237"/>
      <c r="J391" s="237"/>
      <c r="K391" s="237"/>
      <c r="L391" s="237"/>
      <c r="M391" s="237"/>
      <c r="N391" s="237"/>
      <c r="O391" s="237"/>
      <c r="P391" s="237"/>
      <c r="Q391" s="237"/>
      <c r="R391" s="237"/>
      <c r="S391" s="237"/>
      <c r="T391" s="237"/>
      <c r="U391" s="237"/>
      <c r="V391" s="237"/>
      <c r="W391" s="237"/>
      <c r="X391" s="237"/>
      <c r="Y391" s="237"/>
      <c r="Z391" s="237"/>
    </row>
    <row r="392" ht="14.25" customHeight="1" spans="1:26">
      <c r="A392" s="237"/>
      <c r="B392" s="237"/>
      <c r="C392" s="237"/>
      <c r="D392" s="237"/>
      <c r="E392" s="237"/>
      <c r="F392" s="237"/>
      <c r="G392" s="237"/>
      <c r="H392" s="237"/>
      <c r="I392" s="237"/>
      <c r="J392" s="237"/>
      <c r="K392" s="237"/>
      <c r="L392" s="237"/>
      <c r="M392" s="237"/>
      <c r="N392" s="237"/>
      <c r="O392" s="237"/>
      <c r="P392" s="237"/>
      <c r="Q392" s="237"/>
      <c r="R392" s="237"/>
      <c r="S392" s="237"/>
      <c r="T392" s="237"/>
      <c r="U392" s="237"/>
      <c r="V392" s="237"/>
      <c r="W392" s="237"/>
      <c r="X392" s="237"/>
      <c r="Y392" s="237"/>
      <c r="Z392" s="237"/>
    </row>
    <row r="393" ht="14.25" customHeight="1" spans="1:26">
      <c r="A393" s="237"/>
      <c r="B393" s="237"/>
      <c r="C393" s="237"/>
      <c r="D393" s="237"/>
      <c r="E393" s="237"/>
      <c r="F393" s="237"/>
      <c r="G393" s="237"/>
      <c r="H393" s="237"/>
      <c r="I393" s="237"/>
      <c r="J393" s="237"/>
      <c r="K393" s="237"/>
      <c r="L393" s="237"/>
      <c r="M393" s="237"/>
      <c r="N393" s="237"/>
      <c r="O393" s="237"/>
      <c r="P393" s="237"/>
      <c r="Q393" s="237"/>
      <c r="R393" s="237"/>
      <c r="S393" s="237"/>
      <c r="T393" s="237"/>
      <c r="U393" s="237"/>
      <c r="V393" s="237"/>
      <c r="W393" s="237"/>
      <c r="X393" s="237"/>
      <c r="Y393" s="237"/>
      <c r="Z393" s="237"/>
    </row>
    <row r="394" ht="14.25" customHeight="1" spans="1:26">
      <c r="A394" s="237"/>
      <c r="B394" s="237"/>
      <c r="C394" s="237"/>
      <c r="D394" s="237"/>
      <c r="E394" s="237"/>
      <c r="F394" s="237"/>
      <c r="G394" s="237"/>
      <c r="H394" s="237"/>
      <c r="I394" s="237"/>
      <c r="J394" s="237"/>
      <c r="K394" s="237"/>
      <c r="L394" s="237"/>
      <c r="M394" s="237"/>
      <c r="N394" s="237"/>
      <c r="O394" s="237"/>
      <c r="P394" s="237"/>
      <c r="Q394" s="237"/>
      <c r="R394" s="237"/>
      <c r="S394" s="237"/>
      <c r="T394" s="237"/>
      <c r="U394" s="237"/>
      <c r="V394" s="237"/>
      <c r="W394" s="237"/>
      <c r="X394" s="237"/>
      <c r="Y394" s="237"/>
      <c r="Z394" s="237"/>
    </row>
    <row r="395" ht="14.25" customHeight="1" spans="1:26">
      <c r="A395" s="237"/>
      <c r="B395" s="237"/>
      <c r="C395" s="237"/>
      <c r="D395" s="237"/>
      <c r="E395" s="237"/>
      <c r="F395" s="237"/>
      <c r="G395" s="237"/>
      <c r="H395" s="237"/>
      <c r="I395" s="237"/>
      <c r="J395" s="237"/>
      <c r="K395" s="237"/>
      <c r="L395" s="237"/>
      <c r="M395" s="237"/>
      <c r="N395" s="237"/>
      <c r="O395" s="237"/>
      <c r="P395" s="237"/>
      <c r="Q395" s="237"/>
      <c r="R395" s="237"/>
      <c r="S395" s="237"/>
      <c r="T395" s="237"/>
      <c r="U395" s="237"/>
      <c r="V395" s="237"/>
      <c r="W395" s="237"/>
      <c r="X395" s="237"/>
      <c r="Y395" s="237"/>
      <c r="Z395" s="237"/>
    </row>
    <row r="396" ht="14.25" customHeight="1" spans="1:26">
      <c r="A396" s="237"/>
      <c r="B396" s="237"/>
      <c r="C396" s="237"/>
      <c r="D396" s="237"/>
      <c r="E396" s="237"/>
      <c r="F396" s="237"/>
      <c r="G396" s="237"/>
      <c r="H396" s="237"/>
      <c r="I396" s="237"/>
      <c r="J396" s="237"/>
      <c r="K396" s="237"/>
      <c r="L396" s="237"/>
      <c r="M396" s="237"/>
      <c r="N396" s="237"/>
      <c r="O396" s="237"/>
      <c r="P396" s="237"/>
      <c r="Q396" s="237"/>
      <c r="R396" s="237"/>
      <c r="S396" s="237"/>
      <c r="T396" s="237"/>
      <c r="U396" s="237"/>
      <c r="V396" s="237"/>
      <c r="W396" s="237"/>
      <c r="X396" s="237"/>
      <c r="Y396" s="237"/>
      <c r="Z396" s="237"/>
    </row>
    <row r="397" ht="14.25" customHeight="1" spans="1:26">
      <c r="A397" s="237"/>
      <c r="B397" s="237"/>
      <c r="C397" s="237"/>
      <c r="D397" s="237"/>
      <c r="E397" s="237"/>
      <c r="F397" s="237"/>
      <c r="G397" s="237"/>
      <c r="H397" s="237"/>
      <c r="I397" s="237"/>
      <c r="J397" s="237"/>
      <c r="K397" s="237"/>
      <c r="L397" s="237"/>
      <c r="M397" s="237"/>
      <c r="N397" s="237"/>
      <c r="O397" s="237"/>
      <c r="P397" s="237"/>
      <c r="Q397" s="237"/>
      <c r="R397" s="237"/>
      <c r="S397" s="237"/>
      <c r="T397" s="237"/>
      <c r="U397" s="237"/>
      <c r="V397" s="237"/>
      <c r="W397" s="237"/>
      <c r="X397" s="237"/>
      <c r="Y397" s="237"/>
      <c r="Z397" s="237"/>
    </row>
    <row r="398" ht="14.25" customHeight="1" spans="1:26">
      <c r="A398" s="237"/>
      <c r="B398" s="237"/>
      <c r="C398" s="237"/>
      <c r="D398" s="237"/>
      <c r="E398" s="237"/>
      <c r="F398" s="237"/>
      <c r="G398" s="237"/>
      <c r="H398" s="237"/>
      <c r="I398" s="237"/>
      <c r="J398" s="237"/>
      <c r="K398" s="237"/>
      <c r="L398" s="237"/>
      <c r="M398" s="237"/>
      <c r="N398" s="237"/>
      <c r="O398" s="237"/>
      <c r="P398" s="237"/>
      <c r="Q398" s="237"/>
      <c r="R398" s="237"/>
      <c r="S398" s="237"/>
      <c r="T398" s="237"/>
      <c r="U398" s="237"/>
      <c r="V398" s="237"/>
      <c r="W398" s="237"/>
      <c r="X398" s="237"/>
      <c r="Y398" s="237"/>
      <c r="Z398" s="237"/>
    </row>
    <row r="399" ht="14.25" customHeight="1" spans="1:26">
      <c r="A399" s="237"/>
      <c r="B399" s="237"/>
      <c r="C399" s="237"/>
      <c r="D399" s="237"/>
      <c r="E399" s="237"/>
      <c r="F399" s="237"/>
      <c r="G399" s="237"/>
      <c r="H399" s="237"/>
      <c r="I399" s="237"/>
      <c r="J399" s="237"/>
      <c r="K399" s="237"/>
      <c r="L399" s="237"/>
      <c r="M399" s="237"/>
      <c r="N399" s="237"/>
      <c r="O399" s="237"/>
      <c r="P399" s="237"/>
      <c r="Q399" s="237"/>
      <c r="R399" s="237"/>
      <c r="S399" s="237"/>
      <c r="T399" s="237"/>
      <c r="U399" s="237"/>
      <c r="V399" s="237"/>
      <c r="W399" s="237"/>
      <c r="X399" s="237"/>
      <c r="Y399" s="237"/>
      <c r="Z399" s="237"/>
    </row>
    <row r="400" ht="14.25" customHeight="1" spans="1:26">
      <c r="A400" s="237"/>
      <c r="B400" s="237"/>
      <c r="C400" s="237"/>
      <c r="D400" s="237"/>
      <c r="E400" s="237"/>
      <c r="F400" s="237"/>
      <c r="G400" s="237"/>
      <c r="H400" s="237"/>
      <c r="I400" s="237"/>
      <c r="J400" s="237"/>
      <c r="K400" s="237"/>
      <c r="L400" s="237"/>
      <c r="M400" s="237"/>
      <c r="N400" s="237"/>
      <c r="O400" s="237"/>
      <c r="P400" s="237"/>
      <c r="Q400" s="237"/>
      <c r="R400" s="237"/>
      <c r="S400" s="237"/>
      <c r="T400" s="237"/>
      <c r="U400" s="237"/>
      <c r="V400" s="237"/>
      <c r="W400" s="237"/>
      <c r="X400" s="237"/>
      <c r="Y400" s="237"/>
      <c r="Z400" s="237"/>
    </row>
    <row r="401" ht="14.25" customHeight="1" spans="1:26">
      <c r="A401" s="237"/>
      <c r="B401" s="237"/>
      <c r="C401" s="237"/>
      <c r="D401" s="237"/>
      <c r="E401" s="237"/>
      <c r="F401" s="237"/>
      <c r="G401" s="237"/>
      <c r="H401" s="237"/>
      <c r="I401" s="237"/>
      <c r="J401" s="237"/>
      <c r="K401" s="237"/>
      <c r="L401" s="237"/>
      <c r="M401" s="237"/>
      <c r="N401" s="237"/>
      <c r="O401" s="237"/>
      <c r="P401" s="237"/>
      <c r="Q401" s="237"/>
      <c r="R401" s="237"/>
      <c r="S401" s="237"/>
      <c r="T401" s="237"/>
      <c r="U401" s="237"/>
      <c r="V401" s="237"/>
      <c r="W401" s="237"/>
      <c r="X401" s="237"/>
      <c r="Y401" s="237"/>
      <c r="Z401" s="237"/>
    </row>
    <row r="402" ht="14.25" customHeight="1" spans="1:26">
      <c r="A402" s="237"/>
      <c r="B402" s="237"/>
      <c r="C402" s="237"/>
      <c r="D402" s="237"/>
      <c r="E402" s="237"/>
      <c r="F402" s="237"/>
      <c r="G402" s="237"/>
      <c r="H402" s="237"/>
      <c r="I402" s="237"/>
      <c r="J402" s="237"/>
      <c r="K402" s="237"/>
      <c r="L402" s="237"/>
      <c r="M402" s="237"/>
      <c r="N402" s="237"/>
      <c r="O402" s="237"/>
      <c r="P402" s="237"/>
      <c r="Q402" s="237"/>
      <c r="R402" s="237"/>
      <c r="S402" s="237"/>
      <c r="T402" s="237"/>
      <c r="U402" s="237"/>
      <c r="V402" s="237"/>
      <c r="W402" s="237"/>
      <c r="X402" s="237"/>
      <c r="Y402" s="237"/>
      <c r="Z402" s="237"/>
    </row>
    <row r="403" ht="14.25" customHeight="1" spans="1:26">
      <c r="A403" s="237"/>
      <c r="B403" s="237"/>
      <c r="C403" s="237"/>
      <c r="D403" s="237"/>
      <c r="E403" s="237"/>
      <c r="F403" s="237"/>
      <c r="G403" s="237"/>
      <c r="H403" s="237"/>
      <c r="I403" s="237"/>
      <c r="J403" s="237"/>
      <c r="K403" s="237"/>
      <c r="L403" s="237"/>
      <c r="M403" s="237"/>
      <c r="N403" s="237"/>
      <c r="O403" s="237"/>
      <c r="P403" s="237"/>
      <c r="Q403" s="237"/>
      <c r="R403" s="237"/>
      <c r="S403" s="237"/>
      <c r="T403" s="237"/>
      <c r="U403" s="237"/>
      <c r="V403" s="237"/>
      <c r="W403" s="237"/>
      <c r="X403" s="237"/>
      <c r="Y403" s="237"/>
      <c r="Z403" s="237"/>
    </row>
    <row r="404" ht="14.25" customHeight="1" spans="1:26">
      <c r="A404" s="237"/>
      <c r="B404" s="237"/>
      <c r="C404" s="237"/>
      <c r="D404" s="237"/>
      <c r="E404" s="237"/>
      <c r="F404" s="237"/>
      <c r="G404" s="237"/>
      <c r="H404" s="237"/>
      <c r="I404" s="237"/>
      <c r="J404" s="237"/>
      <c r="K404" s="237"/>
      <c r="L404" s="237"/>
      <c r="M404" s="237"/>
      <c r="N404" s="237"/>
      <c r="O404" s="237"/>
      <c r="P404" s="237"/>
      <c r="Q404" s="237"/>
      <c r="R404" s="237"/>
      <c r="S404" s="237"/>
      <c r="T404" s="237"/>
      <c r="U404" s="237"/>
      <c r="V404" s="237"/>
      <c r="W404" s="237"/>
      <c r="X404" s="237"/>
      <c r="Y404" s="237"/>
      <c r="Z404" s="237"/>
    </row>
    <row r="405" ht="14.25" customHeight="1" spans="1:26">
      <c r="A405" s="237"/>
      <c r="B405" s="237"/>
      <c r="C405" s="237"/>
      <c r="D405" s="237"/>
      <c r="E405" s="237"/>
      <c r="F405" s="237"/>
      <c r="G405" s="237"/>
      <c r="H405" s="237"/>
      <c r="I405" s="237"/>
      <c r="J405" s="237"/>
      <c r="K405" s="237"/>
      <c r="L405" s="237"/>
      <c r="M405" s="237"/>
      <c r="N405" s="237"/>
      <c r="O405" s="237"/>
      <c r="P405" s="237"/>
      <c r="Q405" s="237"/>
      <c r="R405" s="237"/>
      <c r="S405" s="237"/>
      <c r="T405" s="237"/>
      <c r="U405" s="237"/>
      <c r="V405" s="237"/>
      <c r="W405" s="237"/>
      <c r="X405" s="237"/>
      <c r="Y405" s="237"/>
      <c r="Z405" s="237"/>
    </row>
    <row r="406" ht="14.25" customHeight="1" spans="1:26">
      <c r="A406" s="237"/>
      <c r="B406" s="237"/>
      <c r="C406" s="237"/>
      <c r="D406" s="237"/>
      <c r="E406" s="237"/>
      <c r="F406" s="237"/>
      <c r="G406" s="237"/>
      <c r="H406" s="237"/>
      <c r="I406" s="237"/>
      <c r="J406" s="237"/>
      <c r="K406" s="237"/>
      <c r="L406" s="237"/>
      <c r="M406" s="237"/>
      <c r="N406" s="237"/>
      <c r="O406" s="237"/>
      <c r="P406" s="237"/>
      <c r="Q406" s="237"/>
      <c r="R406" s="237"/>
      <c r="S406" s="237"/>
      <c r="T406" s="237"/>
      <c r="U406" s="237"/>
      <c r="V406" s="237"/>
      <c r="W406" s="237"/>
      <c r="X406" s="237"/>
      <c r="Y406" s="237"/>
      <c r="Z406" s="237"/>
    </row>
    <row r="407" ht="14.25" customHeight="1" spans="1:26">
      <c r="A407" s="237"/>
      <c r="B407" s="237"/>
      <c r="C407" s="237"/>
      <c r="D407" s="237"/>
      <c r="E407" s="237"/>
      <c r="F407" s="237"/>
      <c r="G407" s="237"/>
      <c r="H407" s="237"/>
      <c r="I407" s="237"/>
      <c r="J407" s="237"/>
      <c r="K407" s="237"/>
      <c r="L407" s="237"/>
      <c r="M407" s="237"/>
      <c r="N407" s="237"/>
      <c r="O407" s="237"/>
      <c r="P407" s="237"/>
      <c r="Q407" s="237"/>
      <c r="R407" s="237"/>
      <c r="S407" s="237"/>
      <c r="T407" s="237"/>
      <c r="U407" s="237"/>
      <c r="V407" s="237"/>
      <c r="W407" s="237"/>
      <c r="X407" s="237"/>
      <c r="Y407" s="237"/>
      <c r="Z407" s="237"/>
    </row>
    <row r="408" ht="14.25" customHeight="1" spans="1:26">
      <c r="A408" s="237"/>
      <c r="B408" s="237"/>
      <c r="C408" s="237"/>
      <c r="D408" s="237"/>
      <c r="E408" s="237"/>
      <c r="F408" s="237"/>
      <c r="G408" s="237"/>
      <c r="H408" s="237"/>
      <c r="I408" s="237"/>
      <c r="J408" s="237"/>
      <c r="K408" s="237"/>
      <c r="L408" s="237"/>
      <c r="M408" s="237"/>
      <c r="N408" s="237"/>
      <c r="O408" s="237"/>
      <c r="P408" s="237"/>
      <c r="Q408" s="237"/>
      <c r="R408" s="237"/>
      <c r="S408" s="237"/>
      <c r="T408" s="237"/>
      <c r="U408" s="237"/>
      <c r="V408" s="237"/>
      <c r="W408" s="237"/>
      <c r="X408" s="237"/>
      <c r="Y408" s="237"/>
      <c r="Z408" s="237"/>
    </row>
    <row r="409" ht="14.25" customHeight="1" spans="1:26">
      <c r="A409" s="237"/>
      <c r="B409" s="237"/>
      <c r="C409" s="237"/>
      <c r="D409" s="237"/>
      <c r="E409" s="237"/>
      <c r="F409" s="237"/>
      <c r="G409" s="237"/>
      <c r="H409" s="237"/>
      <c r="I409" s="237"/>
      <c r="J409" s="237"/>
      <c r="K409" s="237"/>
      <c r="L409" s="237"/>
      <c r="M409" s="237"/>
      <c r="N409" s="237"/>
      <c r="O409" s="237"/>
      <c r="P409" s="237"/>
      <c r="Q409" s="237"/>
      <c r="R409" s="237"/>
      <c r="S409" s="237"/>
      <c r="T409" s="237"/>
      <c r="U409" s="237"/>
      <c r="V409" s="237"/>
      <c r="W409" s="237"/>
      <c r="X409" s="237"/>
      <c r="Y409" s="237"/>
      <c r="Z409" s="237"/>
    </row>
    <row r="410" ht="14.25" customHeight="1" spans="1:26">
      <c r="A410" s="237"/>
      <c r="B410" s="237"/>
      <c r="C410" s="237"/>
      <c r="D410" s="237"/>
      <c r="E410" s="237"/>
      <c r="F410" s="237"/>
      <c r="G410" s="237"/>
      <c r="H410" s="237"/>
      <c r="I410" s="237"/>
      <c r="J410" s="237"/>
      <c r="K410" s="237"/>
      <c r="L410" s="237"/>
      <c r="M410" s="237"/>
      <c r="N410" s="237"/>
      <c r="O410" s="237"/>
      <c r="P410" s="237"/>
      <c r="Q410" s="237"/>
      <c r="R410" s="237"/>
      <c r="S410" s="237"/>
      <c r="T410" s="237"/>
      <c r="U410" s="237"/>
      <c r="V410" s="237"/>
      <c r="W410" s="237"/>
      <c r="X410" s="237"/>
      <c r="Y410" s="237"/>
      <c r="Z410" s="237"/>
    </row>
    <row r="411" ht="14.25" customHeight="1" spans="1:26">
      <c r="A411" s="237"/>
      <c r="B411" s="237"/>
      <c r="C411" s="237"/>
      <c r="D411" s="237"/>
      <c r="E411" s="237"/>
      <c r="F411" s="237"/>
      <c r="G411" s="237"/>
      <c r="H411" s="237"/>
      <c r="I411" s="237"/>
      <c r="J411" s="237"/>
      <c r="K411" s="237"/>
      <c r="L411" s="237"/>
      <c r="M411" s="237"/>
      <c r="N411" s="237"/>
      <c r="O411" s="237"/>
      <c r="P411" s="237"/>
      <c r="Q411" s="237"/>
      <c r="R411" s="237"/>
      <c r="S411" s="237"/>
      <c r="T411" s="237"/>
      <c r="U411" s="237"/>
      <c r="V411" s="237"/>
      <c r="W411" s="237"/>
      <c r="X411" s="237"/>
      <c r="Y411" s="237"/>
      <c r="Z411" s="237"/>
    </row>
    <row r="412" ht="14.25" customHeight="1" spans="1:26">
      <c r="A412" s="237"/>
      <c r="B412" s="237"/>
      <c r="C412" s="237"/>
      <c r="D412" s="237"/>
      <c r="E412" s="237"/>
      <c r="F412" s="237"/>
      <c r="G412" s="237"/>
      <c r="H412" s="237"/>
      <c r="I412" s="237"/>
      <c r="J412" s="237"/>
      <c r="K412" s="237"/>
      <c r="L412" s="237"/>
      <c r="M412" s="237"/>
      <c r="N412" s="237"/>
      <c r="O412" s="237"/>
      <c r="P412" s="237"/>
      <c r="Q412" s="237"/>
      <c r="R412" s="237"/>
      <c r="S412" s="237"/>
      <c r="T412" s="237"/>
      <c r="U412" s="237"/>
      <c r="V412" s="237"/>
      <c r="W412" s="237"/>
      <c r="X412" s="237"/>
      <c r="Y412" s="237"/>
      <c r="Z412" s="237"/>
    </row>
    <row r="413" ht="14.25" customHeight="1" spans="1:26">
      <c r="A413" s="237"/>
      <c r="B413" s="237"/>
      <c r="C413" s="237"/>
      <c r="D413" s="237"/>
      <c r="E413" s="237"/>
      <c r="F413" s="237"/>
      <c r="G413" s="237"/>
      <c r="H413" s="237"/>
      <c r="I413" s="237"/>
      <c r="J413" s="237"/>
      <c r="K413" s="237"/>
      <c r="L413" s="237"/>
      <c r="M413" s="237"/>
      <c r="N413" s="237"/>
      <c r="O413" s="237"/>
      <c r="P413" s="237"/>
      <c r="Q413" s="237"/>
      <c r="R413" s="237"/>
      <c r="S413" s="237"/>
      <c r="T413" s="237"/>
      <c r="U413" s="237"/>
      <c r="V413" s="237"/>
      <c r="W413" s="237"/>
      <c r="X413" s="237"/>
      <c r="Y413" s="237"/>
      <c r="Z413" s="237"/>
    </row>
    <row r="414" ht="14.25" customHeight="1" spans="1:26">
      <c r="A414" s="237"/>
      <c r="B414" s="237"/>
      <c r="C414" s="237"/>
      <c r="D414" s="237"/>
      <c r="E414" s="237"/>
      <c r="F414" s="237"/>
      <c r="G414" s="237"/>
      <c r="H414" s="237"/>
      <c r="I414" s="237"/>
      <c r="J414" s="237"/>
      <c r="K414" s="237"/>
      <c r="L414" s="237"/>
      <c r="M414" s="237"/>
      <c r="N414" s="237"/>
      <c r="O414" s="237"/>
      <c r="P414" s="237"/>
      <c r="Q414" s="237"/>
      <c r="R414" s="237"/>
      <c r="S414" s="237"/>
      <c r="T414" s="237"/>
      <c r="U414" s="237"/>
      <c r="V414" s="237"/>
      <c r="W414" s="237"/>
      <c r="X414" s="237"/>
      <c r="Y414" s="237"/>
      <c r="Z414" s="237"/>
    </row>
    <row r="415" ht="14.25" customHeight="1" spans="1:26">
      <c r="A415" s="237"/>
      <c r="B415" s="237"/>
      <c r="C415" s="237"/>
      <c r="D415" s="237"/>
      <c r="E415" s="237"/>
      <c r="F415" s="237"/>
      <c r="G415" s="237"/>
      <c r="H415" s="237"/>
      <c r="I415" s="237"/>
      <c r="J415" s="237"/>
      <c r="K415" s="237"/>
      <c r="L415" s="237"/>
      <c r="M415" s="237"/>
      <c r="N415" s="237"/>
      <c r="O415" s="237"/>
      <c r="P415" s="237"/>
      <c r="Q415" s="237"/>
      <c r="R415" s="237"/>
      <c r="S415" s="237"/>
      <c r="T415" s="237"/>
      <c r="U415" s="237"/>
      <c r="V415" s="237"/>
      <c r="W415" s="237"/>
      <c r="X415" s="237"/>
      <c r="Y415" s="237"/>
      <c r="Z415" s="237"/>
    </row>
    <row r="416" ht="14.25" customHeight="1" spans="1:26">
      <c r="A416" s="237"/>
      <c r="B416" s="237"/>
      <c r="C416" s="237"/>
      <c r="D416" s="237"/>
      <c r="E416" s="237"/>
      <c r="F416" s="237"/>
      <c r="G416" s="237"/>
      <c r="H416" s="237"/>
      <c r="I416" s="237"/>
      <c r="J416" s="237"/>
      <c r="K416" s="237"/>
      <c r="L416" s="237"/>
      <c r="M416" s="237"/>
      <c r="N416" s="237"/>
      <c r="O416" s="237"/>
      <c r="P416" s="237"/>
      <c r="Q416" s="237"/>
      <c r="R416" s="237"/>
      <c r="S416" s="237"/>
      <c r="T416" s="237"/>
      <c r="U416" s="237"/>
      <c r="V416" s="237"/>
      <c r="W416" s="237"/>
      <c r="X416" s="237"/>
      <c r="Y416" s="237"/>
      <c r="Z416" s="237"/>
    </row>
    <row r="417" ht="14.25" customHeight="1" spans="1:26">
      <c r="A417" s="237"/>
      <c r="B417" s="237"/>
      <c r="C417" s="237"/>
      <c r="D417" s="237"/>
      <c r="E417" s="237"/>
      <c r="F417" s="237"/>
      <c r="G417" s="237"/>
      <c r="H417" s="237"/>
      <c r="I417" s="237"/>
      <c r="J417" s="237"/>
      <c r="K417" s="237"/>
      <c r="L417" s="237"/>
      <c r="M417" s="237"/>
      <c r="N417" s="237"/>
      <c r="O417" s="237"/>
      <c r="P417" s="237"/>
      <c r="Q417" s="237"/>
      <c r="R417" s="237"/>
      <c r="S417" s="237"/>
      <c r="T417" s="237"/>
      <c r="U417" s="237"/>
      <c r="V417" s="237"/>
      <c r="W417" s="237"/>
      <c r="X417" s="237"/>
      <c r="Y417" s="237"/>
      <c r="Z417" s="237"/>
    </row>
    <row r="418" ht="14.25" customHeight="1" spans="1:26">
      <c r="A418" s="237"/>
      <c r="B418" s="237"/>
      <c r="C418" s="237"/>
      <c r="D418" s="237"/>
      <c r="E418" s="237"/>
      <c r="F418" s="237"/>
      <c r="G418" s="237"/>
      <c r="H418" s="237"/>
      <c r="I418" s="237"/>
      <c r="J418" s="237"/>
      <c r="K418" s="237"/>
      <c r="L418" s="237"/>
      <c r="M418" s="237"/>
      <c r="N418" s="237"/>
      <c r="O418" s="237"/>
      <c r="P418" s="237"/>
      <c r="Q418" s="237"/>
      <c r="R418" s="237"/>
      <c r="S418" s="237"/>
      <c r="T418" s="237"/>
      <c r="U418" s="237"/>
      <c r="V418" s="237"/>
      <c r="W418" s="237"/>
      <c r="X418" s="237"/>
      <c r="Y418" s="237"/>
      <c r="Z418" s="237"/>
    </row>
    <row r="419" ht="14.25" customHeight="1" spans="1:26">
      <c r="A419" s="237"/>
      <c r="B419" s="237"/>
      <c r="C419" s="237"/>
      <c r="D419" s="237"/>
      <c r="E419" s="237"/>
      <c r="F419" s="237"/>
      <c r="G419" s="237"/>
      <c r="H419" s="237"/>
      <c r="I419" s="237"/>
      <c r="J419" s="237"/>
      <c r="K419" s="237"/>
      <c r="L419" s="237"/>
      <c r="M419" s="237"/>
      <c r="N419" s="237"/>
      <c r="O419" s="237"/>
      <c r="P419" s="237"/>
      <c r="Q419" s="237"/>
      <c r="R419" s="237"/>
      <c r="S419" s="237"/>
      <c r="T419" s="237"/>
      <c r="U419" s="237"/>
      <c r="V419" s="237"/>
      <c r="W419" s="237"/>
      <c r="X419" s="237"/>
      <c r="Y419" s="237"/>
      <c r="Z419" s="237"/>
    </row>
    <row r="420" ht="14.25" customHeight="1" spans="1:26">
      <c r="A420" s="237"/>
      <c r="B420" s="237"/>
      <c r="C420" s="237"/>
      <c r="D420" s="237"/>
      <c r="E420" s="237"/>
      <c r="F420" s="237"/>
      <c r="G420" s="237"/>
      <c r="H420" s="237"/>
      <c r="I420" s="237"/>
      <c r="J420" s="237"/>
      <c r="K420" s="237"/>
      <c r="L420" s="237"/>
      <c r="M420" s="237"/>
      <c r="N420" s="237"/>
      <c r="O420" s="237"/>
      <c r="P420" s="237"/>
      <c r="Q420" s="237"/>
      <c r="R420" s="237"/>
      <c r="S420" s="237"/>
      <c r="T420" s="237"/>
      <c r="U420" s="237"/>
      <c r="V420" s="237"/>
      <c r="W420" s="237"/>
      <c r="X420" s="237"/>
      <c r="Y420" s="237"/>
      <c r="Z420" s="237"/>
    </row>
    <row r="421" ht="14.25" customHeight="1" spans="1:26">
      <c r="A421" s="237"/>
      <c r="B421" s="237"/>
      <c r="C421" s="237"/>
      <c r="D421" s="237"/>
      <c r="E421" s="237"/>
      <c r="F421" s="237"/>
      <c r="G421" s="237"/>
      <c r="H421" s="237"/>
      <c r="I421" s="237"/>
      <c r="J421" s="237"/>
      <c r="K421" s="237"/>
      <c r="L421" s="237"/>
      <c r="M421" s="237"/>
      <c r="N421" s="237"/>
      <c r="O421" s="237"/>
      <c r="P421" s="237"/>
      <c r="Q421" s="237"/>
      <c r="R421" s="237"/>
      <c r="S421" s="237"/>
      <c r="T421" s="237"/>
      <c r="U421" s="237"/>
      <c r="V421" s="237"/>
      <c r="W421" s="237"/>
      <c r="X421" s="237"/>
      <c r="Y421" s="237"/>
      <c r="Z421" s="237"/>
    </row>
    <row r="422" ht="14.25" customHeight="1" spans="1:26">
      <c r="A422" s="237"/>
      <c r="B422" s="237"/>
      <c r="C422" s="237"/>
      <c r="D422" s="237"/>
      <c r="E422" s="237"/>
      <c r="F422" s="237"/>
      <c r="G422" s="237"/>
      <c r="H422" s="237"/>
      <c r="I422" s="237"/>
      <c r="J422" s="237"/>
      <c r="K422" s="237"/>
      <c r="L422" s="237"/>
      <c r="M422" s="237"/>
      <c r="N422" s="237"/>
      <c r="O422" s="237"/>
      <c r="P422" s="237"/>
      <c r="Q422" s="237"/>
      <c r="R422" s="237"/>
      <c r="S422" s="237"/>
      <c r="T422" s="237"/>
      <c r="U422" s="237"/>
      <c r="V422" s="237"/>
      <c r="W422" s="237"/>
      <c r="X422" s="237"/>
      <c r="Y422" s="237"/>
      <c r="Z422" s="237"/>
    </row>
    <row r="423" ht="14.25" customHeight="1" spans="1:26">
      <c r="A423" s="237"/>
      <c r="B423" s="237"/>
      <c r="C423" s="237"/>
      <c r="D423" s="237"/>
      <c r="E423" s="237"/>
      <c r="F423" s="237"/>
      <c r="G423" s="237"/>
      <c r="H423" s="237"/>
      <c r="I423" s="237"/>
      <c r="J423" s="237"/>
      <c r="K423" s="237"/>
      <c r="L423" s="237"/>
      <c r="M423" s="237"/>
      <c r="N423" s="237"/>
      <c r="O423" s="237"/>
      <c r="P423" s="237"/>
      <c r="Q423" s="237"/>
      <c r="R423" s="237"/>
      <c r="S423" s="237"/>
      <c r="T423" s="237"/>
      <c r="U423" s="237"/>
      <c r="V423" s="237"/>
      <c r="W423" s="237"/>
      <c r="X423" s="237"/>
      <c r="Y423" s="237"/>
      <c r="Z423" s="237"/>
    </row>
    <row r="424" ht="14.25" customHeight="1" spans="1:26">
      <c r="A424" s="237"/>
      <c r="B424" s="237"/>
      <c r="C424" s="237"/>
      <c r="D424" s="237"/>
      <c r="E424" s="237"/>
      <c r="F424" s="237"/>
      <c r="G424" s="237"/>
      <c r="H424" s="237"/>
      <c r="I424" s="237"/>
      <c r="J424" s="237"/>
      <c r="K424" s="237"/>
      <c r="L424" s="237"/>
      <c r="M424" s="237"/>
      <c r="N424" s="237"/>
      <c r="O424" s="237"/>
      <c r="P424" s="237"/>
      <c r="Q424" s="237"/>
      <c r="R424" s="237"/>
      <c r="S424" s="237"/>
      <c r="T424" s="237"/>
      <c r="U424" s="237"/>
      <c r="V424" s="237"/>
      <c r="W424" s="237"/>
      <c r="X424" s="237"/>
      <c r="Y424" s="237"/>
      <c r="Z424" s="237"/>
    </row>
    <row r="425" ht="14.25" customHeight="1" spans="1:26">
      <c r="A425" s="237"/>
      <c r="B425" s="237"/>
      <c r="C425" s="237"/>
      <c r="D425" s="237"/>
      <c r="E425" s="237"/>
      <c r="F425" s="237"/>
      <c r="G425" s="237"/>
      <c r="H425" s="237"/>
      <c r="I425" s="237"/>
      <c r="J425" s="237"/>
      <c r="K425" s="237"/>
      <c r="L425" s="237"/>
      <c r="M425" s="237"/>
      <c r="N425" s="237"/>
      <c r="O425" s="237"/>
      <c r="P425" s="237"/>
      <c r="Q425" s="237"/>
      <c r="R425" s="237"/>
      <c r="S425" s="237"/>
      <c r="T425" s="237"/>
      <c r="U425" s="237"/>
      <c r="V425" s="237"/>
      <c r="W425" s="237"/>
      <c r="X425" s="237"/>
      <c r="Y425" s="237"/>
      <c r="Z425" s="237"/>
    </row>
    <row r="426" ht="14.25" customHeight="1" spans="1:26">
      <c r="A426" s="237"/>
      <c r="B426" s="237"/>
      <c r="C426" s="237"/>
      <c r="D426" s="237"/>
      <c r="E426" s="237"/>
      <c r="F426" s="237"/>
      <c r="G426" s="237"/>
      <c r="H426" s="237"/>
      <c r="I426" s="237"/>
      <c r="J426" s="237"/>
      <c r="K426" s="237"/>
      <c r="L426" s="237"/>
      <c r="M426" s="237"/>
      <c r="N426" s="237"/>
      <c r="O426" s="237"/>
      <c r="P426" s="237"/>
      <c r="Q426" s="237"/>
      <c r="R426" s="237"/>
      <c r="S426" s="237"/>
      <c r="T426" s="237"/>
      <c r="U426" s="237"/>
      <c r="V426" s="237"/>
      <c r="W426" s="237"/>
      <c r="X426" s="237"/>
      <c r="Y426" s="237"/>
      <c r="Z426" s="237"/>
    </row>
    <row r="427" ht="14.25" customHeight="1" spans="1:26">
      <c r="A427" s="237"/>
      <c r="B427" s="237"/>
      <c r="C427" s="237"/>
      <c r="D427" s="237"/>
      <c r="E427" s="237"/>
      <c r="F427" s="237"/>
      <c r="G427" s="237"/>
      <c r="H427" s="237"/>
      <c r="I427" s="237"/>
      <c r="J427" s="237"/>
      <c r="K427" s="237"/>
      <c r="L427" s="237"/>
      <c r="M427" s="237"/>
      <c r="N427" s="237"/>
      <c r="O427" s="237"/>
      <c r="P427" s="237"/>
      <c r="Q427" s="237"/>
      <c r="R427" s="237"/>
      <c r="S427" s="237"/>
      <c r="T427" s="237"/>
      <c r="U427" s="237"/>
      <c r="V427" s="237"/>
      <c r="W427" s="237"/>
      <c r="X427" s="237"/>
      <c r="Y427" s="237"/>
      <c r="Z427" s="237"/>
    </row>
    <row r="428" ht="14.25" customHeight="1" spans="1:26">
      <c r="A428" s="237"/>
      <c r="B428" s="237"/>
      <c r="C428" s="237"/>
      <c r="D428" s="237"/>
      <c r="E428" s="237"/>
      <c r="F428" s="237"/>
      <c r="G428" s="237"/>
      <c r="H428" s="237"/>
      <c r="I428" s="237"/>
      <c r="J428" s="237"/>
      <c r="K428" s="237"/>
      <c r="L428" s="237"/>
      <c r="M428" s="237"/>
      <c r="N428" s="237"/>
      <c r="O428" s="237"/>
      <c r="P428" s="237"/>
      <c r="Q428" s="237"/>
      <c r="R428" s="237"/>
      <c r="S428" s="237"/>
      <c r="T428" s="237"/>
      <c r="U428" s="237"/>
      <c r="V428" s="237"/>
      <c r="W428" s="237"/>
      <c r="X428" s="237"/>
      <c r="Y428" s="237"/>
      <c r="Z428" s="237"/>
    </row>
    <row r="429" ht="14.25" customHeight="1" spans="1:26">
      <c r="A429" s="237"/>
      <c r="B429" s="237"/>
      <c r="C429" s="237"/>
      <c r="D429" s="237"/>
      <c r="E429" s="237"/>
      <c r="F429" s="237"/>
      <c r="G429" s="237"/>
      <c r="H429" s="237"/>
      <c r="I429" s="237"/>
      <c r="J429" s="237"/>
      <c r="K429" s="237"/>
      <c r="L429" s="237"/>
      <c r="M429" s="237"/>
      <c r="N429" s="237"/>
      <c r="O429" s="237"/>
      <c r="P429" s="237"/>
      <c r="Q429" s="237"/>
      <c r="R429" s="237"/>
      <c r="S429" s="237"/>
      <c r="T429" s="237"/>
      <c r="U429" s="237"/>
      <c r="V429" s="237"/>
      <c r="W429" s="237"/>
      <c r="X429" s="237"/>
      <c r="Y429" s="237"/>
      <c r="Z429" s="237"/>
    </row>
    <row r="430" ht="14.25" customHeight="1" spans="1:26">
      <c r="A430" s="237"/>
      <c r="B430" s="237"/>
      <c r="C430" s="237"/>
      <c r="D430" s="237"/>
      <c r="E430" s="237"/>
      <c r="F430" s="237"/>
      <c r="G430" s="237"/>
      <c r="H430" s="237"/>
      <c r="I430" s="237"/>
      <c r="J430" s="237"/>
      <c r="K430" s="237"/>
      <c r="L430" s="237"/>
      <c r="M430" s="237"/>
      <c r="N430" s="237"/>
      <c r="O430" s="237"/>
      <c r="P430" s="237"/>
      <c r="Q430" s="237"/>
      <c r="R430" s="237"/>
      <c r="S430" s="237"/>
      <c r="T430" s="237"/>
      <c r="U430" s="237"/>
      <c r="V430" s="237"/>
      <c r="W430" s="237"/>
      <c r="X430" s="237"/>
      <c r="Y430" s="237"/>
      <c r="Z430" s="237"/>
    </row>
    <row r="431" ht="14.25" customHeight="1" spans="1:26">
      <c r="A431" s="237"/>
      <c r="B431" s="237"/>
      <c r="C431" s="237"/>
      <c r="D431" s="237"/>
      <c r="E431" s="237"/>
      <c r="F431" s="237"/>
      <c r="G431" s="237"/>
      <c r="H431" s="237"/>
      <c r="I431" s="237"/>
      <c r="J431" s="237"/>
      <c r="K431" s="237"/>
      <c r="L431" s="237"/>
      <c r="M431" s="237"/>
      <c r="N431" s="237"/>
      <c r="O431" s="237"/>
      <c r="P431" s="237"/>
      <c r="Q431" s="237"/>
      <c r="R431" s="237"/>
      <c r="S431" s="237"/>
      <c r="T431" s="237"/>
      <c r="U431" s="237"/>
      <c r="V431" s="237"/>
      <c r="W431" s="237"/>
      <c r="X431" s="237"/>
      <c r="Y431" s="237"/>
      <c r="Z431" s="237"/>
    </row>
    <row r="432" ht="14.25" customHeight="1" spans="1:26">
      <c r="A432" s="237"/>
      <c r="B432" s="237"/>
      <c r="C432" s="237"/>
      <c r="D432" s="237"/>
      <c r="E432" s="237"/>
      <c r="F432" s="237"/>
      <c r="G432" s="237"/>
      <c r="H432" s="237"/>
      <c r="I432" s="237"/>
      <c r="J432" s="237"/>
      <c r="K432" s="237"/>
      <c r="L432" s="237"/>
      <c r="M432" s="237"/>
      <c r="N432" s="237"/>
      <c r="O432" s="237"/>
      <c r="P432" s="237"/>
      <c r="Q432" s="237"/>
      <c r="R432" s="237"/>
      <c r="S432" s="237"/>
      <c r="T432" s="237"/>
      <c r="U432" s="237"/>
      <c r="V432" s="237"/>
      <c r="W432" s="237"/>
      <c r="X432" s="237"/>
      <c r="Y432" s="237"/>
      <c r="Z432" s="237"/>
    </row>
    <row r="433" ht="14.25" customHeight="1" spans="1:26">
      <c r="A433" s="237"/>
      <c r="B433" s="237"/>
      <c r="C433" s="237"/>
      <c r="D433" s="237"/>
      <c r="E433" s="237"/>
      <c r="F433" s="237"/>
      <c r="G433" s="237"/>
      <c r="H433" s="237"/>
      <c r="I433" s="237"/>
      <c r="J433" s="237"/>
      <c r="K433" s="237"/>
      <c r="L433" s="237"/>
      <c r="M433" s="237"/>
      <c r="N433" s="237"/>
      <c r="O433" s="237"/>
      <c r="P433" s="237"/>
      <c r="Q433" s="237"/>
      <c r="R433" s="237"/>
      <c r="S433" s="237"/>
      <c r="T433" s="237"/>
      <c r="U433" s="237"/>
      <c r="V433" s="237"/>
      <c r="W433" s="237"/>
      <c r="X433" s="237"/>
      <c r="Y433" s="237"/>
      <c r="Z433" s="237"/>
    </row>
    <row r="434" ht="14.25" customHeight="1" spans="1:26">
      <c r="A434" s="237"/>
      <c r="B434" s="237"/>
      <c r="C434" s="237"/>
      <c r="D434" s="237"/>
      <c r="E434" s="237"/>
      <c r="F434" s="237"/>
      <c r="G434" s="237"/>
      <c r="H434" s="237"/>
      <c r="I434" s="237"/>
      <c r="J434" s="237"/>
      <c r="K434" s="237"/>
      <c r="L434" s="237"/>
      <c r="M434" s="237"/>
      <c r="N434" s="237"/>
      <c r="O434" s="237"/>
      <c r="P434" s="237"/>
      <c r="Q434" s="237"/>
      <c r="R434" s="237"/>
      <c r="S434" s="237"/>
      <c r="T434" s="237"/>
      <c r="U434" s="237"/>
      <c r="V434" s="237"/>
      <c r="W434" s="237"/>
      <c r="X434" s="237"/>
      <c r="Y434" s="237"/>
      <c r="Z434" s="237"/>
    </row>
    <row r="435" ht="14.25" customHeight="1" spans="1:26">
      <c r="A435" s="237"/>
      <c r="B435" s="237"/>
      <c r="C435" s="237"/>
      <c r="D435" s="237"/>
      <c r="E435" s="237"/>
      <c r="F435" s="237"/>
      <c r="G435" s="237"/>
      <c r="H435" s="237"/>
      <c r="I435" s="237"/>
      <c r="J435" s="237"/>
      <c r="K435" s="237"/>
      <c r="L435" s="237"/>
      <c r="M435" s="237"/>
      <c r="N435" s="237"/>
      <c r="O435" s="237"/>
      <c r="P435" s="237"/>
      <c r="Q435" s="237"/>
      <c r="R435" s="237"/>
      <c r="S435" s="237"/>
      <c r="T435" s="237"/>
      <c r="U435" s="237"/>
      <c r="V435" s="237"/>
      <c r="W435" s="237"/>
      <c r="X435" s="237"/>
      <c r="Y435" s="237"/>
      <c r="Z435" s="237"/>
    </row>
    <row r="436" ht="14.25" customHeight="1" spans="1:26">
      <c r="A436" s="237"/>
      <c r="B436" s="237"/>
      <c r="C436" s="237"/>
      <c r="D436" s="237"/>
      <c r="E436" s="237"/>
      <c r="F436" s="237"/>
      <c r="G436" s="237"/>
      <c r="H436" s="237"/>
      <c r="I436" s="237"/>
      <c r="J436" s="237"/>
      <c r="K436" s="237"/>
      <c r="L436" s="237"/>
      <c r="M436" s="237"/>
      <c r="N436" s="237"/>
      <c r="O436" s="237"/>
      <c r="P436" s="237"/>
      <c r="Q436" s="237"/>
      <c r="R436" s="237"/>
      <c r="S436" s="237"/>
      <c r="T436" s="237"/>
      <c r="U436" s="237"/>
      <c r="V436" s="237"/>
      <c r="W436" s="237"/>
      <c r="X436" s="237"/>
      <c r="Y436" s="237"/>
      <c r="Z436" s="237"/>
    </row>
    <row r="437" ht="14.25" customHeight="1" spans="1:26">
      <c r="A437" s="237"/>
      <c r="B437" s="237"/>
      <c r="C437" s="237"/>
      <c r="D437" s="237"/>
      <c r="E437" s="237"/>
      <c r="F437" s="237"/>
      <c r="G437" s="237"/>
      <c r="H437" s="237"/>
      <c r="I437" s="237"/>
      <c r="J437" s="237"/>
      <c r="K437" s="237"/>
      <c r="L437" s="237"/>
      <c r="M437" s="237"/>
      <c r="N437" s="237"/>
      <c r="O437" s="237"/>
      <c r="P437" s="237"/>
      <c r="Q437" s="237"/>
      <c r="R437" s="237"/>
      <c r="S437" s="237"/>
      <c r="T437" s="237"/>
      <c r="U437" s="237"/>
      <c r="V437" s="237"/>
      <c r="W437" s="237"/>
      <c r="X437" s="237"/>
      <c r="Y437" s="237"/>
      <c r="Z437" s="237"/>
    </row>
    <row r="438" ht="14.25" customHeight="1" spans="1:26">
      <c r="A438" s="237"/>
      <c r="B438" s="237"/>
      <c r="C438" s="237"/>
      <c r="D438" s="237"/>
      <c r="E438" s="237"/>
      <c r="F438" s="237"/>
      <c r="G438" s="237"/>
      <c r="H438" s="237"/>
      <c r="I438" s="237"/>
      <c r="J438" s="237"/>
      <c r="K438" s="237"/>
      <c r="L438" s="237"/>
      <c r="M438" s="237"/>
      <c r="N438" s="237"/>
      <c r="O438" s="237"/>
      <c r="P438" s="237"/>
      <c r="Q438" s="237"/>
      <c r="R438" s="237"/>
      <c r="S438" s="237"/>
      <c r="T438" s="237"/>
      <c r="U438" s="237"/>
      <c r="V438" s="237"/>
      <c r="W438" s="237"/>
      <c r="X438" s="237"/>
      <c r="Y438" s="237"/>
      <c r="Z438" s="237"/>
    </row>
    <row r="439" ht="14.25" customHeight="1" spans="1:26">
      <c r="A439" s="237"/>
      <c r="B439" s="237"/>
      <c r="C439" s="237"/>
      <c r="D439" s="237"/>
      <c r="E439" s="237"/>
      <c r="F439" s="237"/>
      <c r="G439" s="237"/>
      <c r="H439" s="237"/>
      <c r="I439" s="237"/>
      <c r="J439" s="237"/>
      <c r="K439" s="237"/>
      <c r="L439" s="237"/>
      <c r="M439" s="237"/>
      <c r="N439" s="237"/>
      <c r="O439" s="237"/>
      <c r="P439" s="237"/>
      <c r="Q439" s="237"/>
      <c r="R439" s="237"/>
      <c r="S439" s="237"/>
      <c r="T439" s="237"/>
      <c r="U439" s="237"/>
      <c r="V439" s="237"/>
      <c r="W439" s="237"/>
      <c r="X439" s="237"/>
      <c r="Y439" s="237"/>
      <c r="Z439" s="237"/>
    </row>
    <row r="440" ht="14.25" customHeight="1" spans="1:26">
      <c r="A440" s="237"/>
      <c r="B440" s="237"/>
      <c r="C440" s="237"/>
      <c r="D440" s="237"/>
      <c r="E440" s="237"/>
      <c r="F440" s="237"/>
      <c r="G440" s="237"/>
      <c r="H440" s="237"/>
      <c r="I440" s="237"/>
      <c r="J440" s="237"/>
      <c r="K440" s="237"/>
      <c r="L440" s="237"/>
      <c r="M440" s="237"/>
      <c r="N440" s="237"/>
      <c r="O440" s="237"/>
      <c r="P440" s="237"/>
      <c r="Q440" s="237"/>
      <c r="R440" s="237"/>
      <c r="S440" s="237"/>
      <c r="T440" s="237"/>
      <c r="U440" s="237"/>
      <c r="V440" s="237"/>
      <c r="W440" s="237"/>
      <c r="X440" s="237"/>
      <c r="Y440" s="237"/>
      <c r="Z440" s="237"/>
    </row>
    <row r="441" ht="14.25" customHeight="1" spans="1:26">
      <c r="A441" s="237"/>
      <c r="B441" s="237"/>
      <c r="C441" s="237"/>
      <c r="D441" s="237"/>
      <c r="E441" s="237"/>
      <c r="F441" s="237"/>
      <c r="G441" s="237"/>
      <c r="H441" s="237"/>
      <c r="I441" s="237"/>
      <c r="J441" s="237"/>
      <c r="K441" s="237"/>
      <c r="L441" s="237"/>
      <c r="M441" s="237"/>
      <c r="N441" s="237"/>
      <c r="O441" s="237"/>
      <c r="P441" s="237"/>
      <c r="Q441" s="237"/>
      <c r="R441" s="237"/>
      <c r="S441" s="237"/>
      <c r="T441" s="237"/>
      <c r="U441" s="237"/>
      <c r="V441" s="237"/>
      <c r="W441" s="237"/>
      <c r="X441" s="237"/>
      <c r="Y441" s="237"/>
      <c r="Z441" s="237"/>
    </row>
    <row r="442" ht="14.25" customHeight="1" spans="1:26">
      <c r="A442" s="237"/>
      <c r="B442" s="237"/>
      <c r="C442" s="237"/>
      <c r="D442" s="237"/>
      <c r="E442" s="237"/>
      <c r="F442" s="237"/>
      <c r="G442" s="237"/>
      <c r="H442" s="237"/>
      <c r="I442" s="237"/>
      <c r="J442" s="237"/>
      <c r="K442" s="237"/>
      <c r="L442" s="237"/>
      <c r="M442" s="237"/>
      <c r="N442" s="237"/>
      <c r="O442" s="237"/>
      <c r="P442" s="237"/>
      <c r="Q442" s="237"/>
      <c r="R442" s="237"/>
      <c r="S442" s="237"/>
      <c r="T442" s="237"/>
      <c r="U442" s="237"/>
      <c r="V442" s="237"/>
      <c r="W442" s="237"/>
      <c r="X442" s="237"/>
      <c r="Y442" s="237"/>
      <c r="Z442" s="237"/>
    </row>
    <row r="443" ht="14.25" customHeight="1" spans="1:26">
      <c r="A443" s="237"/>
      <c r="B443" s="237"/>
      <c r="C443" s="237"/>
      <c r="D443" s="237"/>
      <c r="E443" s="237"/>
      <c r="F443" s="237"/>
      <c r="G443" s="237"/>
      <c r="H443" s="237"/>
      <c r="I443" s="237"/>
      <c r="J443" s="237"/>
      <c r="K443" s="237"/>
      <c r="L443" s="237"/>
      <c r="M443" s="237"/>
      <c r="N443" s="237"/>
      <c r="O443" s="237"/>
      <c r="P443" s="237"/>
      <c r="Q443" s="237"/>
      <c r="R443" s="237"/>
      <c r="S443" s="237"/>
      <c r="T443" s="237"/>
      <c r="U443" s="237"/>
      <c r="V443" s="237"/>
      <c r="W443" s="237"/>
      <c r="X443" s="237"/>
      <c r="Y443" s="237"/>
      <c r="Z443" s="237"/>
    </row>
    <row r="444" ht="14.25" customHeight="1" spans="1:26">
      <c r="A444" s="237"/>
      <c r="B444" s="237"/>
      <c r="C444" s="237"/>
      <c r="D444" s="237"/>
      <c r="E444" s="237"/>
      <c r="F444" s="237"/>
      <c r="G444" s="237"/>
      <c r="H444" s="237"/>
      <c r="I444" s="237"/>
      <c r="J444" s="237"/>
      <c r="K444" s="237"/>
      <c r="L444" s="237"/>
      <c r="M444" s="237"/>
      <c r="N444" s="237"/>
      <c r="O444" s="237"/>
      <c r="P444" s="237"/>
      <c r="Q444" s="237"/>
      <c r="R444" s="237"/>
      <c r="S444" s="237"/>
      <c r="T444" s="237"/>
      <c r="U444" s="237"/>
      <c r="V444" s="237"/>
      <c r="W444" s="237"/>
      <c r="X444" s="237"/>
      <c r="Y444" s="237"/>
      <c r="Z444" s="237"/>
    </row>
    <row r="445" ht="14.25" customHeight="1" spans="1:26">
      <c r="A445" s="237"/>
      <c r="B445" s="237"/>
      <c r="C445" s="237"/>
      <c r="D445" s="237"/>
      <c r="E445" s="237"/>
      <c r="F445" s="237"/>
      <c r="G445" s="237"/>
      <c r="H445" s="237"/>
      <c r="I445" s="237"/>
      <c r="J445" s="237"/>
      <c r="K445" s="237"/>
      <c r="L445" s="237"/>
      <c r="M445" s="237"/>
      <c r="N445" s="237"/>
      <c r="O445" s="237"/>
      <c r="P445" s="237"/>
      <c r="Q445" s="237"/>
      <c r="R445" s="237"/>
      <c r="S445" s="237"/>
      <c r="T445" s="237"/>
      <c r="U445" s="237"/>
      <c r="V445" s="237"/>
      <c r="W445" s="237"/>
      <c r="X445" s="237"/>
      <c r="Y445" s="237"/>
      <c r="Z445" s="237"/>
    </row>
    <row r="446" ht="14.25" customHeight="1" spans="1:26">
      <c r="A446" s="237"/>
      <c r="B446" s="237"/>
      <c r="C446" s="237"/>
      <c r="D446" s="237"/>
      <c r="E446" s="237"/>
      <c r="F446" s="237"/>
      <c r="G446" s="237"/>
      <c r="H446" s="237"/>
      <c r="I446" s="237"/>
      <c r="J446" s="237"/>
      <c r="K446" s="237"/>
      <c r="L446" s="237"/>
      <c r="M446" s="237"/>
      <c r="N446" s="237"/>
      <c r="O446" s="237"/>
      <c r="P446" s="237"/>
      <c r="Q446" s="237"/>
      <c r="R446" s="237"/>
      <c r="S446" s="237"/>
      <c r="T446" s="237"/>
      <c r="U446" s="237"/>
      <c r="V446" s="237"/>
      <c r="W446" s="237"/>
      <c r="X446" s="237"/>
      <c r="Y446" s="237"/>
      <c r="Z446" s="237"/>
    </row>
    <row r="447" ht="14.25" customHeight="1" spans="1:26">
      <c r="A447" s="237"/>
      <c r="B447" s="237"/>
      <c r="C447" s="237"/>
      <c r="D447" s="237"/>
      <c r="E447" s="237"/>
      <c r="F447" s="237"/>
      <c r="G447" s="237"/>
      <c r="H447" s="237"/>
      <c r="I447" s="237"/>
      <c r="J447" s="237"/>
      <c r="K447" s="237"/>
      <c r="L447" s="237"/>
      <c r="M447" s="237"/>
      <c r="N447" s="237"/>
      <c r="O447" s="237"/>
      <c r="P447" s="237"/>
      <c r="Q447" s="237"/>
      <c r="R447" s="237"/>
      <c r="S447" s="237"/>
      <c r="T447" s="237"/>
      <c r="U447" s="237"/>
      <c r="V447" s="237"/>
      <c r="W447" s="237"/>
      <c r="X447" s="237"/>
      <c r="Y447" s="237"/>
      <c r="Z447" s="237"/>
    </row>
    <row r="448" ht="14.25" customHeight="1" spans="1:26">
      <c r="A448" s="237"/>
      <c r="B448" s="237"/>
      <c r="C448" s="237"/>
      <c r="D448" s="237"/>
      <c r="E448" s="237"/>
      <c r="F448" s="237"/>
      <c r="G448" s="237"/>
      <c r="H448" s="237"/>
      <c r="I448" s="237"/>
      <c r="J448" s="237"/>
      <c r="K448" s="237"/>
      <c r="L448" s="237"/>
      <c r="M448" s="237"/>
      <c r="N448" s="237"/>
      <c r="O448" s="237"/>
      <c r="P448" s="237"/>
      <c r="Q448" s="237"/>
      <c r="R448" s="237"/>
      <c r="S448" s="237"/>
      <c r="T448" s="237"/>
      <c r="U448" s="237"/>
      <c r="V448" s="237"/>
      <c r="W448" s="237"/>
      <c r="X448" s="237"/>
      <c r="Y448" s="237"/>
      <c r="Z448" s="237"/>
    </row>
    <row r="449" ht="14.25" customHeight="1" spans="1:26">
      <c r="A449" s="237"/>
      <c r="B449" s="237"/>
      <c r="C449" s="237"/>
      <c r="D449" s="237"/>
      <c r="E449" s="237"/>
      <c r="F449" s="237"/>
      <c r="G449" s="237"/>
      <c r="H449" s="237"/>
      <c r="I449" s="237"/>
      <c r="J449" s="237"/>
      <c r="K449" s="237"/>
      <c r="L449" s="237"/>
      <c r="M449" s="237"/>
      <c r="N449" s="237"/>
      <c r="O449" s="237"/>
      <c r="P449" s="237"/>
      <c r="Q449" s="237"/>
      <c r="R449" s="237"/>
      <c r="S449" s="237"/>
      <c r="T449" s="237"/>
      <c r="U449" s="237"/>
      <c r="V449" s="237"/>
      <c r="W449" s="237"/>
      <c r="X449" s="237"/>
      <c r="Y449" s="237"/>
      <c r="Z449" s="237"/>
    </row>
    <row r="450" ht="14.25" customHeight="1" spans="1:26">
      <c r="A450" s="237"/>
      <c r="B450" s="237"/>
      <c r="C450" s="237"/>
      <c r="D450" s="237"/>
      <c r="E450" s="237"/>
      <c r="F450" s="237"/>
      <c r="G450" s="237"/>
      <c r="H450" s="237"/>
      <c r="I450" s="237"/>
      <c r="J450" s="237"/>
      <c r="K450" s="237"/>
      <c r="L450" s="237"/>
      <c r="M450" s="237"/>
      <c r="N450" s="237"/>
      <c r="O450" s="237"/>
      <c r="P450" s="237"/>
      <c r="Q450" s="237"/>
      <c r="R450" s="237"/>
      <c r="S450" s="237"/>
      <c r="T450" s="237"/>
      <c r="U450" s="237"/>
      <c r="V450" s="237"/>
      <c r="W450" s="237"/>
      <c r="X450" s="237"/>
      <c r="Y450" s="237"/>
      <c r="Z450" s="237"/>
    </row>
    <row r="451" ht="14.25" customHeight="1" spans="1:26">
      <c r="A451" s="237"/>
      <c r="B451" s="237"/>
      <c r="C451" s="237"/>
      <c r="D451" s="237"/>
      <c r="E451" s="237"/>
      <c r="F451" s="237"/>
      <c r="G451" s="237"/>
      <c r="H451" s="237"/>
      <c r="I451" s="237"/>
      <c r="J451" s="237"/>
      <c r="K451" s="237"/>
      <c r="L451" s="237"/>
      <c r="M451" s="237"/>
      <c r="N451" s="237"/>
      <c r="O451" s="237"/>
      <c r="P451" s="237"/>
      <c r="Q451" s="237"/>
      <c r="R451" s="237"/>
      <c r="S451" s="237"/>
      <c r="T451" s="237"/>
      <c r="U451" s="237"/>
      <c r="V451" s="237"/>
      <c r="W451" s="237"/>
      <c r="X451" s="237"/>
      <c r="Y451" s="237"/>
      <c r="Z451" s="237"/>
    </row>
    <row r="452" ht="14.25" customHeight="1" spans="1:26">
      <c r="A452" s="237"/>
      <c r="B452" s="237"/>
      <c r="C452" s="237"/>
      <c r="D452" s="237"/>
      <c r="E452" s="237"/>
      <c r="F452" s="237"/>
      <c r="G452" s="237"/>
      <c r="H452" s="237"/>
      <c r="I452" s="237"/>
      <c r="J452" s="237"/>
      <c r="K452" s="237"/>
      <c r="L452" s="237"/>
      <c r="M452" s="237"/>
      <c r="N452" s="237"/>
      <c r="O452" s="237"/>
      <c r="P452" s="237"/>
      <c r="Q452" s="237"/>
      <c r="R452" s="237"/>
      <c r="S452" s="237"/>
      <c r="T452" s="237"/>
      <c r="U452" s="237"/>
      <c r="V452" s="237"/>
      <c r="W452" s="237"/>
      <c r="X452" s="237"/>
      <c r="Y452" s="237"/>
      <c r="Z452" s="237"/>
    </row>
    <row r="453" ht="14.25" customHeight="1" spans="1:26">
      <c r="A453" s="237"/>
      <c r="B453" s="237"/>
      <c r="C453" s="237"/>
      <c r="D453" s="237"/>
      <c r="E453" s="237"/>
      <c r="F453" s="237"/>
      <c r="G453" s="237"/>
      <c r="H453" s="237"/>
      <c r="I453" s="237"/>
      <c r="J453" s="237"/>
      <c r="K453" s="237"/>
      <c r="L453" s="237"/>
      <c r="M453" s="237"/>
      <c r="N453" s="237"/>
      <c r="O453" s="237"/>
      <c r="P453" s="237"/>
      <c r="Q453" s="237"/>
      <c r="R453" s="237"/>
      <c r="S453" s="237"/>
      <c r="T453" s="237"/>
      <c r="U453" s="237"/>
      <c r="V453" s="237"/>
      <c r="W453" s="237"/>
      <c r="X453" s="237"/>
      <c r="Y453" s="237"/>
      <c r="Z453" s="237"/>
    </row>
    <row r="454" ht="14.25" customHeight="1" spans="1:26">
      <c r="A454" s="237"/>
      <c r="B454" s="237"/>
      <c r="C454" s="237"/>
      <c r="D454" s="237"/>
      <c r="E454" s="237"/>
      <c r="F454" s="237"/>
      <c r="G454" s="237"/>
      <c r="H454" s="237"/>
      <c r="I454" s="237"/>
      <c r="J454" s="237"/>
      <c r="K454" s="237"/>
      <c r="L454" s="237"/>
      <c r="M454" s="237"/>
      <c r="N454" s="237"/>
      <c r="O454" s="237"/>
      <c r="P454" s="237"/>
      <c r="Q454" s="237"/>
      <c r="R454" s="237"/>
      <c r="S454" s="237"/>
      <c r="T454" s="237"/>
      <c r="U454" s="237"/>
      <c r="V454" s="237"/>
      <c r="W454" s="237"/>
      <c r="X454" s="237"/>
      <c r="Y454" s="237"/>
      <c r="Z454" s="237"/>
    </row>
    <row r="455" ht="14.25" customHeight="1" spans="1:26">
      <c r="A455" s="237"/>
      <c r="B455" s="237"/>
      <c r="C455" s="237"/>
      <c r="D455" s="237"/>
      <c r="E455" s="237"/>
      <c r="F455" s="237"/>
      <c r="G455" s="237"/>
      <c r="H455" s="237"/>
      <c r="I455" s="237"/>
      <c r="J455" s="237"/>
      <c r="K455" s="237"/>
      <c r="L455" s="237"/>
      <c r="M455" s="237"/>
      <c r="N455" s="237"/>
      <c r="O455" s="237"/>
      <c r="P455" s="237"/>
      <c r="Q455" s="237"/>
      <c r="R455" s="237"/>
      <c r="S455" s="237"/>
      <c r="T455" s="237"/>
      <c r="U455" s="237"/>
      <c r="V455" s="237"/>
      <c r="W455" s="237"/>
      <c r="X455" s="237"/>
      <c r="Y455" s="237"/>
      <c r="Z455" s="237"/>
    </row>
    <row r="456" ht="14.25" customHeight="1" spans="1:26">
      <c r="A456" s="237"/>
      <c r="B456" s="237"/>
      <c r="C456" s="237"/>
      <c r="D456" s="237"/>
      <c r="E456" s="237"/>
      <c r="F456" s="237"/>
      <c r="G456" s="237"/>
      <c r="H456" s="237"/>
      <c r="I456" s="237"/>
      <c r="J456" s="237"/>
      <c r="K456" s="237"/>
      <c r="L456" s="237"/>
      <c r="M456" s="237"/>
      <c r="N456" s="237"/>
      <c r="O456" s="237"/>
      <c r="P456" s="237"/>
      <c r="Q456" s="237"/>
      <c r="R456" s="237"/>
      <c r="S456" s="237"/>
      <c r="T456" s="237"/>
      <c r="U456" s="237"/>
      <c r="V456" s="237"/>
      <c r="W456" s="237"/>
      <c r="X456" s="237"/>
      <c r="Y456" s="237"/>
      <c r="Z456" s="237"/>
    </row>
    <row r="457" ht="14.25" customHeight="1" spans="1:26">
      <c r="A457" s="237"/>
      <c r="B457" s="237"/>
      <c r="C457" s="237"/>
      <c r="D457" s="237"/>
      <c r="E457" s="237"/>
      <c r="F457" s="237"/>
      <c r="G457" s="237"/>
      <c r="H457" s="237"/>
      <c r="I457" s="237"/>
      <c r="J457" s="237"/>
      <c r="K457" s="237"/>
      <c r="L457" s="237"/>
      <c r="M457" s="237"/>
      <c r="N457" s="237"/>
      <c r="O457" s="237"/>
      <c r="P457" s="237"/>
      <c r="Q457" s="237"/>
      <c r="R457" s="237"/>
      <c r="S457" s="237"/>
      <c r="T457" s="237"/>
      <c r="U457" s="237"/>
      <c r="V457" s="237"/>
      <c r="W457" s="237"/>
      <c r="X457" s="237"/>
      <c r="Y457" s="237"/>
      <c r="Z457" s="237"/>
    </row>
    <row r="458" ht="14.25" customHeight="1" spans="1:26">
      <c r="A458" s="237"/>
      <c r="B458" s="237"/>
      <c r="C458" s="237"/>
      <c r="D458" s="237"/>
      <c r="E458" s="237"/>
      <c r="F458" s="237"/>
      <c r="G458" s="237"/>
      <c r="H458" s="237"/>
      <c r="I458" s="237"/>
      <c r="J458" s="237"/>
      <c r="K458" s="237"/>
      <c r="L458" s="237"/>
      <c r="M458" s="237"/>
      <c r="N458" s="237"/>
      <c r="O458" s="237"/>
      <c r="P458" s="237"/>
      <c r="Q458" s="237"/>
      <c r="R458" s="237"/>
      <c r="S458" s="237"/>
      <c r="T458" s="237"/>
      <c r="U458" s="237"/>
      <c r="V458" s="237"/>
      <c r="W458" s="237"/>
      <c r="X458" s="237"/>
      <c r="Y458" s="237"/>
      <c r="Z458" s="237"/>
    </row>
    <row r="459" ht="14.25" customHeight="1" spans="1:26">
      <c r="A459" s="237"/>
      <c r="B459" s="237"/>
      <c r="C459" s="237"/>
      <c r="D459" s="237"/>
      <c r="E459" s="237"/>
      <c r="F459" s="237"/>
      <c r="G459" s="237"/>
      <c r="H459" s="237"/>
      <c r="I459" s="237"/>
      <c r="J459" s="237"/>
      <c r="K459" s="237"/>
      <c r="L459" s="237"/>
      <c r="M459" s="237"/>
      <c r="N459" s="237"/>
      <c r="O459" s="237"/>
      <c r="P459" s="237"/>
      <c r="Q459" s="237"/>
      <c r="R459" s="237"/>
      <c r="S459" s="237"/>
      <c r="T459" s="237"/>
      <c r="U459" s="237"/>
      <c r="V459" s="237"/>
      <c r="W459" s="237"/>
      <c r="X459" s="237"/>
      <c r="Y459" s="237"/>
      <c r="Z459" s="237"/>
    </row>
    <row r="460" ht="14.25" customHeight="1" spans="1:26">
      <c r="A460" s="237"/>
      <c r="B460" s="237"/>
      <c r="C460" s="237"/>
      <c r="D460" s="237"/>
      <c r="E460" s="237"/>
      <c r="F460" s="237"/>
      <c r="G460" s="237"/>
      <c r="H460" s="237"/>
      <c r="I460" s="237"/>
      <c r="J460" s="237"/>
      <c r="K460" s="237"/>
      <c r="L460" s="237"/>
      <c r="M460" s="237"/>
      <c r="N460" s="237"/>
      <c r="O460" s="237"/>
      <c r="P460" s="237"/>
      <c r="Q460" s="237"/>
      <c r="R460" s="237"/>
      <c r="S460" s="237"/>
      <c r="T460" s="237"/>
      <c r="U460" s="237"/>
      <c r="V460" s="237"/>
      <c r="W460" s="237"/>
      <c r="X460" s="237"/>
      <c r="Y460" s="237"/>
      <c r="Z460" s="237"/>
    </row>
    <row r="461" ht="14.25" customHeight="1" spans="1:26">
      <c r="A461" s="237"/>
      <c r="B461" s="237"/>
      <c r="C461" s="237"/>
      <c r="D461" s="237"/>
      <c r="E461" s="237"/>
      <c r="F461" s="237"/>
      <c r="G461" s="237"/>
      <c r="H461" s="237"/>
      <c r="I461" s="237"/>
      <c r="J461" s="237"/>
      <c r="K461" s="237"/>
      <c r="L461" s="237"/>
      <c r="M461" s="237"/>
      <c r="N461" s="237"/>
      <c r="O461" s="237"/>
      <c r="P461" s="237"/>
      <c r="Q461" s="237"/>
      <c r="R461" s="237"/>
      <c r="S461" s="237"/>
      <c r="T461" s="237"/>
      <c r="U461" s="237"/>
      <c r="V461" s="237"/>
      <c r="W461" s="237"/>
      <c r="X461" s="237"/>
      <c r="Y461" s="237"/>
      <c r="Z461" s="237"/>
    </row>
    <row r="462" ht="14.25" customHeight="1" spans="1:26">
      <c r="A462" s="237"/>
      <c r="B462" s="237"/>
      <c r="C462" s="237"/>
      <c r="D462" s="237"/>
      <c r="E462" s="237"/>
      <c r="F462" s="237"/>
      <c r="G462" s="237"/>
      <c r="H462" s="237"/>
      <c r="I462" s="237"/>
      <c r="J462" s="237"/>
      <c r="K462" s="237"/>
      <c r="L462" s="237"/>
      <c r="M462" s="237"/>
      <c r="N462" s="237"/>
      <c r="O462" s="237"/>
      <c r="P462" s="237"/>
      <c r="Q462" s="237"/>
      <c r="R462" s="237"/>
      <c r="S462" s="237"/>
      <c r="T462" s="237"/>
      <c r="U462" s="237"/>
      <c r="V462" s="237"/>
      <c r="W462" s="237"/>
      <c r="X462" s="237"/>
      <c r="Y462" s="237"/>
      <c r="Z462" s="237"/>
    </row>
    <row r="463" ht="14.25" customHeight="1" spans="1:26">
      <c r="A463" s="237"/>
      <c r="B463" s="237"/>
      <c r="C463" s="237"/>
      <c r="D463" s="237"/>
      <c r="E463" s="237"/>
      <c r="F463" s="237"/>
      <c r="G463" s="237"/>
      <c r="H463" s="237"/>
      <c r="I463" s="237"/>
      <c r="J463" s="237"/>
      <c r="K463" s="237"/>
      <c r="L463" s="237"/>
      <c r="M463" s="237"/>
      <c r="N463" s="237"/>
      <c r="O463" s="237"/>
      <c r="P463" s="237"/>
      <c r="Q463" s="237"/>
      <c r="R463" s="237"/>
      <c r="S463" s="237"/>
      <c r="T463" s="237"/>
      <c r="U463" s="237"/>
      <c r="V463" s="237"/>
      <c r="W463" s="237"/>
      <c r="X463" s="237"/>
      <c r="Y463" s="237"/>
      <c r="Z463" s="237"/>
    </row>
    <row r="464" ht="14.25" customHeight="1" spans="1:26">
      <c r="A464" s="237"/>
      <c r="B464" s="237"/>
      <c r="C464" s="237"/>
      <c r="D464" s="237"/>
      <c r="E464" s="237"/>
      <c r="F464" s="237"/>
      <c r="G464" s="237"/>
      <c r="H464" s="237"/>
      <c r="I464" s="237"/>
      <c r="J464" s="237"/>
      <c r="K464" s="237"/>
      <c r="L464" s="237"/>
      <c r="M464" s="237"/>
      <c r="N464" s="237"/>
      <c r="O464" s="237"/>
      <c r="P464" s="237"/>
      <c r="Q464" s="237"/>
      <c r="R464" s="237"/>
      <c r="S464" s="237"/>
      <c r="T464" s="237"/>
      <c r="U464" s="237"/>
      <c r="V464" s="237"/>
      <c r="W464" s="237"/>
      <c r="X464" s="237"/>
      <c r="Y464" s="237"/>
      <c r="Z464" s="237"/>
    </row>
    <row r="465" ht="14.25" customHeight="1" spans="1:26">
      <c r="A465" s="237"/>
      <c r="B465" s="237"/>
      <c r="C465" s="237"/>
      <c r="D465" s="237"/>
      <c r="E465" s="237"/>
      <c r="F465" s="237"/>
      <c r="G465" s="237"/>
      <c r="H465" s="237"/>
      <c r="I465" s="237"/>
      <c r="J465" s="237"/>
      <c r="K465" s="237"/>
      <c r="L465" s="237"/>
      <c r="M465" s="237"/>
      <c r="N465" s="237"/>
      <c r="O465" s="237"/>
      <c r="P465" s="237"/>
      <c r="Q465" s="237"/>
      <c r="R465" s="237"/>
      <c r="S465" s="237"/>
      <c r="T465" s="237"/>
      <c r="U465" s="237"/>
      <c r="V465" s="237"/>
      <c r="W465" s="237"/>
      <c r="X465" s="237"/>
      <c r="Y465" s="237"/>
      <c r="Z465" s="237"/>
    </row>
    <row r="466" ht="14.25" customHeight="1" spans="1:26">
      <c r="A466" s="237"/>
      <c r="B466" s="237"/>
      <c r="C466" s="237"/>
      <c r="D466" s="237"/>
      <c r="E466" s="237"/>
      <c r="F466" s="237"/>
      <c r="G466" s="237"/>
      <c r="H466" s="237"/>
      <c r="I466" s="237"/>
      <c r="J466" s="237"/>
      <c r="K466" s="237"/>
      <c r="L466" s="237"/>
      <c r="M466" s="237"/>
      <c r="N466" s="237"/>
      <c r="O466" s="237"/>
      <c r="P466" s="237"/>
      <c r="Q466" s="237"/>
      <c r="R466" s="237"/>
      <c r="S466" s="237"/>
      <c r="T466" s="237"/>
      <c r="U466" s="237"/>
      <c r="V466" s="237"/>
      <c r="W466" s="237"/>
      <c r="X466" s="237"/>
      <c r="Y466" s="237"/>
      <c r="Z466" s="237"/>
    </row>
    <row r="467" ht="14.25" customHeight="1" spans="1:26">
      <c r="A467" s="237"/>
      <c r="B467" s="237"/>
      <c r="C467" s="237"/>
      <c r="D467" s="237"/>
      <c r="E467" s="237"/>
      <c r="F467" s="237"/>
      <c r="G467" s="237"/>
      <c r="H467" s="237"/>
      <c r="I467" s="237"/>
      <c r="J467" s="237"/>
      <c r="K467" s="237"/>
      <c r="L467" s="237"/>
      <c r="M467" s="237"/>
      <c r="N467" s="237"/>
      <c r="O467" s="237"/>
      <c r="P467" s="237"/>
      <c r="Q467" s="237"/>
      <c r="R467" s="237"/>
      <c r="S467" s="237"/>
      <c r="T467" s="237"/>
      <c r="U467" s="237"/>
      <c r="V467" s="237"/>
      <c r="W467" s="237"/>
      <c r="X467" s="237"/>
      <c r="Y467" s="237"/>
      <c r="Z467" s="237"/>
    </row>
    <row r="468" ht="14.25" customHeight="1" spans="1:26">
      <c r="A468" s="237"/>
      <c r="B468" s="237"/>
      <c r="C468" s="237"/>
      <c r="D468" s="237"/>
      <c r="E468" s="237"/>
      <c r="F468" s="237"/>
      <c r="G468" s="237"/>
      <c r="H468" s="237"/>
      <c r="I468" s="237"/>
      <c r="J468" s="237"/>
      <c r="K468" s="237"/>
      <c r="L468" s="237"/>
      <c r="M468" s="237"/>
      <c r="N468" s="237"/>
      <c r="O468" s="237"/>
      <c r="P468" s="237"/>
      <c r="Q468" s="237"/>
      <c r="R468" s="237"/>
      <c r="S468" s="237"/>
      <c r="T468" s="237"/>
      <c r="U468" s="237"/>
      <c r="V468" s="237"/>
      <c r="W468" s="237"/>
      <c r="X468" s="237"/>
      <c r="Y468" s="237"/>
      <c r="Z468" s="237"/>
    </row>
    <row r="469" ht="14.25" customHeight="1" spans="1:26">
      <c r="A469" s="237"/>
      <c r="B469" s="237"/>
      <c r="C469" s="237"/>
      <c r="D469" s="237"/>
      <c r="E469" s="237"/>
      <c r="F469" s="237"/>
      <c r="G469" s="237"/>
      <c r="H469" s="237"/>
      <c r="I469" s="237"/>
      <c r="J469" s="237"/>
      <c r="K469" s="237"/>
      <c r="L469" s="237"/>
      <c r="M469" s="237"/>
      <c r="N469" s="237"/>
      <c r="O469" s="237"/>
      <c r="P469" s="237"/>
      <c r="Q469" s="237"/>
      <c r="R469" s="237"/>
      <c r="S469" s="237"/>
      <c r="T469" s="237"/>
      <c r="U469" s="237"/>
      <c r="V469" s="237"/>
      <c r="W469" s="237"/>
      <c r="X469" s="237"/>
      <c r="Y469" s="237"/>
      <c r="Z469" s="237"/>
    </row>
    <row r="470" ht="14.25" customHeight="1" spans="1:26">
      <c r="A470" s="237"/>
      <c r="B470" s="237"/>
      <c r="C470" s="237"/>
      <c r="D470" s="237"/>
      <c r="E470" s="237"/>
      <c r="F470" s="237"/>
      <c r="G470" s="237"/>
      <c r="H470" s="237"/>
      <c r="I470" s="237"/>
      <c r="J470" s="237"/>
      <c r="K470" s="237"/>
      <c r="L470" s="237"/>
      <c r="M470" s="237"/>
      <c r="N470" s="237"/>
      <c r="O470" s="237"/>
      <c r="P470" s="237"/>
      <c r="Q470" s="237"/>
      <c r="R470" s="237"/>
      <c r="S470" s="237"/>
      <c r="T470" s="237"/>
      <c r="U470" s="237"/>
      <c r="V470" s="237"/>
      <c r="W470" s="237"/>
      <c r="X470" s="237"/>
      <c r="Y470" s="237"/>
      <c r="Z470" s="237"/>
    </row>
    <row r="471" ht="14.25" customHeight="1" spans="1:26">
      <c r="A471" s="237"/>
      <c r="B471" s="237"/>
      <c r="C471" s="237"/>
      <c r="D471" s="237"/>
      <c r="E471" s="237"/>
      <c r="F471" s="237"/>
      <c r="G471" s="237"/>
      <c r="H471" s="237"/>
      <c r="I471" s="237"/>
      <c r="J471" s="237"/>
      <c r="K471" s="237"/>
      <c r="L471" s="237"/>
      <c r="M471" s="237"/>
      <c r="N471" s="237"/>
      <c r="O471" s="237"/>
      <c r="P471" s="237"/>
      <c r="Q471" s="237"/>
      <c r="R471" s="237"/>
      <c r="S471" s="237"/>
      <c r="T471" s="237"/>
      <c r="U471" s="237"/>
      <c r="V471" s="237"/>
      <c r="W471" s="237"/>
      <c r="X471" s="237"/>
      <c r="Y471" s="237"/>
      <c r="Z471" s="237"/>
    </row>
    <row r="472" ht="14.25" customHeight="1" spans="1:26">
      <c r="A472" s="237"/>
      <c r="B472" s="237"/>
      <c r="C472" s="237"/>
      <c r="D472" s="237"/>
      <c r="E472" s="237"/>
      <c r="F472" s="237"/>
      <c r="G472" s="237"/>
      <c r="H472" s="237"/>
      <c r="I472" s="237"/>
      <c r="J472" s="237"/>
      <c r="K472" s="237"/>
      <c r="L472" s="237"/>
      <c r="M472" s="237"/>
      <c r="N472" s="237"/>
      <c r="O472" s="237"/>
      <c r="P472" s="237"/>
      <c r="Q472" s="237"/>
      <c r="R472" s="237"/>
      <c r="S472" s="237"/>
      <c r="T472" s="237"/>
      <c r="U472" s="237"/>
      <c r="V472" s="237"/>
      <c r="W472" s="237"/>
      <c r="X472" s="237"/>
      <c r="Y472" s="237"/>
      <c r="Z472" s="237"/>
    </row>
    <row r="473" ht="14.25" customHeight="1" spans="1:26">
      <c r="A473" s="237"/>
      <c r="B473" s="237"/>
      <c r="C473" s="237"/>
      <c r="D473" s="237"/>
      <c r="E473" s="237"/>
      <c r="F473" s="237"/>
      <c r="G473" s="237"/>
      <c r="H473" s="237"/>
      <c r="I473" s="237"/>
      <c r="J473" s="237"/>
      <c r="K473" s="237"/>
      <c r="L473" s="237"/>
      <c r="M473" s="237"/>
      <c r="N473" s="237"/>
      <c r="O473" s="237"/>
      <c r="P473" s="237"/>
      <c r="Q473" s="237"/>
      <c r="R473" s="237"/>
      <c r="S473" s="237"/>
      <c r="T473" s="237"/>
      <c r="U473" s="237"/>
      <c r="V473" s="237"/>
      <c r="W473" s="237"/>
      <c r="X473" s="237"/>
      <c r="Y473" s="237"/>
      <c r="Z473" s="237"/>
    </row>
    <row r="474" ht="14.25" customHeight="1" spans="1:26">
      <c r="A474" s="237"/>
      <c r="B474" s="237"/>
      <c r="C474" s="237"/>
      <c r="D474" s="237"/>
      <c r="E474" s="237"/>
      <c r="F474" s="237"/>
      <c r="G474" s="237"/>
      <c r="H474" s="237"/>
      <c r="I474" s="237"/>
      <c r="J474" s="237"/>
      <c r="K474" s="237"/>
      <c r="L474" s="237"/>
      <c r="M474" s="237"/>
      <c r="N474" s="237"/>
      <c r="O474" s="237"/>
      <c r="P474" s="237"/>
      <c r="Q474" s="237"/>
      <c r="R474" s="237"/>
      <c r="S474" s="237"/>
      <c r="T474" s="237"/>
      <c r="U474" s="237"/>
      <c r="V474" s="237"/>
      <c r="W474" s="237"/>
      <c r="X474" s="237"/>
      <c r="Y474" s="237"/>
      <c r="Z474" s="237"/>
    </row>
    <row r="475" ht="14.25" customHeight="1" spans="1:26">
      <c r="A475" s="237"/>
      <c r="B475" s="237"/>
      <c r="C475" s="237"/>
      <c r="D475" s="237"/>
      <c r="E475" s="237"/>
      <c r="F475" s="237"/>
      <c r="G475" s="237"/>
      <c r="H475" s="237"/>
      <c r="I475" s="237"/>
      <c r="J475" s="237"/>
      <c r="K475" s="237"/>
      <c r="L475" s="237"/>
      <c r="M475" s="237"/>
      <c r="N475" s="237"/>
      <c r="O475" s="237"/>
      <c r="P475" s="237"/>
      <c r="Q475" s="237"/>
      <c r="R475" s="237"/>
      <c r="S475" s="237"/>
      <c r="T475" s="237"/>
      <c r="U475" s="237"/>
      <c r="V475" s="237"/>
      <c r="W475" s="237"/>
      <c r="X475" s="237"/>
      <c r="Y475" s="237"/>
      <c r="Z475" s="237"/>
    </row>
    <row r="476" ht="14.25" customHeight="1" spans="1:26">
      <c r="A476" s="237"/>
      <c r="B476" s="237"/>
      <c r="C476" s="237"/>
      <c r="D476" s="237"/>
      <c r="E476" s="237"/>
      <c r="F476" s="237"/>
      <c r="G476" s="237"/>
      <c r="H476" s="237"/>
      <c r="I476" s="237"/>
      <c r="J476" s="237"/>
      <c r="K476" s="237"/>
      <c r="L476" s="237"/>
      <c r="M476" s="237"/>
      <c r="N476" s="237"/>
      <c r="O476" s="237"/>
      <c r="P476" s="237"/>
      <c r="Q476" s="237"/>
      <c r="R476" s="237"/>
      <c r="S476" s="237"/>
      <c r="T476" s="237"/>
      <c r="U476" s="237"/>
      <c r="V476" s="237"/>
      <c r="W476" s="237"/>
      <c r="X476" s="237"/>
      <c r="Y476" s="237"/>
      <c r="Z476" s="237"/>
    </row>
    <row r="477" ht="14.25" customHeight="1" spans="1:26">
      <c r="A477" s="237"/>
      <c r="B477" s="237"/>
      <c r="C477" s="237"/>
      <c r="D477" s="237"/>
      <c r="E477" s="237"/>
      <c r="F477" s="237"/>
      <c r="G477" s="237"/>
      <c r="H477" s="237"/>
      <c r="I477" s="237"/>
      <c r="J477" s="237"/>
      <c r="K477" s="237"/>
      <c r="L477" s="237"/>
      <c r="M477" s="237"/>
      <c r="N477" s="237"/>
      <c r="O477" s="237"/>
      <c r="P477" s="237"/>
      <c r="Q477" s="237"/>
      <c r="R477" s="237"/>
      <c r="S477" s="237"/>
      <c r="T477" s="237"/>
      <c r="U477" s="237"/>
      <c r="V477" s="237"/>
      <c r="W477" s="237"/>
      <c r="X477" s="237"/>
      <c r="Y477" s="237"/>
      <c r="Z477" s="237"/>
    </row>
    <row r="478" ht="14.25" customHeight="1" spans="1:26">
      <c r="A478" s="237"/>
      <c r="B478" s="237"/>
      <c r="C478" s="237"/>
      <c r="D478" s="237"/>
      <c r="E478" s="237"/>
      <c r="F478" s="237"/>
      <c r="G478" s="237"/>
      <c r="H478" s="237"/>
      <c r="I478" s="237"/>
      <c r="J478" s="237"/>
      <c r="K478" s="237"/>
      <c r="L478" s="237"/>
      <c r="M478" s="237"/>
      <c r="N478" s="237"/>
      <c r="O478" s="237"/>
      <c r="P478" s="237"/>
      <c r="Q478" s="237"/>
      <c r="R478" s="237"/>
      <c r="S478" s="237"/>
      <c r="T478" s="237"/>
      <c r="U478" s="237"/>
      <c r="V478" s="237"/>
      <c r="W478" s="237"/>
      <c r="X478" s="237"/>
      <c r="Y478" s="237"/>
      <c r="Z478" s="237"/>
    </row>
    <row r="479" ht="14.25" customHeight="1" spans="1:26">
      <c r="A479" s="237"/>
      <c r="B479" s="237"/>
      <c r="C479" s="237"/>
      <c r="D479" s="237"/>
      <c r="E479" s="237"/>
      <c r="F479" s="237"/>
      <c r="G479" s="237"/>
      <c r="H479" s="237"/>
      <c r="I479" s="237"/>
      <c r="J479" s="237"/>
      <c r="K479" s="237"/>
      <c r="L479" s="237"/>
      <c r="M479" s="237"/>
      <c r="N479" s="237"/>
      <c r="O479" s="237"/>
      <c r="P479" s="237"/>
      <c r="Q479" s="237"/>
      <c r="R479" s="237"/>
      <c r="S479" s="237"/>
      <c r="T479" s="237"/>
      <c r="U479" s="237"/>
      <c r="V479" s="237"/>
      <c r="W479" s="237"/>
      <c r="X479" s="237"/>
      <c r="Y479" s="237"/>
      <c r="Z479" s="237"/>
    </row>
    <row r="480" ht="14.25" customHeight="1" spans="1:26">
      <c r="A480" s="237"/>
      <c r="B480" s="237"/>
      <c r="C480" s="237"/>
      <c r="D480" s="237"/>
      <c r="E480" s="237"/>
      <c r="F480" s="237"/>
      <c r="G480" s="237"/>
      <c r="H480" s="237"/>
      <c r="I480" s="237"/>
      <c r="J480" s="237"/>
      <c r="K480" s="237"/>
      <c r="L480" s="237"/>
      <c r="M480" s="237"/>
      <c r="N480" s="237"/>
      <c r="O480" s="237"/>
      <c r="P480" s="237"/>
      <c r="Q480" s="237"/>
      <c r="R480" s="237"/>
      <c r="S480" s="237"/>
      <c r="T480" s="237"/>
      <c r="U480" s="237"/>
      <c r="V480" s="237"/>
      <c r="W480" s="237"/>
      <c r="X480" s="237"/>
      <c r="Y480" s="237"/>
      <c r="Z480" s="237"/>
    </row>
    <row r="481" ht="14.25" customHeight="1" spans="1:26">
      <c r="A481" s="237"/>
      <c r="B481" s="237"/>
      <c r="C481" s="237"/>
      <c r="D481" s="237"/>
      <c r="E481" s="237"/>
      <c r="F481" s="237"/>
      <c r="G481" s="237"/>
      <c r="H481" s="237"/>
      <c r="I481" s="237"/>
      <c r="J481" s="237"/>
      <c r="K481" s="237"/>
      <c r="L481" s="237"/>
      <c r="M481" s="237"/>
      <c r="N481" s="237"/>
      <c r="O481" s="237"/>
      <c r="P481" s="237"/>
      <c r="Q481" s="237"/>
      <c r="R481" s="237"/>
      <c r="S481" s="237"/>
      <c r="T481" s="237"/>
      <c r="U481" s="237"/>
      <c r="V481" s="237"/>
      <c r="W481" s="237"/>
      <c r="X481" s="237"/>
      <c r="Y481" s="237"/>
      <c r="Z481" s="237"/>
    </row>
    <row r="482" ht="14.25" customHeight="1" spans="1:26">
      <c r="A482" s="237"/>
      <c r="B482" s="237"/>
      <c r="C482" s="237"/>
      <c r="D482" s="237"/>
      <c r="E482" s="237"/>
      <c r="F482" s="237"/>
      <c r="G482" s="237"/>
      <c r="H482" s="237"/>
      <c r="I482" s="237"/>
      <c r="J482" s="237"/>
      <c r="K482" s="237"/>
      <c r="L482" s="237"/>
      <c r="M482" s="237"/>
      <c r="N482" s="237"/>
      <c r="O482" s="237"/>
      <c r="P482" s="237"/>
      <c r="Q482" s="237"/>
      <c r="R482" s="237"/>
      <c r="S482" s="237"/>
      <c r="T482" s="237"/>
      <c r="U482" s="237"/>
      <c r="V482" s="237"/>
      <c r="W482" s="237"/>
      <c r="X482" s="237"/>
      <c r="Y482" s="237"/>
      <c r="Z482" s="237"/>
    </row>
    <row r="483" ht="14.25" customHeight="1" spans="1:26">
      <c r="A483" s="237"/>
      <c r="B483" s="237"/>
      <c r="C483" s="237"/>
      <c r="D483" s="237"/>
      <c r="E483" s="237"/>
      <c r="F483" s="237"/>
      <c r="G483" s="237"/>
      <c r="H483" s="237"/>
      <c r="I483" s="237"/>
      <c r="J483" s="237"/>
      <c r="K483" s="237"/>
      <c r="L483" s="237"/>
      <c r="M483" s="237"/>
      <c r="N483" s="237"/>
      <c r="O483" s="237"/>
      <c r="P483" s="237"/>
      <c r="Q483" s="237"/>
      <c r="R483" s="237"/>
      <c r="S483" s="237"/>
      <c r="T483" s="237"/>
      <c r="U483" s="237"/>
      <c r="V483" s="237"/>
      <c r="W483" s="237"/>
      <c r="X483" s="237"/>
      <c r="Y483" s="237"/>
      <c r="Z483" s="237"/>
    </row>
    <row r="484" ht="14.25" customHeight="1" spans="1:26">
      <c r="A484" s="237"/>
      <c r="B484" s="237"/>
      <c r="C484" s="237"/>
      <c r="D484" s="237"/>
      <c r="E484" s="237"/>
      <c r="F484" s="237"/>
      <c r="G484" s="237"/>
      <c r="H484" s="237"/>
      <c r="I484" s="237"/>
      <c r="J484" s="237"/>
      <c r="K484" s="237"/>
      <c r="L484" s="237"/>
      <c r="M484" s="237"/>
      <c r="N484" s="237"/>
      <c r="O484" s="237"/>
      <c r="P484" s="237"/>
      <c r="Q484" s="237"/>
      <c r="R484" s="237"/>
      <c r="S484" s="237"/>
      <c r="T484" s="237"/>
      <c r="U484" s="237"/>
      <c r="V484" s="237"/>
      <c r="W484" s="237"/>
      <c r="X484" s="237"/>
      <c r="Y484" s="237"/>
      <c r="Z484" s="237"/>
    </row>
    <row r="485" ht="14.25" customHeight="1" spans="1:26">
      <c r="A485" s="237"/>
      <c r="B485" s="237"/>
      <c r="C485" s="237"/>
      <c r="D485" s="237"/>
      <c r="E485" s="237"/>
      <c r="F485" s="237"/>
      <c r="G485" s="237"/>
      <c r="H485" s="237"/>
      <c r="I485" s="237"/>
      <c r="J485" s="237"/>
      <c r="K485" s="237"/>
      <c r="L485" s="237"/>
      <c r="M485" s="237"/>
      <c r="N485" s="237"/>
      <c r="O485" s="237"/>
      <c r="P485" s="237"/>
      <c r="Q485" s="237"/>
      <c r="R485" s="237"/>
      <c r="S485" s="237"/>
      <c r="T485" s="237"/>
      <c r="U485" s="237"/>
      <c r="V485" s="237"/>
      <c r="W485" s="237"/>
      <c r="X485" s="237"/>
      <c r="Y485" s="237"/>
      <c r="Z485" s="237"/>
    </row>
    <row r="486" ht="14.25" customHeight="1" spans="1:26">
      <c r="A486" s="237"/>
      <c r="B486" s="237"/>
      <c r="C486" s="237"/>
      <c r="D486" s="237"/>
      <c r="E486" s="237"/>
      <c r="F486" s="237"/>
      <c r="G486" s="237"/>
      <c r="H486" s="237"/>
      <c r="I486" s="237"/>
      <c r="J486" s="237"/>
      <c r="K486" s="237"/>
      <c r="L486" s="237"/>
      <c r="M486" s="237"/>
      <c r="N486" s="237"/>
      <c r="O486" s="237"/>
      <c r="P486" s="237"/>
      <c r="Q486" s="237"/>
      <c r="R486" s="237"/>
      <c r="S486" s="237"/>
      <c r="T486" s="237"/>
      <c r="U486" s="237"/>
      <c r="V486" s="237"/>
      <c r="W486" s="237"/>
      <c r="X486" s="237"/>
      <c r="Y486" s="237"/>
      <c r="Z486" s="237"/>
    </row>
    <row r="487" ht="14.25" customHeight="1" spans="1:26">
      <c r="A487" s="237"/>
      <c r="B487" s="237"/>
      <c r="C487" s="237"/>
      <c r="D487" s="237"/>
      <c r="E487" s="237"/>
      <c r="F487" s="237"/>
      <c r="G487" s="237"/>
      <c r="H487" s="237"/>
      <c r="I487" s="237"/>
      <c r="J487" s="237"/>
      <c r="K487" s="237"/>
      <c r="L487" s="237"/>
      <c r="M487" s="237"/>
      <c r="N487" s="237"/>
      <c r="O487" s="237"/>
      <c r="P487" s="237"/>
      <c r="Q487" s="237"/>
      <c r="R487" s="237"/>
      <c r="S487" s="237"/>
      <c r="T487" s="237"/>
      <c r="U487" s="237"/>
      <c r="V487" s="237"/>
      <c r="W487" s="237"/>
      <c r="X487" s="237"/>
      <c r="Y487" s="237"/>
      <c r="Z487" s="237"/>
    </row>
    <row r="488" ht="14.25" customHeight="1" spans="1:26">
      <c r="A488" s="237"/>
      <c r="B488" s="237"/>
      <c r="C488" s="237"/>
      <c r="D488" s="237"/>
      <c r="E488" s="237"/>
      <c r="F488" s="237"/>
      <c r="G488" s="237"/>
      <c r="H488" s="237"/>
      <c r="I488" s="237"/>
      <c r="J488" s="237"/>
      <c r="K488" s="237"/>
      <c r="L488" s="237"/>
      <c r="M488" s="237"/>
      <c r="N488" s="237"/>
      <c r="O488" s="237"/>
      <c r="P488" s="237"/>
      <c r="Q488" s="237"/>
      <c r="R488" s="237"/>
      <c r="S488" s="237"/>
      <c r="T488" s="237"/>
      <c r="U488" s="237"/>
      <c r="V488" s="237"/>
      <c r="W488" s="237"/>
      <c r="X488" s="237"/>
      <c r="Y488" s="237"/>
      <c r="Z488" s="237"/>
    </row>
    <row r="489" ht="14.25" customHeight="1" spans="1:26">
      <c r="A489" s="237"/>
      <c r="B489" s="237"/>
      <c r="C489" s="237"/>
      <c r="D489" s="237"/>
      <c r="E489" s="237"/>
      <c r="F489" s="237"/>
      <c r="G489" s="237"/>
      <c r="H489" s="237"/>
      <c r="I489" s="237"/>
      <c r="J489" s="237"/>
      <c r="K489" s="237"/>
      <c r="L489" s="237"/>
      <c r="M489" s="237"/>
      <c r="N489" s="237"/>
      <c r="O489" s="237"/>
      <c r="P489" s="237"/>
      <c r="Q489" s="237"/>
      <c r="R489" s="237"/>
      <c r="S489" s="237"/>
      <c r="T489" s="237"/>
      <c r="U489" s="237"/>
      <c r="V489" s="237"/>
      <c r="W489" s="237"/>
      <c r="X489" s="237"/>
      <c r="Y489" s="237"/>
      <c r="Z489" s="237"/>
    </row>
    <row r="490" ht="14.25" customHeight="1" spans="1:26">
      <c r="A490" s="237"/>
      <c r="B490" s="237"/>
      <c r="C490" s="237"/>
      <c r="D490" s="237"/>
      <c r="E490" s="237"/>
      <c r="F490" s="237"/>
      <c r="G490" s="237"/>
      <c r="H490" s="237"/>
      <c r="I490" s="237"/>
      <c r="J490" s="237"/>
      <c r="K490" s="237"/>
      <c r="L490" s="237"/>
      <c r="M490" s="237"/>
      <c r="N490" s="237"/>
      <c r="O490" s="237"/>
      <c r="P490" s="237"/>
      <c r="Q490" s="237"/>
      <c r="R490" s="237"/>
      <c r="S490" s="237"/>
      <c r="T490" s="237"/>
      <c r="U490" s="237"/>
      <c r="V490" s="237"/>
      <c r="W490" s="237"/>
      <c r="X490" s="237"/>
      <c r="Y490" s="237"/>
      <c r="Z490" s="237"/>
    </row>
    <row r="491" ht="14.25" customHeight="1" spans="1:26">
      <c r="A491" s="237"/>
      <c r="B491" s="237"/>
      <c r="C491" s="237"/>
      <c r="D491" s="237"/>
      <c r="E491" s="237"/>
      <c r="F491" s="237"/>
      <c r="G491" s="237"/>
      <c r="H491" s="237"/>
      <c r="I491" s="237"/>
      <c r="J491" s="237"/>
      <c r="K491" s="237"/>
      <c r="L491" s="237"/>
      <c r="M491" s="237"/>
      <c r="N491" s="237"/>
      <c r="O491" s="237"/>
      <c r="P491" s="237"/>
      <c r="Q491" s="237"/>
      <c r="R491" s="237"/>
      <c r="S491" s="237"/>
      <c r="T491" s="237"/>
      <c r="U491" s="237"/>
      <c r="V491" s="237"/>
      <c r="W491" s="237"/>
      <c r="X491" s="237"/>
      <c r="Y491" s="237"/>
      <c r="Z491" s="237"/>
    </row>
    <row r="492" ht="14.25" customHeight="1" spans="1:26">
      <c r="A492" s="237"/>
      <c r="B492" s="237"/>
      <c r="C492" s="237"/>
      <c r="D492" s="237"/>
      <c r="E492" s="237"/>
      <c r="F492" s="237"/>
      <c r="G492" s="237"/>
      <c r="H492" s="237"/>
      <c r="I492" s="237"/>
      <c r="J492" s="237"/>
      <c r="K492" s="237"/>
      <c r="L492" s="237"/>
      <c r="M492" s="237"/>
      <c r="N492" s="237"/>
      <c r="O492" s="237"/>
      <c r="P492" s="237"/>
      <c r="Q492" s="237"/>
      <c r="R492" s="237"/>
      <c r="S492" s="237"/>
      <c r="T492" s="237"/>
      <c r="U492" s="237"/>
      <c r="V492" s="237"/>
      <c r="W492" s="237"/>
      <c r="X492" s="237"/>
      <c r="Y492" s="237"/>
      <c r="Z492" s="237"/>
    </row>
    <row r="493" ht="14.25" customHeight="1" spans="1:26">
      <c r="A493" s="237"/>
      <c r="B493" s="237"/>
      <c r="C493" s="237"/>
      <c r="D493" s="237"/>
      <c r="E493" s="237"/>
      <c r="F493" s="237"/>
      <c r="G493" s="237"/>
      <c r="H493" s="237"/>
      <c r="I493" s="237"/>
      <c r="J493" s="237"/>
      <c r="K493" s="237"/>
      <c r="L493" s="237"/>
      <c r="M493" s="237"/>
      <c r="N493" s="237"/>
      <c r="O493" s="237"/>
      <c r="P493" s="237"/>
      <c r="Q493" s="237"/>
      <c r="R493" s="237"/>
      <c r="S493" s="237"/>
      <c r="T493" s="237"/>
      <c r="U493" s="237"/>
      <c r="V493" s="237"/>
      <c r="W493" s="237"/>
      <c r="X493" s="237"/>
      <c r="Y493" s="237"/>
      <c r="Z493" s="237"/>
    </row>
    <row r="494" ht="14.25" customHeight="1" spans="1:26">
      <c r="A494" s="237"/>
      <c r="B494" s="237"/>
      <c r="C494" s="237"/>
      <c r="D494" s="237"/>
      <c r="E494" s="237"/>
      <c r="F494" s="237"/>
      <c r="G494" s="237"/>
      <c r="H494" s="237"/>
      <c r="I494" s="237"/>
      <c r="J494" s="237"/>
      <c r="K494" s="237"/>
      <c r="L494" s="237"/>
      <c r="M494" s="237"/>
      <c r="N494" s="237"/>
      <c r="O494" s="237"/>
      <c r="P494" s="237"/>
      <c r="Q494" s="237"/>
      <c r="R494" s="237"/>
      <c r="S494" s="237"/>
      <c r="T494" s="237"/>
      <c r="U494" s="237"/>
      <c r="V494" s="237"/>
      <c r="W494" s="237"/>
      <c r="X494" s="237"/>
      <c r="Y494" s="237"/>
      <c r="Z494" s="237"/>
    </row>
    <row r="495" ht="14.25" customHeight="1" spans="1:26">
      <c r="A495" s="237"/>
      <c r="B495" s="237"/>
      <c r="C495" s="237"/>
      <c r="D495" s="237"/>
      <c r="E495" s="237"/>
      <c r="F495" s="237"/>
      <c r="G495" s="237"/>
      <c r="H495" s="237"/>
      <c r="I495" s="237"/>
      <c r="J495" s="237"/>
      <c r="K495" s="237"/>
      <c r="L495" s="237"/>
      <c r="M495" s="237"/>
      <c r="N495" s="237"/>
      <c r="O495" s="237"/>
      <c r="P495" s="237"/>
      <c r="Q495" s="237"/>
      <c r="R495" s="237"/>
      <c r="S495" s="237"/>
      <c r="T495" s="237"/>
      <c r="U495" s="237"/>
      <c r="V495" s="237"/>
      <c r="W495" s="237"/>
      <c r="X495" s="237"/>
      <c r="Y495" s="237"/>
      <c r="Z495" s="237"/>
    </row>
    <row r="496" ht="14.25" customHeight="1" spans="1:26">
      <c r="A496" s="237"/>
      <c r="B496" s="237"/>
      <c r="C496" s="237"/>
      <c r="D496" s="237"/>
      <c r="E496" s="237"/>
      <c r="F496" s="237"/>
      <c r="G496" s="237"/>
      <c r="H496" s="237"/>
      <c r="I496" s="237"/>
      <c r="J496" s="237"/>
      <c r="K496" s="237"/>
      <c r="L496" s="237"/>
      <c r="M496" s="237"/>
      <c r="N496" s="237"/>
      <c r="O496" s="237"/>
      <c r="P496" s="237"/>
      <c r="Q496" s="237"/>
      <c r="R496" s="237"/>
      <c r="S496" s="237"/>
      <c r="T496" s="237"/>
      <c r="U496" s="237"/>
      <c r="V496" s="237"/>
      <c r="W496" s="237"/>
      <c r="X496" s="237"/>
      <c r="Y496" s="237"/>
      <c r="Z496" s="237"/>
    </row>
    <row r="497" ht="14.25" customHeight="1" spans="1:26">
      <c r="A497" s="237"/>
      <c r="B497" s="237"/>
      <c r="C497" s="237"/>
      <c r="D497" s="237"/>
      <c r="E497" s="237"/>
      <c r="F497" s="237"/>
      <c r="G497" s="237"/>
      <c r="H497" s="237"/>
      <c r="I497" s="237"/>
      <c r="J497" s="237"/>
      <c r="K497" s="237"/>
      <c r="L497" s="237"/>
      <c r="M497" s="237"/>
      <c r="N497" s="237"/>
      <c r="O497" s="237"/>
      <c r="P497" s="237"/>
      <c r="Q497" s="237"/>
      <c r="R497" s="237"/>
      <c r="S497" s="237"/>
      <c r="T497" s="237"/>
      <c r="U497" s="237"/>
      <c r="V497" s="237"/>
      <c r="W497" s="237"/>
      <c r="X497" s="237"/>
      <c r="Y497" s="237"/>
      <c r="Z497" s="237"/>
    </row>
    <row r="498" ht="14.25" customHeight="1" spans="1:26">
      <c r="A498" s="237"/>
      <c r="B498" s="237"/>
      <c r="C498" s="237"/>
      <c r="D498" s="237"/>
      <c r="E498" s="237"/>
      <c r="F498" s="237"/>
      <c r="G498" s="237"/>
      <c r="H498" s="237"/>
      <c r="I498" s="237"/>
      <c r="J498" s="237"/>
      <c r="K498" s="237"/>
      <c r="L498" s="237"/>
      <c r="M498" s="237"/>
      <c r="N498" s="237"/>
      <c r="O498" s="237"/>
      <c r="P498" s="237"/>
      <c r="Q498" s="237"/>
      <c r="R498" s="237"/>
      <c r="S498" s="237"/>
      <c r="T498" s="237"/>
      <c r="U498" s="237"/>
      <c r="V498" s="237"/>
      <c r="W498" s="237"/>
      <c r="X498" s="237"/>
      <c r="Y498" s="237"/>
      <c r="Z498" s="237"/>
    </row>
    <row r="499" ht="14.25" customHeight="1" spans="1:26">
      <c r="A499" s="237"/>
      <c r="B499" s="237"/>
      <c r="C499" s="237"/>
      <c r="D499" s="237"/>
      <c r="E499" s="237"/>
      <c r="F499" s="237"/>
      <c r="G499" s="237"/>
      <c r="H499" s="237"/>
      <c r="I499" s="237"/>
      <c r="J499" s="237"/>
      <c r="K499" s="237"/>
      <c r="L499" s="237"/>
      <c r="M499" s="237"/>
      <c r="N499" s="237"/>
      <c r="O499" s="237"/>
      <c r="P499" s="237"/>
      <c r="Q499" s="237"/>
      <c r="R499" s="237"/>
      <c r="S499" s="237"/>
      <c r="T499" s="237"/>
      <c r="U499" s="237"/>
      <c r="V499" s="237"/>
      <c r="W499" s="237"/>
      <c r="X499" s="237"/>
      <c r="Y499" s="237"/>
      <c r="Z499" s="237"/>
    </row>
    <row r="500" ht="14.25" customHeight="1" spans="1:26">
      <c r="A500" s="237"/>
      <c r="B500" s="237"/>
      <c r="C500" s="237"/>
      <c r="D500" s="237"/>
      <c r="E500" s="237"/>
      <c r="F500" s="237"/>
      <c r="G500" s="237"/>
      <c r="H500" s="237"/>
      <c r="I500" s="237"/>
      <c r="J500" s="237"/>
      <c r="K500" s="237"/>
      <c r="L500" s="237"/>
      <c r="M500" s="237"/>
      <c r="N500" s="237"/>
      <c r="O500" s="237"/>
      <c r="P500" s="237"/>
      <c r="Q500" s="237"/>
      <c r="R500" s="237"/>
      <c r="S500" s="237"/>
      <c r="T500" s="237"/>
      <c r="U500" s="237"/>
      <c r="V500" s="237"/>
      <c r="W500" s="237"/>
      <c r="X500" s="237"/>
      <c r="Y500" s="237"/>
      <c r="Z500" s="237"/>
    </row>
    <row r="501" ht="14.25" customHeight="1" spans="1:26">
      <c r="A501" s="237"/>
      <c r="B501" s="237"/>
      <c r="C501" s="237"/>
      <c r="D501" s="237"/>
      <c r="E501" s="237"/>
      <c r="F501" s="237"/>
      <c r="G501" s="237"/>
      <c r="H501" s="237"/>
      <c r="I501" s="237"/>
      <c r="J501" s="237"/>
      <c r="K501" s="237"/>
      <c r="L501" s="237"/>
      <c r="M501" s="237"/>
      <c r="N501" s="237"/>
      <c r="O501" s="237"/>
      <c r="P501" s="237"/>
      <c r="Q501" s="237"/>
      <c r="R501" s="237"/>
      <c r="S501" s="237"/>
      <c r="T501" s="237"/>
      <c r="U501" s="237"/>
      <c r="V501" s="237"/>
      <c r="W501" s="237"/>
      <c r="X501" s="237"/>
      <c r="Y501" s="237"/>
      <c r="Z501" s="237"/>
    </row>
    <row r="502" ht="14.25" customHeight="1" spans="1:26">
      <c r="A502" s="237"/>
      <c r="B502" s="237"/>
      <c r="C502" s="237"/>
      <c r="D502" s="237"/>
      <c r="E502" s="237"/>
      <c r="F502" s="237"/>
      <c r="G502" s="237"/>
      <c r="H502" s="237"/>
      <c r="I502" s="237"/>
      <c r="J502" s="237"/>
      <c r="K502" s="237"/>
      <c r="L502" s="237"/>
      <c r="M502" s="237"/>
      <c r="N502" s="237"/>
      <c r="O502" s="237"/>
      <c r="P502" s="237"/>
      <c r="Q502" s="237"/>
      <c r="R502" s="237"/>
      <c r="S502" s="237"/>
      <c r="T502" s="237"/>
      <c r="U502" s="237"/>
      <c r="V502" s="237"/>
      <c r="W502" s="237"/>
      <c r="X502" s="237"/>
      <c r="Y502" s="237"/>
      <c r="Z502" s="237"/>
    </row>
    <row r="503" ht="14.25" customHeight="1" spans="1:26">
      <c r="A503" s="237"/>
      <c r="B503" s="237"/>
      <c r="C503" s="237"/>
      <c r="D503" s="237"/>
      <c r="E503" s="237"/>
      <c r="F503" s="237"/>
      <c r="G503" s="237"/>
      <c r="H503" s="237"/>
      <c r="I503" s="237"/>
      <c r="J503" s="237"/>
      <c r="K503" s="237"/>
      <c r="L503" s="237"/>
      <c r="M503" s="237"/>
      <c r="N503" s="237"/>
      <c r="O503" s="237"/>
      <c r="P503" s="237"/>
      <c r="Q503" s="237"/>
      <c r="R503" s="237"/>
      <c r="S503" s="237"/>
      <c r="T503" s="237"/>
      <c r="U503" s="237"/>
      <c r="V503" s="237"/>
      <c r="W503" s="237"/>
      <c r="X503" s="237"/>
      <c r="Y503" s="237"/>
      <c r="Z503" s="237"/>
    </row>
    <row r="504" ht="14.25" customHeight="1" spans="1:26">
      <c r="A504" s="237"/>
      <c r="B504" s="237"/>
      <c r="C504" s="237"/>
      <c r="D504" s="237"/>
      <c r="E504" s="237"/>
      <c r="F504" s="237"/>
      <c r="G504" s="237"/>
      <c r="H504" s="237"/>
      <c r="I504" s="237"/>
      <c r="J504" s="237"/>
      <c r="K504" s="237"/>
      <c r="L504" s="237"/>
      <c r="M504" s="237"/>
      <c r="N504" s="237"/>
      <c r="O504" s="237"/>
      <c r="P504" s="237"/>
      <c r="Q504" s="237"/>
      <c r="R504" s="237"/>
      <c r="S504" s="237"/>
      <c r="T504" s="237"/>
      <c r="U504" s="237"/>
      <c r="V504" s="237"/>
      <c r="W504" s="237"/>
      <c r="X504" s="237"/>
      <c r="Y504" s="237"/>
      <c r="Z504" s="237"/>
    </row>
    <row r="505" ht="14.25" customHeight="1" spans="1:26">
      <c r="A505" s="237"/>
      <c r="B505" s="237"/>
      <c r="C505" s="237"/>
      <c r="D505" s="237"/>
      <c r="E505" s="237"/>
      <c r="F505" s="237"/>
      <c r="G505" s="237"/>
      <c r="H505" s="237"/>
      <c r="I505" s="237"/>
      <c r="J505" s="237"/>
      <c r="K505" s="237"/>
      <c r="L505" s="237"/>
      <c r="M505" s="237"/>
      <c r="N505" s="237"/>
      <c r="O505" s="237"/>
      <c r="P505" s="237"/>
      <c r="Q505" s="237"/>
      <c r="R505" s="237"/>
      <c r="S505" s="237"/>
      <c r="T505" s="237"/>
      <c r="U505" s="237"/>
      <c r="V505" s="237"/>
      <c r="W505" s="237"/>
      <c r="X505" s="237"/>
      <c r="Y505" s="237"/>
      <c r="Z505" s="237"/>
    </row>
    <row r="506" ht="14.25" customHeight="1" spans="1:26">
      <c r="A506" s="237"/>
      <c r="B506" s="237"/>
      <c r="C506" s="237"/>
      <c r="D506" s="237"/>
      <c r="E506" s="237"/>
      <c r="F506" s="237"/>
      <c r="G506" s="237"/>
      <c r="H506" s="237"/>
      <c r="I506" s="237"/>
      <c r="J506" s="237"/>
      <c r="K506" s="237"/>
      <c r="L506" s="237"/>
      <c r="M506" s="237"/>
      <c r="N506" s="237"/>
      <c r="O506" s="237"/>
      <c r="P506" s="237"/>
      <c r="Q506" s="237"/>
      <c r="R506" s="237"/>
      <c r="S506" s="237"/>
      <c r="T506" s="237"/>
      <c r="U506" s="237"/>
      <c r="V506" s="237"/>
      <c r="W506" s="237"/>
      <c r="X506" s="237"/>
      <c r="Y506" s="237"/>
      <c r="Z506" s="237"/>
    </row>
    <row r="507" ht="14.25" customHeight="1" spans="1:26">
      <c r="A507" s="237"/>
      <c r="B507" s="237"/>
      <c r="C507" s="237"/>
      <c r="D507" s="237"/>
      <c r="E507" s="237"/>
      <c r="F507" s="237"/>
      <c r="G507" s="237"/>
      <c r="H507" s="237"/>
      <c r="I507" s="237"/>
      <c r="J507" s="237"/>
      <c r="K507" s="237"/>
      <c r="L507" s="237"/>
      <c r="M507" s="237"/>
      <c r="N507" s="237"/>
      <c r="O507" s="237"/>
      <c r="P507" s="237"/>
      <c r="Q507" s="237"/>
      <c r="R507" s="237"/>
      <c r="S507" s="237"/>
      <c r="T507" s="237"/>
      <c r="U507" s="237"/>
      <c r="V507" s="237"/>
      <c r="W507" s="237"/>
      <c r="X507" s="237"/>
      <c r="Y507" s="237"/>
      <c r="Z507" s="237"/>
    </row>
    <row r="508" ht="14.25" customHeight="1" spans="1:26">
      <c r="A508" s="237"/>
      <c r="B508" s="237"/>
      <c r="C508" s="237"/>
      <c r="D508" s="237"/>
      <c r="E508" s="237"/>
      <c r="F508" s="237"/>
      <c r="G508" s="237"/>
      <c r="H508" s="237"/>
      <c r="I508" s="237"/>
      <c r="J508" s="237"/>
      <c r="K508" s="237"/>
      <c r="L508" s="237"/>
      <c r="M508" s="237"/>
      <c r="N508" s="237"/>
      <c r="O508" s="237"/>
      <c r="P508" s="237"/>
      <c r="Q508" s="237"/>
      <c r="R508" s="237"/>
      <c r="S508" s="237"/>
      <c r="T508" s="237"/>
      <c r="U508" s="237"/>
      <c r="V508" s="237"/>
      <c r="W508" s="237"/>
      <c r="X508" s="237"/>
      <c r="Y508" s="237"/>
      <c r="Z508" s="237"/>
    </row>
    <row r="509" ht="14.25" customHeight="1" spans="1:26">
      <c r="A509" s="237"/>
      <c r="B509" s="237"/>
      <c r="C509" s="237"/>
      <c r="D509" s="237"/>
      <c r="E509" s="237"/>
      <c r="F509" s="237"/>
      <c r="G509" s="237"/>
      <c r="H509" s="237"/>
      <c r="I509" s="237"/>
      <c r="J509" s="237"/>
      <c r="K509" s="237"/>
      <c r="L509" s="237"/>
      <c r="M509" s="237"/>
      <c r="N509" s="237"/>
      <c r="O509" s="237"/>
      <c r="P509" s="237"/>
      <c r="Q509" s="237"/>
      <c r="R509" s="237"/>
      <c r="S509" s="237"/>
      <c r="T509" s="237"/>
      <c r="U509" s="237"/>
      <c r="V509" s="237"/>
      <c r="W509" s="237"/>
      <c r="X509" s="237"/>
      <c r="Y509" s="237"/>
      <c r="Z509" s="237"/>
    </row>
    <row r="510" ht="14.25" customHeight="1" spans="1:26">
      <c r="A510" s="237"/>
      <c r="B510" s="237"/>
      <c r="C510" s="237"/>
      <c r="D510" s="237"/>
      <c r="E510" s="237"/>
      <c r="F510" s="237"/>
      <c r="G510" s="237"/>
      <c r="H510" s="237"/>
      <c r="I510" s="237"/>
      <c r="J510" s="237"/>
      <c r="K510" s="237"/>
      <c r="L510" s="237"/>
      <c r="M510" s="237"/>
      <c r="N510" s="237"/>
      <c r="O510" s="237"/>
      <c r="P510" s="237"/>
      <c r="Q510" s="237"/>
      <c r="R510" s="237"/>
      <c r="S510" s="237"/>
      <c r="T510" s="237"/>
      <c r="U510" s="237"/>
      <c r="V510" s="237"/>
      <c r="W510" s="237"/>
      <c r="X510" s="237"/>
      <c r="Y510" s="237"/>
      <c r="Z510" s="237"/>
    </row>
    <row r="511" ht="14.25" customHeight="1" spans="1:26">
      <c r="A511" s="237"/>
      <c r="B511" s="237"/>
      <c r="C511" s="237"/>
      <c r="D511" s="237"/>
      <c r="E511" s="237"/>
      <c r="F511" s="237"/>
      <c r="G511" s="237"/>
      <c r="H511" s="237"/>
      <c r="I511" s="237"/>
      <c r="J511" s="237"/>
      <c r="K511" s="237"/>
      <c r="L511" s="237"/>
      <c r="M511" s="237"/>
      <c r="N511" s="237"/>
      <c r="O511" s="237"/>
      <c r="P511" s="237"/>
      <c r="Q511" s="237"/>
      <c r="R511" s="237"/>
      <c r="S511" s="237"/>
      <c r="T511" s="237"/>
      <c r="U511" s="237"/>
      <c r="V511" s="237"/>
      <c r="W511" s="237"/>
      <c r="X511" s="237"/>
      <c r="Y511" s="237"/>
      <c r="Z511" s="237"/>
    </row>
    <row r="512" ht="14.25" customHeight="1" spans="1:26">
      <c r="A512" s="237"/>
      <c r="B512" s="237"/>
      <c r="C512" s="237"/>
      <c r="D512" s="237"/>
      <c r="E512" s="237"/>
      <c r="F512" s="237"/>
      <c r="G512" s="237"/>
      <c r="H512" s="237"/>
      <c r="I512" s="237"/>
      <c r="J512" s="237"/>
      <c r="K512" s="237"/>
      <c r="L512" s="237"/>
      <c r="M512" s="237"/>
      <c r="N512" s="237"/>
      <c r="O512" s="237"/>
      <c r="P512" s="237"/>
      <c r="Q512" s="237"/>
      <c r="R512" s="237"/>
      <c r="S512" s="237"/>
      <c r="T512" s="237"/>
      <c r="U512" s="237"/>
      <c r="V512" s="237"/>
      <c r="W512" s="237"/>
      <c r="X512" s="237"/>
      <c r="Y512" s="237"/>
      <c r="Z512" s="237"/>
    </row>
    <row r="513" ht="14.25" customHeight="1" spans="1:26">
      <c r="A513" s="237"/>
      <c r="B513" s="237"/>
      <c r="C513" s="237"/>
      <c r="D513" s="237"/>
      <c r="E513" s="237"/>
      <c r="F513" s="237"/>
      <c r="G513" s="237"/>
      <c r="H513" s="237"/>
      <c r="I513" s="237"/>
      <c r="J513" s="237"/>
      <c r="K513" s="237"/>
      <c r="L513" s="237"/>
      <c r="M513" s="237"/>
      <c r="N513" s="237"/>
      <c r="O513" s="237"/>
      <c r="P513" s="237"/>
      <c r="Q513" s="237"/>
      <c r="R513" s="237"/>
      <c r="S513" s="237"/>
      <c r="T513" s="237"/>
      <c r="U513" s="237"/>
      <c r="V513" s="237"/>
      <c r="W513" s="237"/>
      <c r="X513" s="237"/>
      <c r="Y513" s="237"/>
      <c r="Z513" s="237"/>
    </row>
    <row r="514" ht="14.25" customHeight="1" spans="1:26">
      <c r="A514" s="237"/>
      <c r="B514" s="237"/>
      <c r="C514" s="237"/>
      <c r="D514" s="237"/>
      <c r="E514" s="237"/>
      <c r="F514" s="237"/>
      <c r="G514" s="237"/>
      <c r="H514" s="237"/>
      <c r="I514" s="237"/>
      <c r="J514" s="237"/>
      <c r="K514" s="237"/>
      <c r="L514" s="237"/>
      <c r="M514" s="237"/>
      <c r="N514" s="237"/>
      <c r="O514" s="237"/>
      <c r="P514" s="237"/>
      <c r="Q514" s="237"/>
      <c r="R514" s="237"/>
      <c r="S514" s="237"/>
      <c r="T514" s="237"/>
      <c r="U514" s="237"/>
      <c r="V514" s="237"/>
      <c r="W514" s="237"/>
      <c r="X514" s="237"/>
      <c r="Y514" s="237"/>
      <c r="Z514" s="237"/>
    </row>
    <row r="515" ht="14.25" customHeight="1" spans="1:26">
      <c r="A515" s="237"/>
      <c r="B515" s="237"/>
      <c r="C515" s="237"/>
      <c r="D515" s="237"/>
      <c r="E515" s="237"/>
      <c r="F515" s="237"/>
      <c r="G515" s="237"/>
      <c r="H515" s="237"/>
      <c r="I515" s="237"/>
      <c r="J515" s="237"/>
      <c r="K515" s="237"/>
      <c r="L515" s="237"/>
      <c r="M515" s="237"/>
      <c r="N515" s="237"/>
      <c r="O515" s="237"/>
      <c r="P515" s="237"/>
      <c r="Q515" s="237"/>
      <c r="R515" s="237"/>
      <c r="S515" s="237"/>
      <c r="T515" s="237"/>
      <c r="U515" s="237"/>
      <c r="V515" s="237"/>
      <c r="W515" s="237"/>
      <c r="X515" s="237"/>
      <c r="Y515" s="237"/>
      <c r="Z515" s="237"/>
    </row>
    <row r="516" ht="14.25" customHeight="1" spans="1:26">
      <c r="A516" s="237"/>
      <c r="B516" s="237"/>
      <c r="C516" s="237"/>
      <c r="D516" s="237"/>
      <c r="E516" s="237"/>
      <c r="F516" s="237"/>
      <c r="G516" s="237"/>
      <c r="H516" s="237"/>
      <c r="I516" s="237"/>
      <c r="J516" s="237"/>
      <c r="K516" s="237"/>
      <c r="L516" s="237"/>
      <c r="M516" s="237"/>
      <c r="N516" s="237"/>
      <c r="O516" s="237"/>
      <c r="P516" s="237"/>
      <c r="Q516" s="237"/>
      <c r="R516" s="237"/>
      <c r="S516" s="237"/>
      <c r="T516" s="237"/>
      <c r="U516" s="237"/>
      <c r="V516" s="237"/>
      <c r="W516" s="237"/>
      <c r="X516" s="237"/>
      <c r="Y516" s="237"/>
      <c r="Z516" s="237"/>
    </row>
    <row r="517" ht="14.25" customHeight="1" spans="1:26">
      <c r="A517" s="237"/>
      <c r="B517" s="237"/>
      <c r="C517" s="237"/>
      <c r="D517" s="237"/>
      <c r="E517" s="237"/>
      <c r="F517" s="237"/>
      <c r="G517" s="237"/>
      <c r="H517" s="237"/>
      <c r="I517" s="237"/>
      <c r="J517" s="237"/>
      <c r="K517" s="237"/>
      <c r="L517" s="237"/>
      <c r="M517" s="237"/>
      <c r="N517" s="237"/>
      <c r="O517" s="237"/>
      <c r="P517" s="237"/>
      <c r="Q517" s="237"/>
      <c r="R517" s="237"/>
      <c r="S517" s="237"/>
      <c r="T517" s="237"/>
      <c r="U517" s="237"/>
      <c r="V517" s="237"/>
      <c r="W517" s="237"/>
      <c r="X517" s="237"/>
      <c r="Y517" s="237"/>
      <c r="Z517" s="237"/>
    </row>
    <row r="518" ht="14.25" customHeight="1" spans="1:26">
      <c r="A518" s="237"/>
      <c r="B518" s="237"/>
      <c r="C518" s="237"/>
      <c r="D518" s="237"/>
      <c r="E518" s="237"/>
      <c r="F518" s="237"/>
      <c r="G518" s="237"/>
      <c r="H518" s="237"/>
      <c r="I518" s="237"/>
      <c r="J518" s="237"/>
      <c r="K518" s="237"/>
      <c r="L518" s="237"/>
      <c r="M518" s="237"/>
      <c r="N518" s="237"/>
      <c r="O518" s="237"/>
      <c r="P518" s="237"/>
      <c r="Q518" s="237"/>
      <c r="R518" s="237"/>
      <c r="S518" s="237"/>
      <c r="T518" s="237"/>
      <c r="U518" s="237"/>
      <c r="V518" s="237"/>
      <c r="W518" s="237"/>
      <c r="X518" s="237"/>
      <c r="Y518" s="237"/>
      <c r="Z518" s="237"/>
    </row>
    <row r="519" ht="14.25" customHeight="1" spans="1:26">
      <c r="A519" s="237"/>
      <c r="B519" s="237"/>
      <c r="C519" s="237"/>
      <c r="D519" s="237"/>
      <c r="E519" s="237"/>
      <c r="F519" s="237"/>
      <c r="G519" s="237"/>
      <c r="H519" s="237"/>
      <c r="I519" s="237"/>
      <c r="J519" s="237"/>
      <c r="K519" s="237"/>
      <c r="L519" s="237"/>
      <c r="M519" s="237"/>
      <c r="N519" s="237"/>
      <c r="O519" s="237"/>
      <c r="P519" s="237"/>
      <c r="Q519" s="237"/>
      <c r="R519" s="237"/>
      <c r="S519" s="237"/>
      <c r="T519" s="237"/>
      <c r="U519" s="237"/>
      <c r="V519" s="237"/>
      <c r="W519" s="237"/>
      <c r="X519" s="237"/>
      <c r="Y519" s="237"/>
      <c r="Z519" s="237"/>
    </row>
    <row r="520" ht="14.25" customHeight="1" spans="1:26">
      <c r="A520" s="237"/>
      <c r="B520" s="237"/>
      <c r="C520" s="237"/>
      <c r="D520" s="237"/>
      <c r="E520" s="237"/>
      <c r="F520" s="237"/>
      <c r="G520" s="237"/>
      <c r="H520" s="237"/>
      <c r="I520" s="237"/>
      <c r="J520" s="237"/>
      <c r="K520" s="237"/>
      <c r="L520" s="237"/>
      <c r="M520" s="237"/>
      <c r="N520" s="237"/>
      <c r="O520" s="237"/>
      <c r="P520" s="237"/>
      <c r="Q520" s="237"/>
      <c r="R520" s="237"/>
      <c r="S520" s="237"/>
      <c r="T520" s="237"/>
      <c r="U520" s="237"/>
      <c r="V520" s="237"/>
      <c r="W520" s="237"/>
      <c r="X520" s="237"/>
      <c r="Y520" s="237"/>
      <c r="Z520" s="237"/>
    </row>
    <row r="521" ht="14.25" customHeight="1" spans="1:26">
      <c r="A521" s="237"/>
      <c r="B521" s="237"/>
      <c r="C521" s="237"/>
      <c r="D521" s="237"/>
      <c r="E521" s="237"/>
      <c r="F521" s="237"/>
      <c r="G521" s="237"/>
      <c r="H521" s="237"/>
      <c r="I521" s="237"/>
      <c r="J521" s="237"/>
      <c r="K521" s="237"/>
      <c r="L521" s="237"/>
      <c r="M521" s="237"/>
      <c r="N521" s="237"/>
      <c r="O521" s="237"/>
      <c r="P521" s="237"/>
      <c r="Q521" s="237"/>
      <c r="R521" s="237"/>
      <c r="S521" s="237"/>
      <c r="T521" s="237"/>
      <c r="U521" s="237"/>
      <c r="V521" s="237"/>
      <c r="W521" s="237"/>
      <c r="X521" s="237"/>
      <c r="Y521" s="237"/>
      <c r="Z521" s="237"/>
    </row>
    <row r="522" ht="14.25" customHeight="1" spans="1:26">
      <c r="A522" s="237"/>
      <c r="B522" s="237"/>
      <c r="C522" s="237"/>
      <c r="D522" s="237"/>
      <c r="E522" s="237"/>
      <c r="F522" s="237"/>
      <c r="G522" s="237"/>
      <c r="H522" s="237"/>
      <c r="I522" s="237"/>
      <c r="J522" s="237"/>
      <c r="K522" s="237"/>
      <c r="L522" s="237"/>
      <c r="M522" s="237"/>
      <c r="N522" s="237"/>
      <c r="O522" s="237"/>
      <c r="P522" s="237"/>
      <c r="Q522" s="237"/>
      <c r="R522" s="237"/>
      <c r="S522" s="237"/>
      <c r="T522" s="237"/>
      <c r="U522" s="237"/>
      <c r="V522" s="237"/>
      <c r="W522" s="237"/>
      <c r="X522" s="237"/>
      <c r="Y522" s="237"/>
      <c r="Z522" s="237"/>
    </row>
    <row r="523" ht="14.25" customHeight="1" spans="1:26">
      <c r="A523" s="237"/>
      <c r="B523" s="237"/>
      <c r="C523" s="237"/>
      <c r="D523" s="237"/>
      <c r="E523" s="237"/>
      <c r="F523" s="237"/>
      <c r="G523" s="237"/>
      <c r="H523" s="237"/>
      <c r="I523" s="237"/>
      <c r="J523" s="237"/>
      <c r="K523" s="237"/>
      <c r="L523" s="237"/>
      <c r="M523" s="237"/>
      <c r="N523" s="237"/>
      <c r="O523" s="237"/>
      <c r="P523" s="237"/>
      <c r="Q523" s="237"/>
      <c r="R523" s="237"/>
      <c r="S523" s="237"/>
      <c r="T523" s="237"/>
      <c r="U523" s="237"/>
      <c r="V523" s="237"/>
      <c r="W523" s="237"/>
      <c r="X523" s="237"/>
      <c r="Y523" s="237"/>
      <c r="Z523" s="237"/>
    </row>
    <row r="524" ht="14.25" customHeight="1" spans="1:26">
      <c r="A524" s="237"/>
      <c r="B524" s="237"/>
      <c r="C524" s="237"/>
      <c r="D524" s="237"/>
      <c r="E524" s="237"/>
      <c r="F524" s="237"/>
      <c r="G524" s="237"/>
      <c r="H524" s="237"/>
      <c r="I524" s="237"/>
      <c r="J524" s="237"/>
      <c r="K524" s="237"/>
      <c r="L524" s="237"/>
      <c r="M524" s="237"/>
      <c r="N524" s="237"/>
      <c r="O524" s="237"/>
      <c r="P524" s="237"/>
      <c r="Q524" s="237"/>
      <c r="R524" s="237"/>
      <c r="S524" s="237"/>
      <c r="T524" s="237"/>
      <c r="U524" s="237"/>
      <c r="V524" s="237"/>
      <c r="W524" s="237"/>
      <c r="X524" s="237"/>
      <c r="Y524" s="237"/>
      <c r="Z524" s="237"/>
    </row>
    <row r="525" ht="14.25" customHeight="1" spans="1:26">
      <c r="A525" s="237"/>
      <c r="B525" s="237"/>
      <c r="C525" s="237"/>
      <c r="D525" s="237"/>
      <c r="E525" s="237"/>
      <c r="F525" s="237"/>
      <c r="G525" s="237"/>
      <c r="H525" s="237"/>
      <c r="I525" s="237"/>
      <c r="J525" s="237"/>
      <c r="K525" s="237"/>
      <c r="L525" s="237"/>
      <c r="M525" s="237"/>
      <c r="N525" s="237"/>
      <c r="O525" s="237"/>
      <c r="P525" s="237"/>
      <c r="Q525" s="237"/>
      <c r="R525" s="237"/>
      <c r="S525" s="237"/>
      <c r="T525" s="237"/>
      <c r="U525" s="237"/>
      <c r="V525" s="237"/>
      <c r="W525" s="237"/>
      <c r="X525" s="237"/>
      <c r="Y525" s="237"/>
      <c r="Z525" s="237"/>
    </row>
    <row r="526" ht="14.25" customHeight="1" spans="1:26">
      <c r="A526" s="237"/>
      <c r="B526" s="237"/>
      <c r="C526" s="237"/>
      <c r="D526" s="237"/>
      <c r="E526" s="237"/>
      <c r="F526" s="237"/>
      <c r="G526" s="237"/>
      <c r="H526" s="237"/>
      <c r="I526" s="237"/>
      <c r="J526" s="237"/>
      <c r="K526" s="237"/>
      <c r="L526" s="237"/>
      <c r="M526" s="237"/>
      <c r="N526" s="237"/>
      <c r="O526" s="237"/>
      <c r="P526" s="237"/>
      <c r="Q526" s="237"/>
      <c r="R526" s="237"/>
      <c r="S526" s="237"/>
      <c r="T526" s="237"/>
      <c r="U526" s="237"/>
      <c r="V526" s="237"/>
      <c r="W526" s="237"/>
      <c r="X526" s="237"/>
      <c r="Y526" s="237"/>
      <c r="Z526" s="237"/>
    </row>
    <row r="527" ht="14.25" customHeight="1" spans="1:26">
      <c r="A527" s="237"/>
      <c r="B527" s="237"/>
      <c r="C527" s="237"/>
      <c r="D527" s="237"/>
      <c r="E527" s="237"/>
      <c r="F527" s="237"/>
      <c r="G527" s="237"/>
      <c r="H527" s="237"/>
      <c r="I527" s="237"/>
      <c r="J527" s="237"/>
      <c r="K527" s="237"/>
      <c r="L527" s="237"/>
      <c r="M527" s="237"/>
      <c r="N527" s="237"/>
      <c r="O527" s="237"/>
      <c r="P527" s="237"/>
      <c r="Q527" s="237"/>
      <c r="R527" s="237"/>
      <c r="S527" s="237"/>
      <c r="T527" s="237"/>
      <c r="U527" s="237"/>
      <c r="V527" s="237"/>
      <c r="W527" s="237"/>
      <c r="X527" s="237"/>
      <c r="Y527" s="237"/>
      <c r="Z527" s="237"/>
    </row>
    <row r="528" ht="14.25" customHeight="1" spans="1:26">
      <c r="A528" s="237"/>
      <c r="B528" s="237"/>
      <c r="C528" s="237"/>
      <c r="D528" s="237"/>
      <c r="E528" s="237"/>
      <c r="F528" s="237"/>
      <c r="G528" s="237"/>
      <c r="H528" s="237"/>
      <c r="I528" s="237"/>
      <c r="J528" s="237"/>
      <c r="K528" s="237"/>
      <c r="L528" s="237"/>
      <c r="M528" s="237"/>
      <c r="N528" s="237"/>
      <c r="O528" s="237"/>
      <c r="P528" s="237"/>
      <c r="Q528" s="237"/>
      <c r="R528" s="237"/>
      <c r="S528" s="237"/>
      <c r="T528" s="237"/>
      <c r="U528" s="237"/>
      <c r="V528" s="237"/>
      <c r="W528" s="237"/>
      <c r="X528" s="237"/>
      <c r="Y528" s="237"/>
      <c r="Z528" s="237"/>
    </row>
    <row r="529" ht="14.25" customHeight="1" spans="1:26">
      <c r="A529" s="237"/>
      <c r="B529" s="237"/>
      <c r="C529" s="237"/>
      <c r="D529" s="237"/>
      <c r="E529" s="237"/>
      <c r="F529" s="237"/>
      <c r="G529" s="237"/>
      <c r="H529" s="237"/>
      <c r="I529" s="237"/>
      <c r="J529" s="237"/>
      <c r="K529" s="237"/>
      <c r="L529" s="237"/>
      <c r="M529" s="237"/>
      <c r="N529" s="237"/>
      <c r="O529" s="237"/>
      <c r="P529" s="237"/>
      <c r="Q529" s="237"/>
      <c r="R529" s="237"/>
      <c r="S529" s="237"/>
      <c r="T529" s="237"/>
      <c r="U529" s="237"/>
      <c r="V529" s="237"/>
      <c r="W529" s="237"/>
      <c r="X529" s="237"/>
      <c r="Y529" s="237"/>
      <c r="Z529" s="237"/>
    </row>
    <row r="530" ht="14.25" customHeight="1" spans="1:26">
      <c r="A530" s="237"/>
      <c r="B530" s="237"/>
      <c r="C530" s="237"/>
      <c r="D530" s="237"/>
      <c r="E530" s="237"/>
      <c r="F530" s="237"/>
      <c r="G530" s="237"/>
      <c r="H530" s="237"/>
      <c r="I530" s="237"/>
      <c r="J530" s="237"/>
      <c r="K530" s="237"/>
      <c r="L530" s="237"/>
      <c r="M530" s="237"/>
      <c r="N530" s="237"/>
      <c r="O530" s="237"/>
      <c r="P530" s="237"/>
      <c r="Q530" s="237"/>
      <c r="R530" s="237"/>
      <c r="S530" s="237"/>
      <c r="T530" s="237"/>
      <c r="U530" s="237"/>
      <c r="V530" s="237"/>
      <c r="W530" s="237"/>
      <c r="X530" s="237"/>
      <c r="Y530" s="237"/>
      <c r="Z530" s="237"/>
    </row>
    <row r="531" ht="14.25" customHeight="1" spans="1:26">
      <c r="A531" s="237"/>
      <c r="B531" s="237"/>
      <c r="C531" s="237"/>
      <c r="D531" s="237"/>
      <c r="E531" s="237"/>
      <c r="F531" s="237"/>
      <c r="G531" s="237"/>
      <c r="H531" s="237"/>
      <c r="I531" s="237"/>
      <c r="J531" s="237"/>
      <c r="K531" s="237"/>
      <c r="L531" s="237"/>
      <c r="M531" s="237"/>
      <c r="N531" s="237"/>
      <c r="O531" s="237"/>
      <c r="P531" s="237"/>
      <c r="Q531" s="237"/>
      <c r="R531" s="237"/>
      <c r="S531" s="237"/>
      <c r="T531" s="237"/>
      <c r="U531" s="237"/>
      <c r="V531" s="237"/>
      <c r="W531" s="237"/>
      <c r="X531" s="237"/>
      <c r="Y531" s="237"/>
      <c r="Z531" s="237"/>
    </row>
    <row r="532" ht="14.25" customHeight="1" spans="1:26">
      <c r="A532" s="237"/>
      <c r="B532" s="237"/>
      <c r="C532" s="237"/>
      <c r="D532" s="237"/>
      <c r="E532" s="237"/>
      <c r="F532" s="237"/>
      <c r="G532" s="237"/>
      <c r="H532" s="237"/>
      <c r="I532" s="237"/>
      <c r="J532" s="237"/>
      <c r="K532" s="237"/>
      <c r="L532" s="237"/>
      <c r="M532" s="237"/>
      <c r="N532" s="237"/>
      <c r="O532" s="237"/>
      <c r="P532" s="237"/>
      <c r="Q532" s="237"/>
      <c r="R532" s="237"/>
      <c r="S532" s="237"/>
      <c r="T532" s="237"/>
      <c r="U532" s="237"/>
      <c r="V532" s="237"/>
      <c r="W532" s="237"/>
      <c r="X532" s="237"/>
      <c r="Y532" s="237"/>
      <c r="Z532" s="237"/>
    </row>
    <row r="533" ht="14.25" customHeight="1" spans="1:26">
      <c r="A533" s="237"/>
      <c r="B533" s="237"/>
      <c r="C533" s="237"/>
      <c r="D533" s="237"/>
      <c r="E533" s="237"/>
      <c r="F533" s="237"/>
      <c r="G533" s="237"/>
      <c r="H533" s="237"/>
      <c r="I533" s="237"/>
      <c r="J533" s="237"/>
      <c r="K533" s="237"/>
      <c r="L533" s="237"/>
      <c r="M533" s="237"/>
      <c r="N533" s="237"/>
      <c r="O533" s="237"/>
      <c r="P533" s="237"/>
      <c r="Q533" s="237"/>
      <c r="R533" s="237"/>
      <c r="S533" s="237"/>
      <c r="T533" s="237"/>
      <c r="U533" s="237"/>
      <c r="V533" s="237"/>
      <c r="W533" s="237"/>
      <c r="X533" s="237"/>
      <c r="Y533" s="237"/>
      <c r="Z533" s="237"/>
    </row>
    <row r="534" ht="14.25" customHeight="1" spans="1:26">
      <c r="A534" s="237"/>
      <c r="B534" s="237"/>
      <c r="C534" s="237"/>
      <c r="D534" s="237"/>
      <c r="E534" s="237"/>
      <c r="F534" s="237"/>
      <c r="G534" s="237"/>
      <c r="H534" s="237"/>
      <c r="I534" s="237"/>
      <c r="J534" s="237"/>
      <c r="K534" s="237"/>
      <c r="L534" s="237"/>
      <c r="M534" s="237"/>
      <c r="N534" s="237"/>
      <c r="O534" s="237"/>
      <c r="P534" s="237"/>
      <c r="Q534" s="237"/>
      <c r="R534" s="237"/>
      <c r="S534" s="237"/>
      <c r="T534" s="237"/>
      <c r="U534" s="237"/>
      <c r="V534" s="237"/>
      <c r="W534" s="237"/>
      <c r="X534" s="237"/>
      <c r="Y534" s="237"/>
      <c r="Z534" s="237"/>
    </row>
    <row r="535" ht="14.25" customHeight="1" spans="1:26">
      <c r="A535" s="237"/>
      <c r="B535" s="237"/>
      <c r="C535" s="237"/>
      <c r="D535" s="237"/>
      <c r="E535" s="237"/>
      <c r="F535" s="237"/>
      <c r="G535" s="237"/>
      <c r="H535" s="237"/>
      <c r="I535" s="237"/>
      <c r="J535" s="237"/>
      <c r="K535" s="237"/>
      <c r="L535" s="237"/>
      <c r="M535" s="237"/>
      <c r="N535" s="237"/>
      <c r="O535" s="237"/>
      <c r="P535" s="237"/>
      <c r="Q535" s="237"/>
      <c r="R535" s="237"/>
      <c r="S535" s="237"/>
      <c r="T535" s="237"/>
      <c r="U535" s="237"/>
      <c r="V535" s="237"/>
      <c r="W535" s="237"/>
      <c r="X535" s="237"/>
      <c r="Y535" s="237"/>
      <c r="Z535" s="237"/>
    </row>
    <row r="536" ht="14.25" customHeight="1" spans="1:26">
      <c r="A536" s="237"/>
      <c r="B536" s="237"/>
      <c r="C536" s="237"/>
      <c r="D536" s="237"/>
      <c r="E536" s="237"/>
      <c r="F536" s="237"/>
      <c r="G536" s="237"/>
      <c r="H536" s="237"/>
      <c r="I536" s="237"/>
      <c r="J536" s="237"/>
      <c r="K536" s="237"/>
      <c r="L536" s="237"/>
      <c r="M536" s="237"/>
      <c r="N536" s="237"/>
      <c r="O536" s="237"/>
      <c r="P536" s="237"/>
      <c r="Q536" s="237"/>
      <c r="R536" s="237"/>
      <c r="S536" s="237"/>
      <c r="T536" s="237"/>
      <c r="U536" s="237"/>
      <c r="V536" s="237"/>
      <c r="W536" s="237"/>
      <c r="X536" s="237"/>
      <c r="Y536" s="237"/>
      <c r="Z536" s="237"/>
    </row>
    <row r="537" ht="14.25" customHeight="1" spans="1:26">
      <c r="A537" s="237"/>
      <c r="B537" s="237"/>
      <c r="C537" s="237"/>
      <c r="D537" s="237"/>
      <c r="E537" s="237"/>
      <c r="F537" s="237"/>
      <c r="G537" s="237"/>
      <c r="H537" s="237"/>
      <c r="I537" s="237"/>
      <c r="J537" s="237"/>
      <c r="K537" s="237"/>
      <c r="L537" s="237"/>
      <c r="M537" s="237"/>
      <c r="N537" s="237"/>
      <c r="O537" s="237"/>
      <c r="P537" s="237"/>
      <c r="Q537" s="237"/>
      <c r="R537" s="237"/>
      <c r="S537" s="237"/>
      <c r="T537" s="237"/>
      <c r="U537" s="237"/>
      <c r="V537" s="237"/>
      <c r="W537" s="237"/>
      <c r="X537" s="237"/>
      <c r="Y537" s="237"/>
      <c r="Z537" s="237"/>
    </row>
    <row r="538" ht="14.25" customHeight="1" spans="1:26">
      <c r="A538" s="237"/>
      <c r="B538" s="237"/>
      <c r="C538" s="237"/>
      <c r="D538" s="237"/>
      <c r="E538" s="237"/>
      <c r="F538" s="237"/>
      <c r="G538" s="237"/>
      <c r="H538" s="237"/>
      <c r="I538" s="237"/>
      <c r="J538" s="237"/>
      <c r="K538" s="237"/>
      <c r="L538" s="237"/>
      <c r="M538" s="237"/>
      <c r="N538" s="237"/>
      <c r="O538" s="237"/>
      <c r="P538" s="237"/>
      <c r="Q538" s="237"/>
      <c r="R538" s="237"/>
      <c r="S538" s="237"/>
      <c r="T538" s="237"/>
      <c r="U538" s="237"/>
      <c r="V538" s="237"/>
      <c r="W538" s="237"/>
      <c r="X538" s="237"/>
      <c r="Y538" s="237"/>
      <c r="Z538" s="237"/>
    </row>
    <row r="539" ht="14.25" customHeight="1" spans="1:26">
      <c r="A539" s="237"/>
      <c r="B539" s="237"/>
      <c r="C539" s="237"/>
      <c r="D539" s="237"/>
      <c r="E539" s="237"/>
      <c r="F539" s="237"/>
      <c r="G539" s="237"/>
      <c r="H539" s="237"/>
      <c r="I539" s="237"/>
      <c r="J539" s="237"/>
      <c r="K539" s="237"/>
      <c r="L539" s="237"/>
      <c r="M539" s="237"/>
      <c r="N539" s="237"/>
      <c r="O539" s="237"/>
      <c r="P539" s="237"/>
      <c r="Q539" s="237"/>
      <c r="R539" s="237"/>
      <c r="S539" s="237"/>
      <c r="T539" s="237"/>
      <c r="U539" s="237"/>
      <c r="V539" s="237"/>
      <c r="W539" s="237"/>
      <c r="X539" s="237"/>
      <c r="Y539" s="237"/>
      <c r="Z539" s="237"/>
    </row>
    <row r="540" ht="14.25" customHeight="1" spans="1:26">
      <c r="A540" s="237"/>
      <c r="B540" s="237"/>
      <c r="C540" s="237"/>
      <c r="D540" s="237"/>
      <c r="E540" s="237"/>
      <c r="F540" s="237"/>
      <c r="G540" s="237"/>
      <c r="H540" s="237"/>
      <c r="I540" s="237"/>
      <c r="J540" s="237"/>
      <c r="K540" s="237"/>
      <c r="L540" s="237"/>
      <c r="M540" s="237"/>
      <c r="N540" s="237"/>
      <c r="O540" s="237"/>
      <c r="P540" s="237"/>
      <c r="Q540" s="237"/>
      <c r="R540" s="237"/>
      <c r="S540" s="237"/>
      <c r="T540" s="237"/>
      <c r="U540" s="237"/>
      <c r="V540" s="237"/>
      <c r="W540" s="237"/>
      <c r="X540" s="237"/>
      <c r="Y540" s="237"/>
      <c r="Z540" s="237"/>
    </row>
    <row r="541" ht="14.25" customHeight="1" spans="1:26">
      <c r="A541" s="237"/>
      <c r="B541" s="237"/>
      <c r="C541" s="237"/>
      <c r="D541" s="237"/>
      <c r="E541" s="237"/>
      <c r="F541" s="237"/>
      <c r="G541" s="237"/>
      <c r="H541" s="237"/>
      <c r="I541" s="237"/>
      <c r="J541" s="237"/>
      <c r="K541" s="237"/>
      <c r="L541" s="237"/>
      <c r="M541" s="237"/>
      <c r="N541" s="237"/>
      <c r="O541" s="237"/>
      <c r="P541" s="237"/>
      <c r="Q541" s="237"/>
      <c r="R541" s="237"/>
      <c r="S541" s="237"/>
      <c r="T541" s="237"/>
      <c r="U541" s="237"/>
      <c r="V541" s="237"/>
      <c r="W541" s="237"/>
      <c r="X541" s="237"/>
      <c r="Y541" s="237"/>
      <c r="Z541" s="237"/>
    </row>
    <row r="542" ht="14.25" customHeight="1" spans="1:26">
      <c r="A542" s="237"/>
      <c r="B542" s="237"/>
      <c r="C542" s="237"/>
      <c r="D542" s="237"/>
      <c r="E542" s="237"/>
      <c r="F542" s="237"/>
      <c r="G542" s="237"/>
      <c r="H542" s="237"/>
      <c r="I542" s="237"/>
      <c r="J542" s="237"/>
      <c r="K542" s="237"/>
      <c r="L542" s="237"/>
      <c r="M542" s="237"/>
      <c r="N542" s="237"/>
      <c r="O542" s="237"/>
      <c r="P542" s="237"/>
      <c r="Q542" s="237"/>
      <c r="R542" s="237"/>
      <c r="S542" s="237"/>
      <c r="T542" s="237"/>
      <c r="U542" s="237"/>
      <c r="V542" s="237"/>
      <c r="W542" s="237"/>
      <c r="X542" s="237"/>
      <c r="Y542" s="237"/>
      <c r="Z542" s="237"/>
    </row>
    <row r="543" ht="14.25" customHeight="1" spans="1:26">
      <c r="A543" s="237"/>
      <c r="B543" s="237"/>
      <c r="C543" s="237"/>
      <c r="D543" s="237"/>
      <c r="E543" s="237"/>
      <c r="F543" s="237"/>
      <c r="G543" s="237"/>
      <c r="H543" s="237"/>
      <c r="I543" s="237"/>
      <c r="J543" s="237"/>
      <c r="K543" s="237"/>
      <c r="L543" s="237"/>
      <c r="M543" s="237"/>
      <c r="N543" s="237"/>
      <c r="O543" s="237"/>
      <c r="P543" s="237"/>
      <c r="Q543" s="237"/>
      <c r="R543" s="237"/>
      <c r="S543" s="237"/>
      <c r="T543" s="237"/>
      <c r="U543" s="237"/>
      <c r="V543" s="237"/>
      <c r="W543" s="237"/>
      <c r="X543" s="237"/>
      <c r="Y543" s="237"/>
      <c r="Z543" s="237"/>
    </row>
    <row r="544" ht="14.25" customHeight="1" spans="1:26">
      <c r="A544" s="237"/>
      <c r="B544" s="237"/>
      <c r="C544" s="237"/>
      <c r="D544" s="237"/>
      <c r="E544" s="237"/>
      <c r="F544" s="237"/>
      <c r="G544" s="237"/>
      <c r="H544" s="237"/>
      <c r="I544" s="237"/>
      <c r="J544" s="237"/>
      <c r="K544" s="237"/>
      <c r="L544" s="237"/>
      <c r="M544" s="237"/>
      <c r="N544" s="237"/>
      <c r="O544" s="237"/>
      <c r="P544" s="237"/>
      <c r="Q544" s="237"/>
      <c r="R544" s="237"/>
      <c r="S544" s="237"/>
      <c r="T544" s="237"/>
      <c r="U544" s="237"/>
      <c r="V544" s="237"/>
      <c r="W544" s="237"/>
      <c r="X544" s="237"/>
      <c r="Y544" s="237"/>
      <c r="Z544" s="237"/>
    </row>
    <row r="545" ht="14.25" customHeight="1" spans="1:26">
      <c r="A545" s="237"/>
      <c r="B545" s="237"/>
      <c r="C545" s="237"/>
      <c r="D545" s="237"/>
      <c r="E545" s="237"/>
      <c r="F545" s="237"/>
      <c r="G545" s="237"/>
      <c r="H545" s="237"/>
      <c r="I545" s="237"/>
      <c r="J545" s="237"/>
      <c r="K545" s="237"/>
      <c r="L545" s="237"/>
      <c r="M545" s="237"/>
      <c r="N545" s="237"/>
      <c r="O545" s="237"/>
      <c r="P545" s="237"/>
      <c r="Q545" s="237"/>
      <c r="R545" s="237"/>
      <c r="S545" s="237"/>
      <c r="T545" s="237"/>
      <c r="U545" s="237"/>
      <c r="V545" s="237"/>
      <c r="W545" s="237"/>
      <c r="X545" s="237"/>
      <c r="Y545" s="237"/>
      <c r="Z545" s="237"/>
    </row>
    <row r="546" ht="14.25" customHeight="1" spans="1:26">
      <c r="A546" s="237"/>
      <c r="B546" s="237"/>
      <c r="C546" s="237"/>
      <c r="D546" s="237"/>
      <c r="E546" s="237"/>
      <c r="F546" s="237"/>
      <c r="G546" s="237"/>
      <c r="H546" s="237"/>
      <c r="I546" s="237"/>
      <c r="J546" s="237"/>
      <c r="K546" s="237"/>
      <c r="L546" s="237"/>
      <c r="M546" s="237"/>
      <c r="N546" s="237"/>
      <c r="O546" s="237"/>
      <c r="P546" s="237"/>
      <c r="Q546" s="237"/>
      <c r="R546" s="237"/>
      <c r="S546" s="237"/>
      <c r="T546" s="237"/>
      <c r="U546" s="237"/>
      <c r="V546" s="237"/>
      <c r="W546" s="237"/>
      <c r="X546" s="237"/>
      <c r="Y546" s="237"/>
      <c r="Z546" s="237"/>
    </row>
    <row r="547" ht="14.25" customHeight="1" spans="1:26">
      <c r="A547" s="237"/>
      <c r="B547" s="237"/>
      <c r="C547" s="237"/>
      <c r="D547" s="237"/>
      <c r="E547" s="237"/>
      <c r="F547" s="237"/>
      <c r="G547" s="237"/>
      <c r="H547" s="237"/>
      <c r="I547" s="237"/>
      <c r="J547" s="237"/>
      <c r="K547" s="237"/>
      <c r="L547" s="237"/>
      <c r="M547" s="237"/>
      <c r="N547" s="237"/>
      <c r="O547" s="237"/>
      <c r="P547" s="237"/>
      <c r="Q547" s="237"/>
      <c r="R547" s="237"/>
      <c r="S547" s="237"/>
      <c r="T547" s="237"/>
      <c r="U547" s="237"/>
      <c r="V547" s="237"/>
      <c r="W547" s="237"/>
      <c r="X547" s="237"/>
      <c r="Y547" s="237"/>
      <c r="Z547" s="237"/>
    </row>
    <row r="548" ht="14.25" customHeight="1" spans="1:26">
      <c r="A548" s="237"/>
      <c r="B548" s="237"/>
      <c r="C548" s="237"/>
      <c r="D548" s="237"/>
      <c r="E548" s="237"/>
      <c r="F548" s="237"/>
      <c r="G548" s="237"/>
      <c r="H548" s="237"/>
      <c r="I548" s="237"/>
      <c r="J548" s="237"/>
      <c r="K548" s="237"/>
      <c r="L548" s="237"/>
      <c r="M548" s="237"/>
      <c r="N548" s="237"/>
      <c r="O548" s="237"/>
      <c r="P548" s="237"/>
      <c r="Q548" s="237"/>
      <c r="R548" s="237"/>
      <c r="S548" s="237"/>
      <c r="T548" s="237"/>
      <c r="U548" s="237"/>
      <c r="V548" s="237"/>
      <c r="W548" s="237"/>
      <c r="X548" s="237"/>
      <c r="Y548" s="237"/>
      <c r="Z548" s="237"/>
    </row>
    <row r="549" ht="14.25" customHeight="1" spans="1:26">
      <c r="A549" s="237"/>
      <c r="B549" s="237"/>
      <c r="C549" s="237"/>
      <c r="D549" s="237"/>
      <c r="E549" s="237"/>
      <c r="F549" s="237"/>
      <c r="G549" s="237"/>
      <c r="H549" s="237"/>
      <c r="I549" s="237"/>
      <c r="J549" s="237"/>
      <c r="K549" s="237"/>
      <c r="L549" s="237"/>
      <c r="M549" s="237"/>
      <c r="N549" s="237"/>
      <c r="O549" s="237"/>
      <c r="P549" s="237"/>
      <c r="Q549" s="237"/>
      <c r="R549" s="237"/>
      <c r="S549" s="237"/>
      <c r="T549" s="237"/>
      <c r="U549" s="237"/>
      <c r="V549" s="237"/>
      <c r="W549" s="237"/>
      <c r="X549" s="237"/>
      <c r="Y549" s="237"/>
      <c r="Z549" s="237"/>
    </row>
    <row r="550" ht="14.25" customHeight="1" spans="1:26">
      <c r="A550" s="237"/>
      <c r="B550" s="237"/>
      <c r="C550" s="237"/>
      <c r="D550" s="237"/>
      <c r="E550" s="237"/>
      <c r="F550" s="237"/>
      <c r="G550" s="237"/>
      <c r="H550" s="237"/>
      <c r="I550" s="237"/>
      <c r="J550" s="237"/>
      <c r="K550" s="237"/>
      <c r="L550" s="237"/>
      <c r="M550" s="237"/>
      <c r="N550" s="237"/>
      <c r="O550" s="237"/>
      <c r="P550" s="237"/>
      <c r="Q550" s="237"/>
      <c r="R550" s="237"/>
      <c r="S550" s="237"/>
      <c r="T550" s="237"/>
      <c r="U550" s="237"/>
      <c r="V550" s="237"/>
      <c r="W550" s="237"/>
      <c r="X550" s="237"/>
      <c r="Y550" s="237"/>
      <c r="Z550" s="237"/>
    </row>
    <row r="551" ht="14.25" customHeight="1" spans="1:26">
      <c r="A551" s="237"/>
      <c r="B551" s="237"/>
      <c r="C551" s="237"/>
      <c r="D551" s="237"/>
      <c r="E551" s="237"/>
      <c r="F551" s="237"/>
      <c r="G551" s="237"/>
      <c r="H551" s="237"/>
      <c r="I551" s="237"/>
      <c r="J551" s="237"/>
      <c r="K551" s="237"/>
      <c r="L551" s="237"/>
      <c r="M551" s="237"/>
      <c r="N551" s="237"/>
      <c r="O551" s="237"/>
      <c r="P551" s="237"/>
      <c r="Q551" s="237"/>
      <c r="R551" s="237"/>
      <c r="S551" s="237"/>
      <c r="T551" s="237"/>
      <c r="U551" s="237"/>
      <c r="V551" s="237"/>
      <c r="W551" s="237"/>
      <c r="X551" s="237"/>
      <c r="Y551" s="237"/>
      <c r="Z551" s="237"/>
    </row>
    <row r="552" ht="14.25" customHeight="1" spans="1:26">
      <c r="A552" s="237"/>
      <c r="B552" s="237"/>
      <c r="C552" s="237"/>
      <c r="D552" s="237"/>
      <c r="E552" s="237"/>
      <c r="F552" s="237"/>
      <c r="G552" s="237"/>
      <c r="H552" s="237"/>
      <c r="I552" s="237"/>
      <c r="J552" s="237"/>
      <c r="K552" s="237"/>
      <c r="L552" s="237"/>
      <c r="M552" s="237"/>
      <c r="N552" s="237"/>
      <c r="O552" s="237"/>
      <c r="P552" s="237"/>
      <c r="Q552" s="237"/>
      <c r="R552" s="237"/>
      <c r="S552" s="237"/>
      <c r="T552" s="237"/>
      <c r="U552" s="237"/>
      <c r="V552" s="237"/>
      <c r="W552" s="237"/>
      <c r="X552" s="237"/>
      <c r="Y552" s="237"/>
      <c r="Z552" s="237"/>
    </row>
    <row r="553" ht="14.25" customHeight="1" spans="1:26">
      <c r="A553" s="237"/>
      <c r="B553" s="237"/>
      <c r="C553" s="237"/>
      <c r="D553" s="237"/>
      <c r="E553" s="237"/>
      <c r="F553" s="237"/>
      <c r="G553" s="237"/>
      <c r="H553" s="237"/>
      <c r="I553" s="237"/>
      <c r="J553" s="237"/>
      <c r="K553" s="237"/>
      <c r="L553" s="237"/>
      <c r="M553" s="237"/>
      <c r="N553" s="237"/>
      <c r="O553" s="237"/>
      <c r="P553" s="237"/>
      <c r="Q553" s="237"/>
      <c r="R553" s="237"/>
      <c r="S553" s="237"/>
      <c r="T553" s="237"/>
      <c r="U553" s="237"/>
      <c r="V553" s="237"/>
      <c r="W553" s="237"/>
      <c r="X553" s="237"/>
      <c r="Y553" s="237"/>
      <c r="Z553" s="237"/>
    </row>
    <row r="554" ht="14.25" customHeight="1" spans="1:26">
      <c r="A554" s="237"/>
      <c r="B554" s="237"/>
      <c r="C554" s="237"/>
      <c r="D554" s="237"/>
      <c r="E554" s="237"/>
      <c r="F554" s="237"/>
      <c r="G554" s="237"/>
      <c r="H554" s="237"/>
      <c r="I554" s="237"/>
      <c r="J554" s="237"/>
      <c r="K554" s="237"/>
      <c r="L554" s="237"/>
      <c r="M554" s="237"/>
      <c r="N554" s="237"/>
      <c r="O554" s="237"/>
      <c r="P554" s="237"/>
      <c r="Q554" s="237"/>
      <c r="R554" s="237"/>
      <c r="S554" s="237"/>
      <c r="T554" s="237"/>
      <c r="U554" s="237"/>
      <c r="V554" s="237"/>
      <c r="W554" s="237"/>
      <c r="X554" s="237"/>
      <c r="Y554" s="237"/>
      <c r="Z554" s="237"/>
    </row>
    <row r="555" ht="14.25" customHeight="1" spans="1:26">
      <c r="A555" s="237"/>
      <c r="B555" s="237"/>
      <c r="C555" s="237"/>
      <c r="D555" s="237"/>
      <c r="E555" s="237"/>
      <c r="F555" s="237"/>
      <c r="G555" s="237"/>
      <c r="H555" s="237"/>
      <c r="I555" s="237"/>
      <c r="J555" s="237"/>
      <c r="K555" s="237"/>
      <c r="L555" s="237"/>
      <c r="M555" s="237"/>
      <c r="N555" s="237"/>
      <c r="O555" s="237"/>
      <c r="P555" s="237"/>
      <c r="Q555" s="237"/>
      <c r="R555" s="237"/>
      <c r="S555" s="237"/>
      <c r="T555" s="237"/>
      <c r="U555" s="237"/>
      <c r="V555" s="237"/>
      <c r="W555" s="237"/>
      <c r="X555" s="237"/>
      <c r="Y555" s="237"/>
      <c r="Z555" s="237"/>
    </row>
    <row r="556" ht="14.25" customHeight="1" spans="1:26">
      <c r="A556" s="237"/>
      <c r="B556" s="237"/>
      <c r="C556" s="237"/>
      <c r="D556" s="237"/>
      <c r="E556" s="237"/>
      <c r="F556" s="237"/>
      <c r="G556" s="237"/>
      <c r="H556" s="237"/>
      <c r="I556" s="237"/>
      <c r="J556" s="237"/>
      <c r="K556" s="237"/>
      <c r="L556" s="237"/>
      <c r="M556" s="237"/>
      <c r="N556" s="237"/>
      <c r="O556" s="237"/>
      <c r="P556" s="237"/>
      <c r="Q556" s="237"/>
      <c r="R556" s="237"/>
      <c r="S556" s="237"/>
      <c r="T556" s="237"/>
      <c r="U556" s="237"/>
      <c r="V556" s="237"/>
      <c r="W556" s="237"/>
      <c r="X556" s="237"/>
      <c r="Y556" s="237"/>
      <c r="Z556" s="237"/>
    </row>
    <row r="557" ht="14.25" customHeight="1" spans="1:26">
      <c r="A557" s="237"/>
      <c r="B557" s="237"/>
      <c r="C557" s="237"/>
      <c r="D557" s="237"/>
      <c r="E557" s="237"/>
      <c r="F557" s="237"/>
      <c r="G557" s="237"/>
      <c r="H557" s="237"/>
      <c r="I557" s="237"/>
      <c r="J557" s="237"/>
      <c r="K557" s="237"/>
      <c r="L557" s="237"/>
      <c r="M557" s="237"/>
      <c r="N557" s="237"/>
      <c r="O557" s="237"/>
      <c r="P557" s="237"/>
      <c r="Q557" s="237"/>
      <c r="R557" s="237"/>
      <c r="S557" s="237"/>
      <c r="T557" s="237"/>
      <c r="U557" s="237"/>
      <c r="V557" s="237"/>
      <c r="W557" s="237"/>
      <c r="X557" s="237"/>
      <c r="Y557" s="237"/>
      <c r="Z557" s="237"/>
    </row>
    <row r="558" ht="14.25" customHeight="1" spans="1:26">
      <c r="A558" s="237"/>
      <c r="B558" s="237"/>
      <c r="C558" s="237"/>
      <c r="D558" s="237"/>
      <c r="E558" s="237"/>
      <c r="F558" s="237"/>
      <c r="G558" s="237"/>
      <c r="H558" s="237"/>
      <c r="I558" s="237"/>
      <c r="J558" s="237"/>
      <c r="K558" s="237"/>
      <c r="L558" s="237"/>
      <c r="M558" s="237"/>
      <c r="N558" s="237"/>
      <c r="O558" s="237"/>
      <c r="P558" s="237"/>
      <c r="Q558" s="237"/>
      <c r="R558" s="237"/>
      <c r="S558" s="237"/>
      <c r="T558" s="237"/>
      <c r="U558" s="237"/>
      <c r="V558" s="237"/>
      <c r="W558" s="237"/>
      <c r="X558" s="237"/>
      <c r="Y558" s="237"/>
      <c r="Z558" s="237"/>
    </row>
    <row r="559" ht="14.25" customHeight="1" spans="1:26">
      <c r="A559" s="237"/>
      <c r="B559" s="237"/>
      <c r="C559" s="237"/>
      <c r="D559" s="237"/>
      <c r="E559" s="237"/>
      <c r="F559" s="237"/>
      <c r="G559" s="237"/>
      <c r="H559" s="237"/>
      <c r="I559" s="237"/>
      <c r="J559" s="237"/>
      <c r="K559" s="237"/>
      <c r="L559" s="237"/>
      <c r="M559" s="237"/>
      <c r="N559" s="237"/>
      <c r="O559" s="237"/>
      <c r="P559" s="237"/>
      <c r="Q559" s="237"/>
      <c r="R559" s="237"/>
      <c r="S559" s="237"/>
      <c r="T559" s="237"/>
      <c r="U559" s="237"/>
      <c r="V559" s="237"/>
      <c r="W559" s="237"/>
      <c r="X559" s="237"/>
      <c r="Y559" s="237"/>
      <c r="Z559" s="237"/>
    </row>
    <row r="560" ht="14.25" customHeight="1" spans="1:26">
      <c r="A560" s="237"/>
      <c r="B560" s="237"/>
      <c r="C560" s="237"/>
      <c r="D560" s="237"/>
      <c r="E560" s="237"/>
      <c r="F560" s="237"/>
      <c r="G560" s="237"/>
      <c r="H560" s="237"/>
      <c r="I560" s="237"/>
      <c r="J560" s="237"/>
      <c r="K560" s="237"/>
      <c r="L560" s="237"/>
      <c r="M560" s="237"/>
      <c r="N560" s="237"/>
      <c r="O560" s="237"/>
      <c r="P560" s="237"/>
      <c r="Q560" s="237"/>
      <c r="R560" s="237"/>
      <c r="S560" s="237"/>
      <c r="T560" s="237"/>
      <c r="U560" s="237"/>
      <c r="V560" s="237"/>
      <c r="W560" s="237"/>
      <c r="X560" s="237"/>
      <c r="Y560" s="237"/>
      <c r="Z560" s="237"/>
    </row>
    <row r="561" ht="14.25" customHeight="1" spans="1:26">
      <c r="A561" s="237"/>
      <c r="B561" s="237"/>
      <c r="C561" s="237"/>
      <c r="D561" s="237"/>
      <c r="E561" s="237"/>
      <c r="F561" s="237"/>
      <c r="G561" s="237"/>
      <c r="H561" s="237"/>
      <c r="I561" s="237"/>
      <c r="J561" s="237"/>
      <c r="K561" s="237"/>
      <c r="L561" s="237"/>
      <c r="M561" s="237"/>
      <c r="N561" s="237"/>
      <c r="O561" s="237"/>
      <c r="P561" s="237"/>
      <c r="Q561" s="237"/>
      <c r="R561" s="237"/>
      <c r="S561" s="237"/>
      <c r="T561" s="237"/>
      <c r="U561" s="237"/>
      <c r="V561" s="237"/>
      <c r="W561" s="237"/>
      <c r="X561" s="237"/>
      <c r="Y561" s="237"/>
      <c r="Z561" s="237"/>
    </row>
    <row r="562" ht="14.25" customHeight="1" spans="1:26">
      <c r="A562" s="237"/>
      <c r="B562" s="237"/>
      <c r="C562" s="237"/>
      <c r="D562" s="237"/>
      <c r="E562" s="237"/>
      <c r="F562" s="237"/>
      <c r="G562" s="237"/>
      <c r="H562" s="237"/>
      <c r="I562" s="237"/>
      <c r="J562" s="237"/>
      <c r="K562" s="237"/>
      <c r="L562" s="237"/>
      <c r="M562" s="237"/>
      <c r="N562" s="237"/>
      <c r="O562" s="237"/>
      <c r="P562" s="237"/>
      <c r="Q562" s="237"/>
      <c r="R562" s="237"/>
      <c r="S562" s="237"/>
      <c r="T562" s="237"/>
      <c r="U562" s="237"/>
      <c r="V562" s="237"/>
      <c r="W562" s="237"/>
      <c r="X562" s="237"/>
      <c r="Y562" s="237"/>
      <c r="Z562" s="237"/>
    </row>
    <row r="563" ht="14.25" customHeight="1" spans="1:26">
      <c r="A563" s="237"/>
      <c r="B563" s="237"/>
      <c r="C563" s="237"/>
      <c r="D563" s="237"/>
      <c r="E563" s="237"/>
      <c r="F563" s="237"/>
      <c r="G563" s="237"/>
      <c r="H563" s="237"/>
      <c r="I563" s="237"/>
      <c r="J563" s="237"/>
      <c r="K563" s="237"/>
      <c r="L563" s="237"/>
      <c r="M563" s="237"/>
      <c r="N563" s="237"/>
      <c r="O563" s="237"/>
      <c r="P563" s="237"/>
      <c r="Q563" s="237"/>
      <c r="R563" s="237"/>
      <c r="S563" s="237"/>
      <c r="T563" s="237"/>
      <c r="U563" s="237"/>
      <c r="V563" s="237"/>
      <c r="W563" s="237"/>
      <c r="X563" s="237"/>
      <c r="Y563" s="237"/>
      <c r="Z563" s="237"/>
    </row>
    <row r="564" ht="14.25" customHeight="1" spans="1:26">
      <c r="A564" s="237"/>
      <c r="B564" s="237"/>
      <c r="C564" s="237"/>
      <c r="D564" s="237"/>
      <c r="E564" s="237"/>
      <c r="F564" s="237"/>
      <c r="G564" s="237"/>
      <c r="H564" s="237"/>
      <c r="I564" s="237"/>
      <c r="J564" s="237"/>
      <c r="K564" s="237"/>
      <c r="L564" s="237"/>
      <c r="M564" s="237"/>
      <c r="N564" s="237"/>
      <c r="O564" s="237"/>
      <c r="P564" s="237"/>
      <c r="Q564" s="237"/>
      <c r="R564" s="237"/>
      <c r="S564" s="237"/>
      <c r="T564" s="237"/>
      <c r="U564" s="237"/>
      <c r="V564" s="237"/>
      <c r="W564" s="237"/>
      <c r="X564" s="237"/>
      <c r="Y564" s="237"/>
      <c r="Z564" s="237"/>
    </row>
    <row r="565" ht="14.25" customHeight="1" spans="1:26">
      <c r="A565" s="237"/>
      <c r="B565" s="237"/>
      <c r="C565" s="237"/>
      <c r="D565" s="237"/>
      <c r="E565" s="237"/>
      <c r="F565" s="237"/>
      <c r="G565" s="237"/>
      <c r="H565" s="237"/>
      <c r="I565" s="237"/>
      <c r="J565" s="237"/>
      <c r="K565" s="237"/>
      <c r="L565" s="237"/>
      <c r="M565" s="237"/>
      <c r="N565" s="237"/>
      <c r="O565" s="237"/>
      <c r="P565" s="237"/>
      <c r="Q565" s="237"/>
      <c r="R565" s="237"/>
      <c r="S565" s="237"/>
      <c r="T565" s="237"/>
      <c r="U565" s="237"/>
      <c r="V565" s="237"/>
      <c r="W565" s="237"/>
      <c r="X565" s="237"/>
      <c r="Y565" s="237"/>
      <c r="Z565" s="237"/>
    </row>
    <row r="566" ht="14.25" customHeight="1" spans="1:26">
      <c r="A566" s="237"/>
      <c r="B566" s="237"/>
      <c r="C566" s="237"/>
      <c r="D566" s="237"/>
      <c r="E566" s="237"/>
      <c r="F566" s="237"/>
      <c r="G566" s="237"/>
      <c r="H566" s="237"/>
      <c r="I566" s="237"/>
      <c r="J566" s="237"/>
      <c r="K566" s="237"/>
      <c r="L566" s="237"/>
      <c r="M566" s="237"/>
      <c r="N566" s="237"/>
      <c r="O566" s="237"/>
      <c r="P566" s="237"/>
      <c r="Q566" s="237"/>
      <c r="R566" s="237"/>
      <c r="S566" s="237"/>
      <c r="T566" s="237"/>
      <c r="U566" s="237"/>
      <c r="V566" s="237"/>
      <c r="W566" s="237"/>
      <c r="X566" s="237"/>
      <c r="Y566" s="237"/>
      <c r="Z566" s="237"/>
    </row>
    <row r="567" ht="14.25" customHeight="1" spans="1:26">
      <c r="A567" s="237"/>
      <c r="B567" s="237"/>
      <c r="C567" s="237"/>
      <c r="D567" s="237"/>
      <c r="E567" s="237"/>
      <c r="F567" s="237"/>
      <c r="G567" s="237"/>
      <c r="H567" s="237"/>
      <c r="I567" s="237"/>
      <c r="J567" s="237"/>
      <c r="K567" s="237"/>
      <c r="L567" s="237"/>
      <c r="M567" s="237"/>
      <c r="N567" s="237"/>
      <c r="O567" s="237"/>
      <c r="P567" s="237"/>
      <c r="Q567" s="237"/>
      <c r="R567" s="237"/>
      <c r="S567" s="237"/>
      <c r="T567" s="237"/>
      <c r="U567" s="237"/>
      <c r="V567" s="237"/>
      <c r="W567" s="237"/>
      <c r="X567" s="237"/>
      <c r="Y567" s="237"/>
      <c r="Z567" s="237"/>
    </row>
    <row r="568" ht="14.25" customHeight="1" spans="1:26">
      <c r="A568" s="237"/>
      <c r="B568" s="237"/>
      <c r="C568" s="237"/>
      <c r="D568" s="237"/>
      <c r="E568" s="237"/>
      <c r="F568" s="237"/>
      <c r="G568" s="237"/>
      <c r="H568" s="237"/>
      <c r="I568" s="237"/>
      <c r="J568" s="237"/>
      <c r="K568" s="237"/>
      <c r="L568" s="237"/>
      <c r="M568" s="237"/>
      <c r="N568" s="237"/>
      <c r="O568" s="237"/>
      <c r="P568" s="237"/>
      <c r="Q568" s="237"/>
      <c r="R568" s="237"/>
      <c r="S568" s="237"/>
      <c r="T568" s="237"/>
      <c r="U568" s="237"/>
      <c r="V568" s="237"/>
      <c r="W568" s="237"/>
      <c r="X568" s="237"/>
      <c r="Y568" s="237"/>
      <c r="Z568" s="237"/>
    </row>
    <row r="569" ht="14.25" customHeight="1" spans="1:26">
      <c r="A569" s="237"/>
      <c r="B569" s="237"/>
      <c r="C569" s="237"/>
      <c r="D569" s="237"/>
      <c r="E569" s="237"/>
      <c r="F569" s="237"/>
      <c r="G569" s="237"/>
      <c r="H569" s="237"/>
      <c r="I569" s="237"/>
      <c r="J569" s="237"/>
      <c r="K569" s="237"/>
      <c r="L569" s="237"/>
      <c r="M569" s="237"/>
      <c r="N569" s="237"/>
      <c r="O569" s="237"/>
      <c r="P569" s="237"/>
      <c r="Q569" s="237"/>
      <c r="R569" s="237"/>
      <c r="S569" s="237"/>
      <c r="T569" s="237"/>
      <c r="U569" s="237"/>
      <c r="V569" s="237"/>
      <c r="W569" s="237"/>
      <c r="X569" s="237"/>
      <c r="Y569" s="237"/>
      <c r="Z569" s="237"/>
    </row>
    <row r="570" ht="14.25" customHeight="1" spans="1:26">
      <c r="A570" s="237"/>
      <c r="B570" s="237"/>
      <c r="C570" s="237"/>
      <c r="D570" s="237"/>
      <c r="E570" s="237"/>
      <c r="F570" s="237"/>
      <c r="G570" s="237"/>
      <c r="H570" s="237"/>
      <c r="I570" s="237"/>
      <c r="J570" s="237"/>
      <c r="K570" s="237"/>
      <c r="L570" s="237"/>
      <c r="M570" s="237"/>
      <c r="N570" s="237"/>
      <c r="O570" s="237"/>
      <c r="P570" s="237"/>
      <c r="Q570" s="237"/>
      <c r="R570" s="237"/>
      <c r="S570" s="237"/>
      <c r="T570" s="237"/>
      <c r="U570" s="237"/>
      <c r="V570" s="237"/>
      <c r="W570" s="237"/>
      <c r="X570" s="237"/>
      <c r="Y570" s="237"/>
      <c r="Z570" s="237"/>
    </row>
    <row r="571" ht="14.25" customHeight="1" spans="1:26">
      <c r="A571" s="237"/>
      <c r="B571" s="237"/>
      <c r="C571" s="237"/>
      <c r="D571" s="237"/>
      <c r="E571" s="237"/>
      <c r="F571" s="237"/>
      <c r="G571" s="237"/>
      <c r="H571" s="237"/>
      <c r="I571" s="237"/>
      <c r="J571" s="237"/>
      <c r="K571" s="237"/>
      <c r="L571" s="237"/>
      <c r="M571" s="237"/>
      <c r="N571" s="237"/>
      <c r="O571" s="237"/>
      <c r="P571" s="237"/>
      <c r="Q571" s="237"/>
      <c r="R571" s="237"/>
      <c r="S571" s="237"/>
      <c r="T571" s="237"/>
      <c r="U571" s="237"/>
      <c r="V571" s="237"/>
      <c r="W571" s="237"/>
      <c r="X571" s="237"/>
      <c r="Y571" s="237"/>
      <c r="Z571" s="237"/>
    </row>
    <row r="572" ht="14.25" customHeight="1" spans="1:26">
      <c r="A572" s="237"/>
      <c r="B572" s="237"/>
      <c r="C572" s="237"/>
      <c r="D572" s="237"/>
      <c r="E572" s="237"/>
      <c r="F572" s="237"/>
      <c r="G572" s="237"/>
      <c r="H572" s="237"/>
      <c r="I572" s="237"/>
      <c r="J572" s="237"/>
      <c r="K572" s="237"/>
      <c r="L572" s="237"/>
      <c r="M572" s="237"/>
      <c r="N572" s="237"/>
      <c r="O572" s="237"/>
      <c r="P572" s="237"/>
      <c r="Q572" s="237"/>
      <c r="R572" s="237"/>
      <c r="S572" s="237"/>
      <c r="T572" s="237"/>
      <c r="U572" s="237"/>
      <c r="V572" s="237"/>
      <c r="W572" s="237"/>
      <c r="X572" s="237"/>
      <c r="Y572" s="237"/>
      <c r="Z572" s="237"/>
    </row>
    <row r="573" ht="14.25" customHeight="1" spans="1:26">
      <c r="A573" s="237"/>
      <c r="B573" s="237"/>
      <c r="C573" s="237"/>
      <c r="D573" s="237"/>
      <c r="E573" s="237"/>
      <c r="F573" s="237"/>
      <c r="G573" s="237"/>
      <c r="H573" s="237"/>
      <c r="I573" s="237"/>
      <c r="J573" s="237"/>
      <c r="K573" s="237"/>
      <c r="L573" s="237"/>
      <c r="M573" s="237"/>
      <c r="N573" s="237"/>
      <c r="O573" s="237"/>
      <c r="P573" s="237"/>
      <c r="Q573" s="237"/>
      <c r="R573" s="237"/>
      <c r="S573" s="237"/>
      <c r="T573" s="237"/>
      <c r="U573" s="237"/>
      <c r="V573" s="237"/>
      <c r="W573" s="237"/>
      <c r="X573" s="237"/>
      <c r="Y573" s="237"/>
      <c r="Z573" s="237"/>
    </row>
    <row r="574" ht="14.25" customHeight="1" spans="1:26">
      <c r="A574" s="237"/>
      <c r="B574" s="237"/>
      <c r="C574" s="237"/>
      <c r="D574" s="237"/>
      <c r="E574" s="237"/>
      <c r="F574" s="237"/>
      <c r="G574" s="237"/>
      <c r="H574" s="237"/>
      <c r="I574" s="237"/>
      <c r="J574" s="237"/>
      <c r="K574" s="237"/>
      <c r="L574" s="237"/>
      <c r="M574" s="237"/>
      <c r="N574" s="237"/>
      <c r="O574" s="237"/>
      <c r="P574" s="237"/>
      <c r="Q574" s="237"/>
      <c r="R574" s="237"/>
      <c r="S574" s="237"/>
      <c r="T574" s="237"/>
      <c r="U574" s="237"/>
      <c r="V574" s="237"/>
      <c r="W574" s="237"/>
      <c r="X574" s="237"/>
      <c r="Y574" s="237"/>
      <c r="Z574" s="237"/>
    </row>
    <row r="575" ht="14.25" customHeight="1" spans="1:26">
      <c r="A575" s="237"/>
      <c r="B575" s="237"/>
      <c r="C575" s="237"/>
      <c r="D575" s="237"/>
      <c r="E575" s="237"/>
      <c r="F575" s="237"/>
      <c r="G575" s="237"/>
      <c r="H575" s="237"/>
      <c r="I575" s="237"/>
      <c r="J575" s="237"/>
      <c r="K575" s="237"/>
      <c r="L575" s="237"/>
      <c r="M575" s="237"/>
      <c r="N575" s="237"/>
      <c r="O575" s="237"/>
      <c r="P575" s="237"/>
      <c r="Q575" s="237"/>
      <c r="R575" s="237"/>
      <c r="S575" s="237"/>
      <c r="T575" s="237"/>
      <c r="U575" s="237"/>
      <c r="V575" s="237"/>
      <c r="W575" s="237"/>
      <c r="X575" s="237"/>
      <c r="Y575" s="237"/>
      <c r="Z575" s="237"/>
    </row>
    <row r="576" ht="14.25" customHeight="1" spans="1:26">
      <c r="A576" s="237"/>
      <c r="B576" s="237"/>
      <c r="C576" s="237"/>
      <c r="D576" s="237"/>
      <c r="E576" s="237"/>
      <c r="F576" s="237"/>
      <c r="G576" s="237"/>
      <c r="H576" s="237"/>
      <c r="I576" s="237"/>
      <c r="J576" s="237"/>
      <c r="K576" s="237"/>
      <c r="L576" s="237"/>
      <c r="M576" s="237"/>
      <c r="N576" s="237"/>
      <c r="O576" s="237"/>
      <c r="P576" s="237"/>
      <c r="Q576" s="237"/>
      <c r="R576" s="237"/>
      <c r="S576" s="237"/>
      <c r="T576" s="237"/>
      <c r="U576" s="237"/>
      <c r="V576" s="237"/>
      <c r="W576" s="237"/>
      <c r="X576" s="237"/>
      <c r="Y576" s="237"/>
      <c r="Z576" s="237"/>
    </row>
    <row r="577" ht="14.25" customHeight="1" spans="1:26">
      <c r="A577" s="237"/>
      <c r="B577" s="237"/>
      <c r="C577" s="237"/>
      <c r="D577" s="237"/>
      <c r="E577" s="237"/>
      <c r="F577" s="237"/>
      <c r="G577" s="237"/>
      <c r="H577" s="237"/>
      <c r="I577" s="237"/>
      <c r="J577" s="237"/>
      <c r="K577" s="237"/>
      <c r="L577" s="237"/>
      <c r="M577" s="237"/>
      <c r="N577" s="237"/>
      <c r="O577" s="237"/>
      <c r="P577" s="237"/>
      <c r="Q577" s="237"/>
      <c r="R577" s="237"/>
      <c r="S577" s="237"/>
      <c r="T577" s="237"/>
      <c r="U577" s="237"/>
      <c r="V577" s="237"/>
      <c r="W577" s="237"/>
      <c r="X577" s="237"/>
      <c r="Y577" s="237"/>
      <c r="Z577" s="237"/>
    </row>
    <row r="578" ht="14.25" customHeight="1" spans="1:26">
      <c r="A578" s="237"/>
      <c r="B578" s="237"/>
      <c r="C578" s="237"/>
      <c r="D578" s="237"/>
      <c r="E578" s="237"/>
      <c r="F578" s="237"/>
      <c r="G578" s="237"/>
      <c r="H578" s="237"/>
      <c r="I578" s="237"/>
      <c r="J578" s="237"/>
      <c r="K578" s="237"/>
      <c r="L578" s="237"/>
      <c r="M578" s="237"/>
      <c r="N578" s="237"/>
      <c r="O578" s="237"/>
      <c r="P578" s="237"/>
      <c r="Q578" s="237"/>
      <c r="R578" s="237"/>
      <c r="S578" s="237"/>
      <c r="T578" s="237"/>
      <c r="U578" s="237"/>
      <c r="V578" s="237"/>
      <c r="W578" s="237"/>
      <c r="X578" s="237"/>
      <c r="Y578" s="237"/>
      <c r="Z578" s="237"/>
    </row>
    <row r="579" ht="14.25" customHeight="1" spans="1:26">
      <c r="A579" s="237"/>
      <c r="B579" s="237"/>
      <c r="C579" s="237"/>
      <c r="D579" s="237"/>
      <c r="E579" s="237"/>
      <c r="F579" s="237"/>
      <c r="G579" s="237"/>
      <c r="H579" s="237"/>
      <c r="I579" s="237"/>
      <c r="J579" s="237"/>
      <c r="K579" s="237"/>
      <c r="L579" s="237"/>
      <c r="M579" s="237"/>
      <c r="N579" s="237"/>
      <c r="O579" s="237"/>
      <c r="P579" s="237"/>
      <c r="Q579" s="237"/>
      <c r="R579" s="237"/>
      <c r="S579" s="237"/>
      <c r="T579" s="237"/>
      <c r="U579" s="237"/>
      <c r="V579" s="237"/>
      <c r="W579" s="237"/>
      <c r="X579" s="237"/>
      <c r="Y579" s="237"/>
      <c r="Z579" s="237"/>
    </row>
    <row r="580" ht="14.25" customHeight="1" spans="1:26">
      <c r="A580" s="237"/>
      <c r="B580" s="237"/>
      <c r="C580" s="237"/>
      <c r="D580" s="237"/>
      <c r="E580" s="237"/>
      <c r="F580" s="237"/>
      <c r="G580" s="237"/>
      <c r="H580" s="237"/>
      <c r="I580" s="237"/>
      <c r="J580" s="237"/>
      <c r="K580" s="237"/>
      <c r="L580" s="237"/>
      <c r="M580" s="237"/>
      <c r="N580" s="237"/>
      <c r="O580" s="237"/>
      <c r="P580" s="237"/>
      <c r="Q580" s="237"/>
      <c r="R580" s="237"/>
      <c r="S580" s="237"/>
      <c r="T580" s="237"/>
      <c r="U580" s="237"/>
      <c r="V580" s="237"/>
      <c r="W580" s="237"/>
      <c r="X580" s="237"/>
      <c r="Y580" s="237"/>
      <c r="Z580" s="237"/>
    </row>
    <row r="581" ht="14.25" customHeight="1" spans="1:26">
      <c r="A581" s="237"/>
      <c r="B581" s="237"/>
      <c r="C581" s="237"/>
      <c r="D581" s="237"/>
      <c r="E581" s="237"/>
      <c r="F581" s="237"/>
      <c r="G581" s="237"/>
      <c r="H581" s="237"/>
      <c r="I581" s="237"/>
      <c r="J581" s="237"/>
      <c r="K581" s="237"/>
      <c r="L581" s="237"/>
      <c r="M581" s="237"/>
      <c r="N581" s="237"/>
      <c r="O581" s="237"/>
      <c r="P581" s="237"/>
      <c r="Q581" s="237"/>
      <c r="R581" s="237"/>
      <c r="S581" s="237"/>
      <c r="T581" s="237"/>
      <c r="U581" s="237"/>
      <c r="V581" s="237"/>
      <c r="W581" s="237"/>
      <c r="X581" s="237"/>
      <c r="Y581" s="237"/>
      <c r="Z581" s="237"/>
    </row>
    <row r="582" ht="14.25" customHeight="1" spans="1:26">
      <c r="A582" s="237"/>
      <c r="B582" s="237"/>
      <c r="C582" s="237"/>
      <c r="D582" s="237"/>
      <c r="E582" s="237"/>
      <c r="F582" s="237"/>
      <c r="G582" s="237"/>
      <c r="H582" s="237"/>
      <c r="I582" s="237"/>
      <c r="J582" s="237"/>
      <c r="K582" s="237"/>
      <c r="L582" s="237"/>
      <c r="M582" s="237"/>
      <c r="N582" s="237"/>
      <c r="O582" s="237"/>
      <c r="P582" s="237"/>
      <c r="Q582" s="237"/>
      <c r="R582" s="237"/>
      <c r="S582" s="237"/>
      <c r="T582" s="237"/>
      <c r="U582" s="237"/>
      <c r="V582" s="237"/>
      <c r="W582" s="237"/>
      <c r="X582" s="237"/>
      <c r="Y582" s="237"/>
      <c r="Z582" s="237"/>
    </row>
    <row r="583" ht="14.25" customHeight="1" spans="1:26">
      <c r="A583" s="237"/>
      <c r="B583" s="237"/>
      <c r="C583" s="237"/>
      <c r="D583" s="237"/>
      <c r="E583" s="237"/>
      <c r="F583" s="237"/>
      <c r="G583" s="237"/>
      <c r="H583" s="237"/>
      <c r="I583" s="237"/>
      <c r="J583" s="237"/>
      <c r="K583" s="237"/>
      <c r="L583" s="237"/>
      <c r="M583" s="237"/>
      <c r="N583" s="237"/>
      <c r="O583" s="237"/>
      <c r="P583" s="237"/>
      <c r="Q583" s="237"/>
      <c r="R583" s="237"/>
      <c r="S583" s="237"/>
      <c r="T583" s="237"/>
      <c r="U583" s="237"/>
      <c r="V583" s="237"/>
      <c r="W583" s="237"/>
      <c r="X583" s="237"/>
      <c r="Y583" s="237"/>
      <c r="Z583" s="237"/>
    </row>
    <row r="584" ht="14.25" customHeight="1" spans="1:26">
      <c r="A584" s="237"/>
      <c r="B584" s="237"/>
      <c r="C584" s="237"/>
      <c r="D584" s="237"/>
      <c r="E584" s="237"/>
      <c r="F584" s="237"/>
      <c r="G584" s="237"/>
      <c r="H584" s="237"/>
      <c r="I584" s="237"/>
      <c r="J584" s="237"/>
      <c r="K584" s="237"/>
      <c r="L584" s="237"/>
      <c r="M584" s="237"/>
      <c r="N584" s="237"/>
      <c r="O584" s="237"/>
      <c r="P584" s="237"/>
      <c r="Q584" s="237"/>
      <c r="R584" s="237"/>
      <c r="S584" s="237"/>
      <c r="T584" s="237"/>
      <c r="U584" s="237"/>
      <c r="V584" s="237"/>
      <c r="W584" s="237"/>
      <c r="X584" s="237"/>
      <c r="Y584" s="237"/>
      <c r="Z584" s="237"/>
    </row>
    <row r="585" ht="14.25" customHeight="1" spans="1:26">
      <c r="A585" s="237"/>
      <c r="B585" s="237"/>
      <c r="C585" s="237"/>
      <c r="D585" s="237"/>
      <c r="E585" s="237"/>
      <c r="F585" s="237"/>
      <c r="G585" s="237"/>
      <c r="H585" s="237"/>
      <c r="I585" s="237"/>
      <c r="J585" s="237"/>
      <c r="K585" s="237"/>
      <c r="L585" s="237"/>
      <c r="M585" s="237"/>
      <c r="N585" s="237"/>
      <c r="O585" s="237"/>
      <c r="P585" s="237"/>
      <c r="Q585" s="237"/>
      <c r="R585" s="237"/>
      <c r="S585" s="237"/>
      <c r="T585" s="237"/>
      <c r="U585" s="237"/>
      <c r="V585" s="237"/>
      <c r="W585" s="237"/>
      <c r="X585" s="237"/>
      <c r="Y585" s="237"/>
      <c r="Z585" s="237"/>
    </row>
    <row r="586" ht="14.25" customHeight="1" spans="1:26">
      <c r="A586" s="237"/>
      <c r="B586" s="237"/>
      <c r="C586" s="237"/>
      <c r="D586" s="237"/>
      <c r="E586" s="237"/>
      <c r="F586" s="237"/>
      <c r="G586" s="237"/>
      <c r="H586" s="237"/>
      <c r="I586" s="237"/>
      <c r="J586" s="237"/>
      <c r="K586" s="237"/>
      <c r="L586" s="237"/>
      <c r="M586" s="237"/>
      <c r="N586" s="237"/>
      <c r="O586" s="237"/>
      <c r="P586" s="237"/>
      <c r="Q586" s="237"/>
      <c r="R586" s="237"/>
      <c r="S586" s="237"/>
      <c r="T586" s="237"/>
      <c r="U586" s="237"/>
      <c r="V586" s="237"/>
      <c r="W586" s="237"/>
      <c r="X586" s="237"/>
      <c r="Y586" s="237"/>
      <c r="Z586" s="237"/>
    </row>
    <row r="587" ht="14.25" customHeight="1" spans="1:26">
      <c r="A587" s="237"/>
      <c r="B587" s="237"/>
      <c r="C587" s="237"/>
      <c r="D587" s="237"/>
      <c r="E587" s="237"/>
      <c r="F587" s="237"/>
      <c r="G587" s="237"/>
      <c r="H587" s="237"/>
      <c r="I587" s="237"/>
      <c r="J587" s="237"/>
      <c r="K587" s="237"/>
      <c r="L587" s="237"/>
      <c r="M587" s="237"/>
      <c r="N587" s="237"/>
      <c r="O587" s="237"/>
      <c r="P587" s="237"/>
      <c r="Q587" s="237"/>
      <c r="R587" s="237"/>
      <c r="S587" s="237"/>
      <c r="T587" s="237"/>
      <c r="U587" s="237"/>
      <c r="V587" s="237"/>
      <c r="W587" s="237"/>
      <c r="X587" s="237"/>
      <c r="Y587" s="237"/>
      <c r="Z587" s="237"/>
    </row>
    <row r="588" ht="14.25" customHeight="1" spans="1:26">
      <c r="A588" s="237"/>
      <c r="B588" s="237"/>
      <c r="C588" s="237"/>
      <c r="D588" s="237"/>
      <c r="E588" s="237"/>
      <c r="F588" s="237"/>
      <c r="G588" s="237"/>
      <c r="H588" s="237"/>
      <c r="I588" s="237"/>
      <c r="J588" s="237"/>
      <c r="K588" s="237"/>
      <c r="L588" s="237"/>
      <c r="M588" s="237"/>
      <c r="N588" s="237"/>
      <c r="O588" s="237"/>
      <c r="P588" s="237"/>
      <c r="Q588" s="237"/>
      <c r="R588" s="237"/>
      <c r="S588" s="237"/>
      <c r="T588" s="237"/>
      <c r="U588" s="237"/>
      <c r="V588" s="237"/>
      <c r="W588" s="237"/>
      <c r="X588" s="237"/>
      <c r="Y588" s="237"/>
      <c r="Z588" s="237"/>
    </row>
    <row r="589" ht="14.25" customHeight="1" spans="1:26">
      <c r="A589" s="237"/>
      <c r="B589" s="237"/>
      <c r="C589" s="237"/>
      <c r="D589" s="237"/>
      <c r="E589" s="237"/>
      <c r="F589" s="237"/>
      <c r="G589" s="237"/>
      <c r="H589" s="237"/>
      <c r="I589" s="237"/>
      <c r="J589" s="237"/>
      <c r="K589" s="237"/>
      <c r="L589" s="237"/>
      <c r="M589" s="237"/>
      <c r="N589" s="237"/>
      <c r="O589" s="237"/>
      <c r="P589" s="237"/>
      <c r="Q589" s="237"/>
      <c r="R589" s="237"/>
      <c r="S589" s="237"/>
      <c r="T589" s="237"/>
      <c r="U589" s="237"/>
      <c r="V589" s="237"/>
      <c r="W589" s="237"/>
      <c r="X589" s="237"/>
      <c r="Y589" s="237"/>
      <c r="Z589" s="237"/>
    </row>
    <row r="590" ht="14.25" customHeight="1" spans="1:26">
      <c r="A590" s="237"/>
      <c r="B590" s="237"/>
      <c r="C590" s="237"/>
      <c r="D590" s="237"/>
      <c r="E590" s="237"/>
      <c r="F590" s="237"/>
      <c r="G590" s="237"/>
      <c r="H590" s="237"/>
      <c r="I590" s="237"/>
      <c r="J590" s="237"/>
      <c r="K590" s="237"/>
      <c r="L590" s="237"/>
      <c r="M590" s="237"/>
      <c r="N590" s="237"/>
      <c r="O590" s="237"/>
      <c r="P590" s="237"/>
      <c r="Q590" s="237"/>
      <c r="R590" s="237"/>
      <c r="S590" s="237"/>
      <c r="T590" s="237"/>
      <c r="U590" s="237"/>
      <c r="V590" s="237"/>
      <c r="W590" s="237"/>
      <c r="X590" s="237"/>
      <c r="Y590" s="237"/>
      <c r="Z590" s="237"/>
    </row>
    <row r="591" ht="14.25" customHeight="1" spans="1:26">
      <c r="A591" s="237"/>
      <c r="B591" s="237"/>
      <c r="C591" s="237"/>
      <c r="D591" s="237"/>
      <c r="E591" s="237"/>
      <c r="F591" s="237"/>
      <c r="G591" s="237"/>
      <c r="H591" s="237"/>
      <c r="I591" s="237"/>
      <c r="J591" s="237"/>
      <c r="K591" s="237"/>
      <c r="L591" s="237"/>
      <c r="M591" s="237"/>
      <c r="N591" s="237"/>
      <c r="O591" s="237"/>
      <c r="P591" s="237"/>
      <c r="Q591" s="237"/>
      <c r="R591" s="237"/>
      <c r="S591" s="237"/>
      <c r="T591" s="237"/>
      <c r="U591" s="237"/>
      <c r="V591" s="237"/>
      <c r="W591" s="237"/>
      <c r="X591" s="237"/>
      <c r="Y591" s="237"/>
      <c r="Z591" s="237"/>
    </row>
    <row r="592" ht="14.25" customHeight="1" spans="1:26">
      <c r="A592" s="237"/>
      <c r="B592" s="237"/>
      <c r="C592" s="237"/>
      <c r="D592" s="237"/>
      <c r="E592" s="237"/>
      <c r="F592" s="237"/>
      <c r="G592" s="237"/>
      <c r="H592" s="237"/>
      <c r="I592" s="237"/>
      <c r="J592" s="237"/>
      <c r="K592" s="237"/>
      <c r="L592" s="237"/>
      <c r="M592" s="237"/>
      <c r="N592" s="237"/>
      <c r="O592" s="237"/>
      <c r="P592" s="237"/>
      <c r="Q592" s="237"/>
      <c r="R592" s="237"/>
      <c r="S592" s="237"/>
      <c r="T592" s="237"/>
      <c r="U592" s="237"/>
      <c r="V592" s="237"/>
      <c r="W592" s="237"/>
      <c r="X592" s="237"/>
      <c r="Y592" s="237"/>
      <c r="Z592" s="237"/>
    </row>
    <row r="593" ht="14.25" customHeight="1" spans="1:26">
      <c r="A593" s="237"/>
      <c r="B593" s="237"/>
      <c r="C593" s="237"/>
      <c r="D593" s="237"/>
      <c r="E593" s="237"/>
      <c r="F593" s="237"/>
      <c r="G593" s="237"/>
      <c r="H593" s="237"/>
      <c r="I593" s="237"/>
      <c r="J593" s="237"/>
      <c r="K593" s="237"/>
      <c r="L593" s="237"/>
      <c r="M593" s="237"/>
      <c r="N593" s="237"/>
      <c r="O593" s="237"/>
      <c r="P593" s="237"/>
      <c r="Q593" s="237"/>
      <c r="R593" s="237"/>
      <c r="S593" s="237"/>
      <c r="T593" s="237"/>
      <c r="U593" s="237"/>
      <c r="V593" s="237"/>
      <c r="W593" s="237"/>
      <c r="X593" s="237"/>
      <c r="Y593" s="237"/>
      <c r="Z593" s="237"/>
    </row>
    <row r="594" ht="14.25" customHeight="1" spans="1:26">
      <c r="A594" s="237"/>
      <c r="B594" s="237"/>
      <c r="C594" s="237"/>
      <c r="D594" s="237"/>
      <c r="E594" s="237"/>
      <c r="F594" s="237"/>
      <c r="G594" s="237"/>
      <c r="H594" s="237"/>
      <c r="I594" s="237"/>
      <c r="J594" s="237"/>
      <c r="K594" s="237"/>
      <c r="L594" s="237"/>
      <c r="M594" s="237"/>
      <c r="N594" s="237"/>
      <c r="O594" s="237"/>
      <c r="P594" s="237"/>
      <c r="Q594" s="237"/>
      <c r="R594" s="237"/>
      <c r="S594" s="237"/>
      <c r="T594" s="237"/>
      <c r="U594" s="237"/>
      <c r="V594" s="237"/>
      <c r="W594" s="237"/>
      <c r="X594" s="237"/>
      <c r="Y594" s="237"/>
      <c r="Z594" s="237"/>
    </row>
    <row r="595" ht="14.25" customHeight="1" spans="1:26">
      <c r="A595" s="237"/>
      <c r="B595" s="237"/>
      <c r="C595" s="237"/>
      <c r="D595" s="237"/>
      <c r="E595" s="237"/>
      <c r="F595" s="237"/>
      <c r="G595" s="237"/>
      <c r="H595" s="237"/>
      <c r="I595" s="237"/>
      <c r="J595" s="237"/>
      <c r="K595" s="237"/>
      <c r="L595" s="237"/>
      <c r="M595" s="237"/>
      <c r="N595" s="237"/>
      <c r="O595" s="237"/>
      <c r="P595" s="237"/>
      <c r="Q595" s="237"/>
      <c r="R595" s="237"/>
      <c r="S595" s="237"/>
      <c r="T595" s="237"/>
      <c r="U595" s="237"/>
      <c r="V595" s="237"/>
      <c r="W595" s="237"/>
      <c r="X595" s="237"/>
      <c r="Y595" s="237"/>
      <c r="Z595" s="237"/>
    </row>
    <row r="596" ht="14.25" customHeight="1" spans="1:26">
      <c r="A596" s="237"/>
      <c r="B596" s="237"/>
      <c r="C596" s="237"/>
      <c r="D596" s="237"/>
      <c r="E596" s="237"/>
      <c r="F596" s="237"/>
      <c r="G596" s="237"/>
      <c r="H596" s="237"/>
      <c r="I596" s="237"/>
      <c r="J596" s="237"/>
      <c r="K596" s="237"/>
      <c r="L596" s="237"/>
      <c r="M596" s="237"/>
      <c r="N596" s="237"/>
      <c r="O596" s="237"/>
      <c r="P596" s="237"/>
      <c r="Q596" s="237"/>
      <c r="R596" s="237"/>
      <c r="S596" s="237"/>
      <c r="T596" s="237"/>
      <c r="U596" s="237"/>
      <c r="V596" s="237"/>
      <c r="W596" s="237"/>
      <c r="X596" s="237"/>
      <c r="Y596" s="237"/>
      <c r="Z596" s="237"/>
    </row>
    <row r="597" ht="14.25" customHeight="1" spans="1:26">
      <c r="A597" s="237"/>
      <c r="B597" s="237"/>
      <c r="C597" s="237"/>
      <c r="D597" s="237"/>
      <c r="E597" s="237"/>
      <c r="F597" s="237"/>
      <c r="G597" s="237"/>
      <c r="H597" s="237"/>
      <c r="I597" s="237"/>
      <c r="J597" s="237"/>
      <c r="K597" s="237"/>
      <c r="L597" s="237"/>
      <c r="M597" s="237"/>
      <c r="N597" s="237"/>
      <c r="O597" s="237"/>
      <c r="P597" s="237"/>
      <c r="Q597" s="237"/>
      <c r="R597" s="237"/>
      <c r="S597" s="237"/>
      <c r="T597" s="237"/>
      <c r="U597" s="237"/>
      <c r="V597" s="237"/>
      <c r="W597" s="237"/>
      <c r="X597" s="237"/>
      <c r="Y597" s="237"/>
      <c r="Z597" s="237"/>
    </row>
    <row r="598" ht="14.25" customHeight="1" spans="1:26">
      <c r="A598" s="237"/>
      <c r="B598" s="237"/>
      <c r="C598" s="237"/>
      <c r="D598" s="237"/>
      <c r="E598" s="237"/>
      <c r="F598" s="237"/>
      <c r="G598" s="237"/>
      <c r="H598" s="237"/>
      <c r="I598" s="237"/>
      <c r="J598" s="237"/>
      <c r="K598" s="237"/>
      <c r="L598" s="237"/>
      <c r="M598" s="237"/>
      <c r="N598" s="237"/>
      <c r="O598" s="237"/>
      <c r="P598" s="237"/>
      <c r="Q598" s="237"/>
      <c r="R598" s="237"/>
      <c r="S598" s="237"/>
      <c r="T598" s="237"/>
      <c r="U598" s="237"/>
      <c r="V598" s="237"/>
      <c r="W598" s="237"/>
      <c r="X598" s="237"/>
      <c r="Y598" s="237"/>
      <c r="Z598" s="237"/>
    </row>
    <row r="599" ht="14.25" customHeight="1" spans="1:26">
      <c r="A599" s="237"/>
      <c r="B599" s="237"/>
      <c r="C599" s="237"/>
      <c r="D599" s="237"/>
      <c r="E599" s="237"/>
      <c r="F599" s="237"/>
      <c r="G599" s="237"/>
      <c r="H599" s="237"/>
      <c r="I599" s="237"/>
      <c r="J599" s="237"/>
      <c r="K599" s="237"/>
      <c r="L599" s="237"/>
      <c r="M599" s="237"/>
      <c r="N599" s="237"/>
      <c r="O599" s="237"/>
      <c r="P599" s="237"/>
      <c r="Q599" s="237"/>
      <c r="R599" s="237"/>
      <c r="S599" s="237"/>
      <c r="T599" s="237"/>
      <c r="U599" s="237"/>
      <c r="V599" s="237"/>
      <c r="W599" s="237"/>
      <c r="X599" s="237"/>
      <c r="Y599" s="237"/>
      <c r="Z599" s="237"/>
    </row>
    <row r="600" ht="14.25" customHeight="1" spans="1:26">
      <c r="A600" s="237"/>
      <c r="B600" s="237"/>
      <c r="C600" s="237"/>
      <c r="D600" s="237"/>
      <c r="E600" s="237"/>
      <c r="F600" s="237"/>
      <c r="G600" s="237"/>
      <c r="H600" s="237"/>
      <c r="I600" s="237"/>
      <c r="J600" s="237"/>
      <c r="K600" s="237"/>
      <c r="L600" s="237"/>
      <c r="M600" s="237"/>
      <c r="N600" s="237"/>
      <c r="O600" s="237"/>
      <c r="P600" s="237"/>
      <c r="Q600" s="237"/>
      <c r="R600" s="237"/>
      <c r="S600" s="237"/>
      <c r="T600" s="237"/>
      <c r="U600" s="237"/>
      <c r="V600" s="237"/>
      <c r="W600" s="237"/>
      <c r="X600" s="237"/>
      <c r="Y600" s="237"/>
      <c r="Z600" s="237"/>
    </row>
    <row r="601" ht="14.25" customHeight="1" spans="1:26">
      <c r="A601" s="237"/>
      <c r="B601" s="237"/>
      <c r="C601" s="237"/>
      <c r="D601" s="237"/>
      <c r="E601" s="237"/>
      <c r="F601" s="237"/>
      <c r="G601" s="237"/>
      <c r="H601" s="237"/>
      <c r="I601" s="237"/>
      <c r="J601" s="237"/>
      <c r="K601" s="237"/>
      <c r="L601" s="237"/>
      <c r="M601" s="237"/>
      <c r="N601" s="237"/>
      <c r="O601" s="237"/>
      <c r="P601" s="237"/>
      <c r="Q601" s="237"/>
      <c r="R601" s="237"/>
      <c r="S601" s="237"/>
      <c r="T601" s="237"/>
      <c r="U601" s="237"/>
      <c r="V601" s="237"/>
      <c r="W601" s="237"/>
      <c r="X601" s="237"/>
      <c r="Y601" s="237"/>
      <c r="Z601" s="237"/>
    </row>
    <row r="602" ht="14.25" customHeight="1" spans="1:26">
      <c r="A602" s="237"/>
      <c r="B602" s="237"/>
      <c r="C602" s="237"/>
      <c r="D602" s="237"/>
      <c r="E602" s="237"/>
      <c r="F602" s="237"/>
      <c r="G602" s="237"/>
      <c r="H602" s="237"/>
      <c r="I602" s="237"/>
      <c r="J602" s="237"/>
      <c r="K602" s="237"/>
      <c r="L602" s="237"/>
      <c r="M602" s="237"/>
      <c r="N602" s="237"/>
      <c r="O602" s="237"/>
      <c r="P602" s="237"/>
      <c r="Q602" s="237"/>
      <c r="R602" s="237"/>
      <c r="S602" s="237"/>
      <c r="T602" s="237"/>
      <c r="U602" s="237"/>
      <c r="V602" s="237"/>
      <c r="W602" s="237"/>
      <c r="X602" s="237"/>
      <c r="Y602" s="237"/>
      <c r="Z602" s="237"/>
    </row>
    <row r="603" ht="14.25" customHeight="1" spans="1:26">
      <c r="A603" s="237"/>
      <c r="B603" s="237"/>
      <c r="C603" s="237"/>
      <c r="D603" s="237"/>
      <c r="E603" s="237"/>
      <c r="F603" s="237"/>
      <c r="G603" s="237"/>
      <c r="H603" s="237"/>
      <c r="I603" s="237"/>
      <c r="J603" s="237"/>
      <c r="K603" s="237"/>
      <c r="L603" s="237"/>
      <c r="M603" s="237"/>
      <c r="N603" s="237"/>
      <c r="O603" s="237"/>
      <c r="P603" s="237"/>
      <c r="Q603" s="237"/>
      <c r="R603" s="237"/>
      <c r="S603" s="237"/>
      <c r="T603" s="237"/>
      <c r="U603" s="237"/>
      <c r="V603" s="237"/>
      <c r="W603" s="237"/>
      <c r="X603" s="237"/>
      <c r="Y603" s="237"/>
      <c r="Z603" s="237"/>
    </row>
    <row r="604" ht="14.25" customHeight="1" spans="1:26">
      <c r="A604" s="237"/>
      <c r="B604" s="237"/>
      <c r="C604" s="237"/>
      <c r="D604" s="237"/>
      <c r="E604" s="237"/>
      <c r="F604" s="237"/>
      <c r="G604" s="237"/>
      <c r="H604" s="237"/>
      <c r="I604" s="237"/>
      <c r="J604" s="237"/>
      <c r="K604" s="237"/>
      <c r="L604" s="237"/>
      <c r="M604" s="237"/>
      <c r="N604" s="237"/>
      <c r="O604" s="237"/>
      <c r="P604" s="237"/>
      <c r="Q604" s="237"/>
      <c r="R604" s="237"/>
      <c r="S604" s="237"/>
      <c r="T604" s="237"/>
      <c r="U604" s="237"/>
      <c r="V604" s="237"/>
      <c r="W604" s="237"/>
      <c r="X604" s="237"/>
      <c r="Y604" s="237"/>
      <c r="Z604" s="237"/>
    </row>
    <row r="605" ht="14.25" customHeight="1" spans="1:26">
      <c r="A605" s="237"/>
      <c r="B605" s="237"/>
      <c r="C605" s="237"/>
      <c r="D605" s="237"/>
      <c r="E605" s="237"/>
      <c r="F605" s="237"/>
      <c r="G605" s="237"/>
      <c r="H605" s="237"/>
      <c r="I605" s="237"/>
      <c r="J605" s="237"/>
      <c r="K605" s="237"/>
      <c r="L605" s="237"/>
      <c r="M605" s="237"/>
      <c r="N605" s="237"/>
      <c r="O605" s="237"/>
      <c r="P605" s="237"/>
      <c r="Q605" s="237"/>
      <c r="R605" s="237"/>
      <c r="S605" s="237"/>
      <c r="T605" s="237"/>
      <c r="U605" s="237"/>
      <c r="V605" s="237"/>
      <c r="W605" s="237"/>
      <c r="X605" s="237"/>
      <c r="Y605" s="237"/>
      <c r="Z605" s="237"/>
    </row>
    <row r="606" ht="14.25" customHeight="1" spans="1:26">
      <c r="A606" s="237"/>
      <c r="B606" s="237"/>
      <c r="C606" s="237"/>
      <c r="D606" s="237"/>
      <c r="E606" s="237"/>
      <c r="F606" s="237"/>
      <c r="G606" s="237"/>
      <c r="H606" s="237"/>
      <c r="I606" s="237"/>
      <c r="J606" s="237"/>
      <c r="K606" s="237"/>
      <c r="L606" s="237"/>
      <c r="M606" s="237"/>
      <c r="N606" s="237"/>
      <c r="O606" s="237"/>
      <c r="P606" s="237"/>
      <c r="Q606" s="237"/>
      <c r="R606" s="237"/>
      <c r="S606" s="237"/>
      <c r="T606" s="237"/>
      <c r="U606" s="237"/>
      <c r="V606" s="237"/>
      <c r="W606" s="237"/>
      <c r="X606" s="237"/>
      <c r="Y606" s="237"/>
      <c r="Z606" s="237"/>
    </row>
    <row r="607" ht="14.25" customHeight="1" spans="1:26">
      <c r="A607" s="237"/>
      <c r="B607" s="237"/>
      <c r="C607" s="237"/>
      <c r="D607" s="237"/>
      <c r="E607" s="237"/>
      <c r="F607" s="237"/>
      <c r="G607" s="237"/>
      <c r="H607" s="237"/>
      <c r="I607" s="237"/>
      <c r="J607" s="237"/>
      <c r="K607" s="237"/>
      <c r="L607" s="237"/>
      <c r="M607" s="237"/>
      <c r="N607" s="237"/>
      <c r="O607" s="237"/>
      <c r="P607" s="237"/>
      <c r="Q607" s="237"/>
      <c r="R607" s="237"/>
      <c r="S607" s="237"/>
      <c r="T607" s="237"/>
      <c r="U607" s="237"/>
      <c r="V607" s="237"/>
      <c r="W607" s="237"/>
      <c r="X607" s="237"/>
      <c r="Y607" s="237"/>
      <c r="Z607" s="237"/>
    </row>
    <row r="608" ht="14.25" customHeight="1" spans="1:26">
      <c r="A608" s="237"/>
      <c r="B608" s="237"/>
      <c r="C608" s="237"/>
      <c r="D608" s="237"/>
      <c r="E608" s="237"/>
      <c r="F608" s="237"/>
      <c r="G608" s="237"/>
      <c r="H608" s="237"/>
      <c r="I608" s="237"/>
      <c r="J608" s="237"/>
      <c r="K608" s="237"/>
      <c r="L608" s="237"/>
      <c r="M608" s="237"/>
      <c r="N608" s="237"/>
      <c r="O608" s="237"/>
      <c r="P608" s="237"/>
      <c r="Q608" s="237"/>
      <c r="R608" s="237"/>
      <c r="S608" s="237"/>
      <c r="T608" s="237"/>
      <c r="U608" s="237"/>
      <c r="V608" s="237"/>
      <c r="W608" s="237"/>
      <c r="X608" s="237"/>
      <c r="Y608" s="237"/>
      <c r="Z608" s="237"/>
    </row>
    <row r="609" ht="14.25" customHeight="1" spans="1:26">
      <c r="A609" s="237"/>
      <c r="B609" s="237"/>
      <c r="C609" s="237"/>
      <c r="D609" s="237"/>
      <c r="E609" s="237"/>
      <c r="F609" s="237"/>
      <c r="G609" s="237"/>
      <c r="H609" s="237"/>
      <c r="I609" s="237"/>
      <c r="J609" s="237"/>
      <c r="K609" s="237"/>
      <c r="L609" s="237"/>
      <c r="M609" s="237"/>
      <c r="N609" s="237"/>
      <c r="O609" s="237"/>
      <c r="P609" s="237"/>
      <c r="Q609" s="237"/>
      <c r="R609" s="237"/>
      <c r="S609" s="237"/>
      <c r="T609" s="237"/>
      <c r="U609" s="237"/>
      <c r="V609" s="237"/>
      <c r="W609" s="237"/>
      <c r="X609" s="237"/>
      <c r="Y609" s="237"/>
      <c r="Z609" s="237"/>
    </row>
    <row r="610" ht="14.25" customHeight="1" spans="1:26">
      <c r="A610" s="237"/>
      <c r="B610" s="237"/>
      <c r="C610" s="237"/>
      <c r="D610" s="237"/>
      <c r="E610" s="237"/>
      <c r="F610" s="237"/>
      <c r="G610" s="237"/>
      <c r="H610" s="237"/>
      <c r="I610" s="237"/>
      <c r="J610" s="237"/>
      <c r="K610" s="237"/>
      <c r="L610" s="237"/>
      <c r="M610" s="237"/>
      <c r="N610" s="237"/>
      <c r="O610" s="237"/>
      <c r="P610" s="237"/>
      <c r="Q610" s="237"/>
      <c r="R610" s="237"/>
      <c r="S610" s="237"/>
      <c r="T610" s="237"/>
      <c r="U610" s="237"/>
      <c r="V610" s="237"/>
      <c r="W610" s="237"/>
      <c r="X610" s="237"/>
      <c r="Y610" s="237"/>
      <c r="Z610" s="237"/>
    </row>
    <row r="611" ht="14.25" customHeight="1" spans="1:26">
      <c r="A611" s="237"/>
      <c r="B611" s="237"/>
      <c r="C611" s="237"/>
      <c r="D611" s="237"/>
      <c r="E611" s="237"/>
      <c r="F611" s="237"/>
      <c r="G611" s="237"/>
      <c r="H611" s="237"/>
      <c r="I611" s="237"/>
      <c r="J611" s="237"/>
      <c r="K611" s="237"/>
      <c r="L611" s="237"/>
      <c r="M611" s="237"/>
      <c r="N611" s="237"/>
      <c r="O611" s="237"/>
      <c r="P611" s="237"/>
      <c r="Q611" s="237"/>
      <c r="R611" s="237"/>
      <c r="S611" s="237"/>
      <c r="T611" s="237"/>
      <c r="U611" s="237"/>
      <c r="V611" s="237"/>
      <c r="W611" s="237"/>
      <c r="X611" s="237"/>
      <c r="Y611" s="237"/>
      <c r="Z611" s="237"/>
    </row>
    <row r="612" ht="14.25" customHeight="1" spans="1:26">
      <c r="A612" s="237"/>
      <c r="B612" s="237"/>
      <c r="C612" s="237"/>
      <c r="D612" s="237"/>
      <c r="E612" s="237"/>
      <c r="F612" s="237"/>
      <c r="G612" s="237"/>
      <c r="H612" s="237"/>
      <c r="I612" s="237"/>
      <c r="J612" s="237"/>
      <c r="K612" s="237"/>
      <c r="L612" s="237"/>
      <c r="M612" s="237"/>
      <c r="N612" s="237"/>
      <c r="O612" s="237"/>
      <c r="P612" s="237"/>
      <c r="Q612" s="237"/>
      <c r="R612" s="237"/>
      <c r="S612" s="237"/>
      <c r="T612" s="237"/>
      <c r="U612" s="237"/>
      <c r="V612" s="237"/>
      <c r="W612" s="237"/>
      <c r="X612" s="237"/>
      <c r="Y612" s="237"/>
      <c r="Z612" s="237"/>
    </row>
    <row r="613" ht="14.25" customHeight="1" spans="1:26">
      <c r="A613" s="237"/>
      <c r="B613" s="237"/>
      <c r="C613" s="237"/>
      <c r="D613" s="237"/>
      <c r="E613" s="237"/>
      <c r="F613" s="237"/>
      <c r="G613" s="237"/>
      <c r="H613" s="237"/>
      <c r="I613" s="237"/>
      <c r="J613" s="237"/>
      <c r="K613" s="237"/>
      <c r="L613" s="237"/>
      <c r="M613" s="237"/>
      <c r="N613" s="237"/>
      <c r="O613" s="237"/>
      <c r="P613" s="237"/>
      <c r="Q613" s="237"/>
      <c r="R613" s="237"/>
      <c r="S613" s="237"/>
      <c r="T613" s="237"/>
      <c r="U613" s="237"/>
      <c r="V613" s="237"/>
      <c r="W613" s="237"/>
      <c r="X613" s="237"/>
      <c r="Y613" s="237"/>
      <c r="Z613" s="237"/>
    </row>
    <row r="614" ht="14.25" customHeight="1" spans="1:26">
      <c r="A614" s="237"/>
      <c r="B614" s="237"/>
      <c r="C614" s="237"/>
      <c r="D614" s="237"/>
      <c r="E614" s="237"/>
      <c r="F614" s="237"/>
      <c r="G614" s="237"/>
      <c r="H614" s="237"/>
      <c r="I614" s="237"/>
      <c r="J614" s="237"/>
      <c r="K614" s="237"/>
      <c r="L614" s="237"/>
      <c r="M614" s="237"/>
      <c r="N614" s="237"/>
      <c r="O614" s="237"/>
      <c r="P614" s="237"/>
      <c r="Q614" s="237"/>
      <c r="R614" s="237"/>
      <c r="S614" s="237"/>
      <c r="T614" s="237"/>
      <c r="U614" s="237"/>
      <c r="V614" s="237"/>
      <c r="W614" s="237"/>
      <c r="X614" s="237"/>
      <c r="Y614" s="237"/>
      <c r="Z614" s="237"/>
    </row>
    <row r="615" ht="14.25" customHeight="1" spans="1:26">
      <c r="A615" s="237"/>
      <c r="B615" s="237"/>
      <c r="C615" s="237"/>
      <c r="D615" s="237"/>
      <c r="E615" s="237"/>
      <c r="F615" s="237"/>
      <c r="G615" s="237"/>
      <c r="H615" s="237"/>
      <c r="I615" s="237"/>
      <c r="J615" s="237"/>
      <c r="K615" s="237"/>
      <c r="L615" s="237"/>
      <c r="M615" s="237"/>
      <c r="N615" s="237"/>
      <c r="O615" s="237"/>
      <c r="P615" s="237"/>
      <c r="Q615" s="237"/>
      <c r="R615" s="237"/>
      <c r="S615" s="237"/>
      <c r="T615" s="237"/>
      <c r="U615" s="237"/>
      <c r="V615" s="237"/>
      <c r="W615" s="237"/>
      <c r="X615" s="237"/>
      <c r="Y615" s="237"/>
      <c r="Z615" s="237"/>
    </row>
    <row r="616" ht="14.25" customHeight="1" spans="1:26">
      <c r="A616" s="237"/>
      <c r="B616" s="237"/>
      <c r="C616" s="237"/>
      <c r="D616" s="237"/>
      <c r="E616" s="237"/>
      <c r="F616" s="237"/>
      <c r="G616" s="237"/>
      <c r="H616" s="237"/>
      <c r="I616" s="237"/>
      <c r="J616" s="237"/>
      <c r="K616" s="237"/>
      <c r="L616" s="237"/>
      <c r="M616" s="237"/>
      <c r="N616" s="237"/>
      <c r="O616" s="237"/>
      <c r="P616" s="237"/>
      <c r="Q616" s="237"/>
      <c r="R616" s="237"/>
      <c r="S616" s="237"/>
      <c r="T616" s="237"/>
      <c r="U616" s="237"/>
      <c r="V616" s="237"/>
      <c r="W616" s="237"/>
      <c r="X616" s="237"/>
      <c r="Y616" s="237"/>
      <c r="Z616" s="237"/>
    </row>
    <row r="617" ht="14.25" customHeight="1" spans="1:26">
      <c r="A617" s="237"/>
      <c r="B617" s="237"/>
      <c r="C617" s="237"/>
      <c r="D617" s="237"/>
      <c r="E617" s="237"/>
      <c r="F617" s="237"/>
      <c r="G617" s="237"/>
      <c r="H617" s="237"/>
      <c r="I617" s="237"/>
      <c r="J617" s="237"/>
      <c r="K617" s="237"/>
      <c r="L617" s="237"/>
      <c r="M617" s="237"/>
      <c r="N617" s="237"/>
      <c r="O617" s="237"/>
      <c r="P617" s="237"/>
      <c r="Q617" s="237"/>
      <c r="R617" s="237"/>
      <c r="S617" s="237"/>
      <c r="T617" s="237"/>
      <c r="U617" s="237"/>
      <c r="V617" s="237"/>
      <c r="W617" s="237"/>
      <c r="X617" s="237"/>
      <c r="Y617" s="237"/>
      <c r="Z617" s="237"/>
    </row>
    <row r="618" ht="14.25" customHeight="1" spans="1:26">
      <c r="A618" s="237"/>
      <c r="B618" s="237"/>
      <c r="C618" s="237"/>
      <c r="D618" s="237"/>
      <c r="E618" s="237"/>
      <c r="F618" s="237"/>
      <c r="G618" s="237"/>
      <c r="H618" s="237"/>
      <c r="I618" s="237"/>
      <c r="J618" s="237"/>
      <c r="K618" s="237"/>
      <c r="L618" s="237"/>
      <c r="M618" s="237"/>
      <c r="N618" s="237"/>
      <c r="O618" s="237"/>
      <c r="P618" s="237"/>
      <c r="Q618" s="237"/>
      <c r="R618" s="237"/>
      <c r="S618" s="237"/>
      <c r="T618" s="237"/>
      <c r="U618" s="237"/>
      <c r="V618" s="237"/>
      <c r="W618" s="237"/>
      <c r="X618" s="237"/>
      <c r="Y618" s="237"/>
      <c r="Z618" s="237"/>
    </row>
    <row r="619" ht="14.25" customHeight="1" spans="1:26">
      <c r="A619" s="237"/>
      <c r="B619" s="237"/>
      <c r="C619" s="237"/>
      <c r="D619" s="237"/>
      <c r="E619" s="237"/>
      <c r="F619" s="237"/>
      <c r="G619" s="237"/>
      <c r="H619" s="237"/>
      <c r="I619" s="237"/>
      <c r="J619" s="237"/>
      <c r="K619" s="237"/>
      <c r="L619" s="237"/>
      <c r="M619" s="237"/>
      <c r="N619" s="237"/>
      <c r="O619" s="237"/>
      <c r="P619" s="237"/>
      <c r="Q619" s="237"/>
      <c r="R619" s="237"/>
      <c r="S619" s="237"/>
      <c r="T619" s="237"/>
      <c r="U619" s="237"/>
      <c r="V619" s="237"/>
      <c r="W619" s="237"/>
      <c r="X619" s="237"/>
      <c r="Y619" s="237"/>
      <c r="Z619" s="237"/>
    </row>
    <row r="620" ht="14.25" customHeight="1" spans="1:26">
      <c r="A620" s="237"/>
      <c r="B620" s="237"/>
      <c r="C620" s="237"/>
      <c r="D620" s="237"/>
      <c r="E620" s="237"/>
      <c r="F620" s="237"/>
      <c r="G620" s="237"/>
      <c r="H620" s="237"/>
      <c r="I620" s="237"/>
      <c r="J620" s="237"/>
      <c r="K620" s="237"/>
      <c r="L620" s="237"/>
      <c r="M620" s="237"/>
      <c r="N620" s="237"/>
      <c r="O620" s="237"/>
      <c r="P620" s="237"/>
      <c r="Q620" s="237"/>
      <c r="R620" s="237"/>
      <c r="S620" s="237"/>
      <c r="T620" s="237"/>
      <c r="U620" s="237"/>
      <c r="V620" s="237"/>
      <c r="W620" s="237"/>
      <c r="X620" s="237"/>
      <c r="Y620" s="237"/>
      <c r="Z620" s="237"/>
    </row>
    <row r="621" ht="14.25" customHeight="1" spans="1:26">
      <c r="A621" s="237"/>
      <c r="B621" s="237"/>
      <c r="C621" s="237"/>
      <c r="D621" s="237"/>
      <c r="E621" s="237"/>
      <c r="F621" s="237"/>
      <c r="G621" s="237"/>
      <c r="H621" s="237"/>
      <c r="I621" s="237"/>
      <c r="J621" s="237"/>
      <c r="K621" s="237"/>
      <c r="L621" s="237"/>
      <c r="M621" s="237"/>
      <c r="N621" s="237"/>
      <c r="O621" s="237"/>
      <c r="P621" s="237"/>
      <c r="Q621" s="237"/>
      <c r="R621" s="237"/>
      <c r="S621" s="237"/>
      <c r="T621" s="237"/>
      <c r="U621" s="237"/>
      <c r="V621" s="237"/>
      <c r="W621" s="237"/>
      <c r="X621" s="237"/>
      <c r="Y621" s="237"/>
      <c r="Z621" s="237"/>
    </row>
    <row r="622" ht="14.25" customHeight="1" spans="1:26">
      <c r="A622" s="237"/>
      <c r="B622" s="237"/>
      <c r="C622" s="237"/>
      <c r="D622" s="237"/>
      <c r="E622" s="237"/>
      <c r="F622" s="237"/>
      <c r="G622" s="237"/>
      <c r="H622" s="237"/>
      <c r="I622" s="237"/>
      <c r="J622" s="237"/>
      <c r="K622" s="237"/>
      <c r="L622" s="237"/>
      <c r="M622" s="237"/>
      <c r="N622" s="237"/>
      <c r="O622" s="237"/>
      <c r="P622" s="237"/>
      <c r="Q622" s="237"/>
      <c r="R622" s="237"/>
      <c r="S622" s="237"/>
      <c r="T622" s="237"/>
      <c r="U622" s="237"/>
      <c r="V622" s="237"/>
      <c r="W622" s="237"/>
      <c r="X622" s="237"/>
      <c r="Y622" s="237"/>
      <c r="Z622" s="237"/>
    </row>
    <row r="623" ht="14.25" customHeight="1" spans="1:26">
      <c r="A623" s="237"/>
      <c r="B623" s="237"/>
      <c r="C623" s="237"/>
      <c r="D623" s="237"/>
      <c r="E623" s="237"/>
      <c r="F623" s="237"/>
      <c r="G623" s="237"/>
      <c r="H623" s="237"/>
      <c r="I623" s="237"/>
      <c r="J623" s="237"/>
      <c r="K623" s="237"/>
      <c r="L623" s="237"/>
      <c r="M623" s="237"/>
      <c r="N623" s="237"/>
      <c r="O623" s="237"/>
      <c r="P623" s="237"/>
      <c r="Q623" s="237"/>
      <c r="R623" s="237"/>
      <c r="S623" s="237"/>
      <c r="T623" s="237"/>
      <c r="U623" s="237"/>
      <c r="V623" s="237"/>
      <c r="W623" s="237"/>
      <c r="X623" s="237"/>
      <c r="Y623" s="237"/>
      <c r="Z623" s="237"/>
    </row>
    <row r="624" ht="14.25" customHeight="1" spans="1:26">
      <c r="A624" s="237"/>
      <c r="B624" s="237"/>
      <c r="C624" s="237"/>
      <c r="D624" s="237"/>
      <c r="E624" s="237"/>
      <c r="F624" s="237"/>
      <c r="G624" s="237"/>
      <c r="H624" s="237"/>
      <c r="I624" s="237"/>
      <c r="J624" s="237"/>
      <c r="K624" s="237"/>
      <c r="L624" s="237"/>
      <c r="M624" s="237"/>
      <c r="N624" s="237"/>
      <c r="O624" s="237"/>
      <c r="P624" s="237"/>
      <c r="Q624" s="237"/>
      <c r="R624" s="237"/>
      <c r="S624" s="237"/>
      <c r="T624" s="237"/>
      <c r="U624" s="237"/>
      <c r="V624" s="237"/>
      <c r="W624" s="237"/>
      <c r="X624" s="237"/>
      <c r="Y624" s="237"/>
      <c r="Z624" s="237"/>
    </row>
    <row r="625" ht="14.25" customHeight="1" spans="1:26">
      <c r="A625" s="237"/>
      <c r="B625" s="237"/>
      <c r="C625" s="237"/>
      <c r="D625" s="237"/>
      <c r="E625" s="237"/>
      <c r="F625" s="237"/>
      <c r="G625" s="237"/>
      <c r="H625" s="237"/>
      <c r="I625" s="237"/>
      <c r="J625" s="237"/>
      <c r="K625" s="237"/>
      <c r="L625" s="237"/>
      <c r="M625" s="237"/>
      <c r="N625" s="237"/>
      <c r="O625" s="237"/>
      <c r="P625" s="237"/>
      <c r="Q625" s="237"/>
      <c r="R625" s="237"/>
      <c r="S625" s="237"/>
      <c r="T625" s="237"/>
      <c r="U625" s="237"/>
      <c r="V625" s="237"/>
      <c r="W625" s="237"/>
      <c r="X625" s="237"/>
      <c r="Y625" s="237"/>
      <c r="Z625" s="237"/>
    </row>
    <row r="626" ht="14.25" customHeight="1" spans="1:26">
      <c r="A626" s="237"/>
      <c r="B626" s="237"/>
      <c r="C626" s="237"/>
      <c r="D626" s="237"/>
      <c r="E626" s="237"/>
      <c r="F626" s="237"/>
      <c r="G626" s="237"/>
      <c r="H626" s="237"/>
      <c r="I626" s="237"/>
      <c r="J626" s="237"/>
      <c r="K626" s="237"/>
      <c r="L626" s="237"/>
      <c r="M626" s="237"/>
      <c r="N626" s="237"/>
      <c r="O626" s="237"/>
      <c r="P626" s="237"/>
      <c r="Q626" s="237"/>
      <c r="R626" s="237"/>
      <c r="S626" s="237"/>
      <c r="T626" s="237"/>
      <c r="U626" s="237"/>
      <c r="V626" s="237"/>
      <c r="W626" s="237"/>
      <c r="X626" s="237"/>
      <c r="Y626" s="237"/>
      <c r="Z626" s="237"/>
    </row>
    <row r="627" ht="14.25" customHeight="1" spans="1:26">
      <c r="A627" s="237"/>
      <c r="B627" s="237"/>
      <c r="C627" s="237"/>
      <c r="D627" s="237"/>
      <c r="E627" s="237"/>
      <c r="F627" s="237"/>
      <c r="G627" s="237"/>
      <c r="H627" s="237"/>
      <c r="I627" s="237"/>
      <c r="J627" s="237"/>
      <c r="K627" s="237"/>
      <c r="L627" s="237"/>
      <c r="M627" s="237"/>
      <c r="N627" s="237"/>
      <c r="O627" s="237"/>
      <c r="P627" s="237"/>
      <c r="Q627" s="237"/>
      <c r="R627" s="237"/>
      <c r="S627" s="237"/>
      <c r="T627" s="237"/>
      <c r="U627" s="237"/>
      <c r="V627" s="237"/>
      <c r="W627" s="237"/>
      <c r="X627" s="237"/>
      <c r="Y627" s="237"/>
      <c r="Z627" s="237"/>
    </row>
    <row r="628" ht="14.25" customHeight="1" spans="1:26">
      <c r="A628" s="237"/>
      <c r="B628" s="237"/>
      <c r="C628" s="237"/>
      <c r="D628" s="237"/>
      <c r="E628" s="237"/>
      <c r="F628" s="237"/>
      <c r="G628" s="237"/>
      <c r="H628" s="237"/>
      <c r="I628" s="237"/>
      <c r="J628" s="237"/>
      <c r="K628" s="237"/>
      <c r="L628" s="237"/>
      <c r="M628" s="237"/>
      <c r="N628" s="237"/>
      <c r="O628" s="237"/>
      <c r="P628" s="237"/>
      <c r="Q628" s="237"/>
      <c r="R628" s="237"/>
      <c r="S628" s="237"/>
      <c r="T628" s="237"/>
      <c r="U628" s="237"/>
      <c r="V628" s="237"/>
      <c r="W628" s="237"/>
      <c r="X628" s="237"/>
      <c r="Y628" s="237"/>
      <c r="Z628" s="237"/>
    </row>
    <row r="629" ht="14.25" customHeight="1" spans="1:26">
      <c r="A629" s="237"/>
      <c r="B629" s="237"/>
      <c r="C629" s="237"/>
      <c r="D629" s="237"/>
      <c r="E629" s="237"/>
      <c r="F629" s="237"/>
      <c r="G629" s="237"/>
      <c r="H629" s="237"/>
      <c r="I629" s="237"/>
      <c r="J629" s="237"/>
      <c r="K629" s="237"/>
      <c r="L629" s="237"/>
      <c r="M629" s="237"/>
      <c r="N629" s="237"/>
      <c r="O629" s="237"/>
      <c r="P629" s="237"/>
      <c r="Q629" s="237"/>
      <c r="R629" s="237"/>
      <c r="S629" s="237"/>
      <c r="T629" s="237"/>
      <c r="U629" s="237"/>
      <c r="V629" s="237"/>
      <c r="W629" s="237"/>
      <c r="X629" s="237"/>
      <c r="Y629" s="237"/>
      <c r="Z629" s="237"/>
    </row>
    <row r="630" ht="14.25" customHeight="1" spans="1:26">
      <c r="A630" s="237"/>
      <c r="B630" s="237"/>
      <c r="C630" s="237"/>
      <c r="D630" s="237"/>
      <c r="E630" s="237"/>
      <c r="F630" s="237"/>
      <c r="G630" s="237"/>
      <c r="H630" s="237"/>
      <c r="I630" s="237"/>
      <c r="J630" s="237"/>
      <c r="K630" s="237"/>
      <c r="L630" s="237"/>
      <c r="M630" s="237"/>
      <c r="N630" s="237"/>
      <c r="O630" s="237"/>
      <c r="P630" s="237"/>
      <c r="Q630" s="237"/>
      <c r="R630" s="237"/>
      <c r="S630" s="237"/>
      <c r="T630" s="237"/>
      <c r="U630" s="237"/>
      <c r="V630" s="237"/>
      <c r="W630" s="237"/>
      <c r="X630" s="237"/>
      <c r="Y630" s="237"/>
      <c r="Z630" s="237"/>
    </row>
    <row r="631" ht="14.25" customHeight="1" spans="1:26">
      <c r="A631" s="237"/>
      <c r="B631" s="237"/>
      <c r="C631" s="237"/>
      <c r="D631" s="237"/>
      <c r="E631" s="237"/>
      <c r="F631" s="237"/>
      <c r="G631" s="237"/>
      <c r="H631" s="237"/>
      <c r="I631" s="237"/>
      <c r="J631" s="237"/>
      <c r="K631" s="237"/>
      <c r="L631" s="237"/>
      <c r="M631" s="237"/>
      <c r="N631" s="237"/>
      <c r="O631" s="237"/>
      <c r="P631" s="237"/>
      <c r="Q631" s="237"/>
      <c r="R631" s="237"/>
      <c r="S631" s="237"/>
      <c r="T631" s="237"/>
      <c r="U631" s="237"/>
      <c r="V631" s="237"/>
      <c r="W631" s="237"/>
      <c r="X631" s="237"/>
      <c r="Y631" s="237"/>
      <c r="Z631" s="237"/>
    </row>
    <row r="632" ht="14.25" customHeight="1" spans="1:26">
      <c r="A632" s="237"/>
      <c r="B632" s="237"/>
      <c r="C632" s="237"/>
      <c r="D632" s="237"/>
      <c r="E632" s="237"/>
      <c r="F632" s="237"/>
      <c r="G632" s="237"/>
      <c r="H632" s="237"/>
      <c r="I632" s="237"/>
      <c r="J632" s="237"/>
      <c r="K632" s="237"/>
      <c r="L632" s="237"/>
      <c r="M632" s="237"/>
      <c r="N632" s="237"/>
      <c r="O632" s="237"/>
      <c r="P632" s="237"/>
      <c r="Q632" s="237"/>
      <c r="R632" s="237"/>
      <c r="S632" s="237"/>
      <c r="T632" s="237"/>
      <c r="U632" s="237"/>
      <c r="V632" s="237"/>
      <c r="W632" s="237"/>
      <c r="X632" s="237"/>
      <c r="Y632" s="237"/>
      <c r="Z632" s="237"/>
    </row>
    <row r="633" ht="14.25" customHeight="1" spans="1:26">
      <c r="A633" s="237"/>
      <c r="B633" s="237"/>
      <c r="C633" s="237"/>
      <c r="D633" s="237"/>
      <c r="E633" s="237"/>
      <c r="F633" s="237"/>
      <c r="G633" s="237"/>
      <c r="H633" s="237"/>
      <c r="I633" s="237"/>
      <c r="J633" s="237"/>
      <c r="K633" s="237"/>
      <c r="L633" s="237"/>
      <c r="M633" s="237"/>
      <c r="N633" s="237"/>
      <c r="O633" s="237"/>
      <c r="P633" s="237"/>
      <c r="Q633" s="237"/>
      <c r="R633" s="237"/>
      <c r="S633" s="237"/>
      <c r="T633" s="237"/>
      <c r="U633" s="237"/>
      <c r="V633" s="237"/>
      <c r="W633" s="237"/>
      <c r="X633" s="237"/>
      <c r="Y633" s="237"/>
      <c r="Z633" s="237"/>
    </row>
    <row r="634" ht="14.25" customHeight="1" spans="1:26">
      <c r="A634" s="237"/>
      <c r="B634" s="237"/>
      <c r="C634" s="237"/>
      <c r="D634" s="237"/>
      <c r="E634" s="237"/>
      <c r="F634" s="237"/>
      <c r="G634" s="237"/>
      <c r="H634" s="237"/>
      <c r="I634" s="237"/>
      <c r="J634" s="237"/>
      <c r="K634" s="237"/>
      <c r="L634" s="237"/>
      <c r="M634" s="237"/>
      <c r="N634" s="237"/>
      <c r="O634" s="237"/>
      <c r="P634" s="237"/>
      <c r="Q634" s="237"/>
      <c r="R634" s="237"/>
      <c r="S634" s="237"/>
      <c r="T634" s="237"/>
      <c r="U634" s="237"/>
      <c r="V634" s="237"/>
      <c r="W634" s="237"/>
      <c r="X634" s="237"/>
      <c r="Y634" s="237"/>
      <c r="Z634" s="237"/>
    </row>
    <row r="635" ht="14.25" customHeight="1" spans="1:26">
      <c r="A635" s="237"/>
      <c r="B635" s="237"/>
      <c r="C635" s="237"/>
      <c r="D635" s="237"/>
      <c r="E635" s="237"/>
      <c r="F635" s="237"/>
      <c r="G635" s="237"/>
      <c r="H635" s="237"/>
      <c r="I635" s="237"/>
      <c r="J635" s="237"/>
      <c r="K635" s="237"/>
      <c r="L635" s="237"/>
      <c r="M635" s="237"/>
      <c r="N635" s="237"/>
      <c r="O635" s="237"/>
      <c r="P635" s="237"/>
      <c r="Q635" s="237"/>
      <c r="R635" s="237"/>
      <c r="S635" s="237"/>
      <c r="T635" s="237"/>
      <c r="U635" s="237"/>
      <c r="V635" s="237"/>
      <c r="W635" s="237"/>
      <c r="X635" s="237"/>
      <c r="Y635" s="237"/>
      <c r="Z635" s="237"/>
    </row>
    <row r="636" ht="14.25" customHeight="1" spans="1:26">
      <c r="A636" s="237"/>
      <c r="B636" s="237"/>
      <c r="C636" s="237"/>
      <c r="D636" s="237"/>
      <c r="E636" s="237"/>
      <c r="F636" s="237"/>
      <c r="G636" s="237"/>
      <c r="H636" s="237"/>
      <c r="I636" s="237"/>
      <c r="J636" s="237"/>
      <c r="K636" s="237"/>
      <c r="L636" s="237"/>
      <c r="M636" s="237"/>
      <c r="N636" s="237"/>
      <c r="O636" s="237"/>
      <c r="P636" s="237"/>
      <c r="Q636" s="237"/>
      <c r="R636" s="237"/>
      <c r="S636" s="237"/>
      <c r="T636" s="237"/>
      <c r="U636" s="237"/>
      <c r="V636" s="237"/>
      <c r="W636" s="237"/>
      <c r="X636" s="237"/>
      <c r="Y636" s="237"/>
      <c r="Z636" s="237"/>
    </row>
    <row r="637" ht="14.25" customHeight="1" spans="1:26">
      <c r="A637" s="237"/>
      <c r="B637" s="237"/>
      <c r="C637" s="237"/>
      <c r="D637" s="237"/>
      <c r="E637" s="237"/>
      <c r="F637" s="237"/>
      <c r="G637" s="237"/>
      <c r="H637" s="237"/>
      <c r="I637" s="237"/>
      <c r="J637" s="237"/>
      <c r="K637" s="237"/>
      <c r="L637" s="237"/>
      <c r="M637" s="237"/>
      <c r="N637" s="237"/>
      <c r="O637" s="237"/>
      <c r="P637" s="237"/>
      <c r="Q637" s="237"/>
      <c r="R637" s="237"/>
      <c r="S637" s="237"/>
      <c r="T637" s="237"/>
      <c r="U637" s="237"/>
      <c r="V637" s="237"/>
      <c r="W637" s="237"/>
      <c r="X637" s="237"/>
      <c r="Y637" s="237"/>
      <c r="Z637" s="237"/>
    </row>
    <row r="638" ht="14.25" customHeight="1" spans="1:26">
      <c r="A638" s="237"/>
      <c r="B638" s="237"/>
      <c r="C638" s="237"/>
      <c r="D638" s="237"/>
      <c r="E638" s="237"/>
      <c r="F638" s="237"/>
      <c r="G638" s="237"/>
      <c r="H638" s="237"/>
      <c r="I638" s="237"/>
      <c r="J638" s="237"/>
      <c r="K638" s="237"/>
      <c r="L638" s="237"/>
      <c r="M638" s="237"/>
      <c r="N638" s="237"/>
      <c r="O638" s="237"/>
      <c r="P638" s="237"/>
      <c r="Q638" s="237"/>
      <c r="R638" s="237"/>
      <c r="S638" s="237"/>
      <c r="T638" s="237"/>
      <c r="U638" s="237"/>
      <c r="V638" s="237"/>
      <c r="W638" s="237"/>
      <c r="X638" s="237"/>
      <c r="Y638" s="237"/>
      <c r="Z638" s="237"/>
    </row>
    <row r="639" ht="14.25" customHeight="1" spans="1:26">
      <c r="A639" s="237"/>
      <c r="B639" s="237"/>
      <c r="C639" s="237"/>
      <c r="D639" s="237"/>
      <c r="E639" s="237"/>
      <c r="F639" s="237"/>
      <c r="G639" s="237"/>
      <c r="H639" s="237"/>
      <c r="I639" s="237"/>
      <c r="J639" s="237"/>
      <c r="K639" s="237"/>
      <c r="L639" s="237"/>
      <c r="M639" s="237"/>
      <c r="N639" s="237"/>
      <c r="O639" s="237"/>
      <c r="P639" s="237"/>
      <c r="Q639" s="237"/>
      <c r="R639" s="237"/>
      <c r="S639" s="237"/>
      <c r="T639" s="237"/>
      <c r="U639" s="237"/>
      <c r="V639" s="237"/>
      <c r="W639" s="237"/>
      <c r="X639" s="237"/>
      <c r="Y639" s="237"/>
      <c r="Z639" s="237"/>
    </row>
    <row r="640" ht="14.25" customHeight="1" spans="1:26">
      <c r="A640" s="237"/>
      <c r="B640" s="237"/>
      <c r="C640" s="237"/>
      <c r="D640" s="237"/>
      <c r="E640" s="237"/>
      <c r="F640" s="237"/>
      <c r="G640" s="237"/>
      <c r="H640" s="237"/>
      <c r="I640" s="237"/>
      <c r="J640" s="237"/>
      <c r="K640" s="237"/>
      <c r="L640" s="237"/>
      <c r="M640" s="237"/>
      <c r="N640" s="237"/>
      <c r="O640" s="237"/>
      <c r="P640" s="237"/>
      <c r="Q640" s="237"/>
      <c r="R640" s="237"/>
      <c r="S640" s="237"/>
      <c r="T640" s="237"/>
      <c r="U640" s="237"/>
      <c r="V640" s="237"/>
      <c r="W640" s="237"/>
      <c r="X640" s="237"/>
      <c r="Y640" s="237"/>
      <c r="Z640" s="237"/>
    </row>
    <row r="641" ht="14.25" customHeight="1" spans="1:26">
      <c r="A641" s="237"/>
      <c r="B641" s="237"/>
      <c r="C641" s="237"/>
      <c r="D641" s="237"/>
      <c r="E641" s="237"/>
      <c r="F641" s="237"/>
      <c r="G641" s="237"/>
      <c r="H641" s="237"/>
      <c r="I641" s="237"/>
      <c r="J641" s="237"/>
      <c r="K641" s="237"/>
      <c r="L641" s="237"/>
      <c r="M641" s="237"/>
      <c r="N641" s="237"/>
      <c r="O641" s="237"/>
      <c r="P641" s="237"/>
      <c r="Q641" s="237"/>
      <c r="R641" s="237"/>
      <c r="S641" s="237"/>
      <c r="T641" s="237"/>
      <c r="U641" s="237"/>
      <c r="V641" s="237"/>
      <c r="W641" s="237"/>
      <c r="X641" s="237"/>
      <c r="Y641" s="237"/>
      <c r="Z641" s="237"/>
    </row>
    <row r="642" ht="14.25" customHeight="1" spans="1:26">
      <c r="A642" s="237"/>
      <c r="B642" s="237"/>
      <c r="C642" s="237"/>
      <c r="D642" s="237"/>
      <c r="E642" s="237"/>
      <c r="F642" s="237"/>
      <c r="G642" s="237"/>
      <c r="H642" s="237"/>
      <c r="I642" s="237"/>
      <c r="J642" s="237"/>
      <c r="K642" s="237"/>
      <c r="L642" s="237"/>
      <c r="M642" s="237"/>
      <c r="N642" s="237"/>
      <c r="O642" s="237"/>
      <c r="P642" s="237"/>
      <c r="Q642" s="237"/>
      <c r="R642" s="237"/>
      <c r="S642" s="237"/>
      <c r="T642" s="237"/>
      <c r="U642" s="237"/>
      <c r="V642" s="237"/>
      <c r="W642" s="237"/>
      <c r="X642" s="237"/>
      <c r="Y642" s="237"/>
      <c r="Z642" s="237"/>
    </row>
    <row r="643" ht="14.25" customHeight="1" spans="1:26">
      <c r="A643" s="237"/>
      <c r="B643" s="237"/>
      <c r="C643" s="237"/>
      <c r="D643" s="237"/>
      <c r="E643" s="237"/>
      <c r="F643" s="237"/>
      <c r="G643" s="237"/>
      <c r="H643" s="237"/>
      <c r="I643" s="237"/>
      <c r="J643" s="237"/>
      <c r="K643" s="237"/>
      <c r="L643" s="237"/>
      <c r="M643" s="237"/>
      <c r="N643" s="237"/>
      <c r="O643" s="237"/>
      <c r="P643" s="237"/>
      <c r="Q643" s="237"/>
      <c r="R643" s="237"/>
      <c r="S643" s="237"/>
      <c r="T643" s="237"/>
      <c r="U643" s="237"/>
      <c r="V643" s="237"/>
      <c r="W643" s="237"/>
      <c r="X643" s="237"/>
      <c r="Y643" s="237"/>
      <c r="Z643" s="237"/>
    </row>
    <row r="644" ht="14.25" customHeight="1" spans="1:26">
      <c r="A644" s="237"/>
      <c r="B644" s="237"/>
      <c r="C644" s="237"/>
      <c r="D644" s="237"/>
      <c r="E644" s="237"/>
      <c r="F644" s="237"/>
      <c r="G644" s="237"/>
      <c r="H644" s="237"/>
      <c r="I644" s="237"/>
      <c r="J644" s="237"/>
      <c r="K644" s="237"/>
      <c r="L644" s="237"/>
      <c r="M644" s="237"/>
      <c r="N644" s="237"/>
      <c r="O644" s="237"/>
      <c r="P644" s="237"/>
      <c r="Q644" s="237"/>
      <c r="R644" s="237"/>
      <c r="S644" s="237"/>
      <c r="T644" s="237"/>
      <c r="U644" s="237"/>
      <c r="V644" s="237"/>
      <c r="W644" s="237"/>
      <c r="X644" s="237"/>
      <c r="Y644" s="237"/>
      <c r="Z644" s="237"/>
    </row>
    <row r="645" ht="14.25" customHeight="1" spans="1:26">
      <c r="A645" s="237"/>
      <c r="B645" s="237"/>
      <c r="C645" s="237"/>
      <c r="D645" s="237"/>
      <c r="E645" s="237"/>
      <c r="F645" s="237"/>
      <c r="G645" s="237"/>
      <c r="H645" s="237"/>
      <c r="I645" s="237"/>
      <c r="J645" s="237"/>
      <c r="K645" s="237"/>
      <c r="L645" s="237"/>
      <c r="M645" s="237"/>
      <c r="N645" s="237"/>
      <c r="O645" s="237"/>
      <c r="P645" s="237"/>
      <c r="Q645" s="237"/>
      <c r="R645" s="237"/>
      <c r="S645" s="237"/>
      <c r="T645" s="237"/>
      <c r="U645" s="237"/>
      <c r="V645" s="237"/>
      <c r="W645" s="237"/>
      <c r="X645" s="237"/>
      <c r="Y645" s="237"/>
      <c r="Z645" s="237"/>
    </row>
    <row r="646" ht="14.25" customHeight="1" spans="1:26">
      <c r="A646" s="237"/>
      <c r="B646" s="237"/>
      <c r="C646" s="237"/>
      <c r="D646" s="237"/>
      <c r="E646" s="237"/>
      <c r="F646" s="237"/>
      <c r="G646" s="237"/>
      <c r="H646" s="237"/>
      <c r="I646" s="237"/>
      <c r="J646" s="237"/>
      <c r="K646" s="237"/>
      <c r="L646" s="237"/>
      <c r="M646" s="237"/>
      <c r="N646" s="237"/>
      <c r="O646" s="237"/>
      <c r="P646" s="237"/>
      <c r="Q646" s="237"/>
      <c r="R646" s="237"/>
      <c r="S646" s="237"/>
      <c r="T646" s="237"/>
      <c r="U646" s="237"/>
      <c r="V646" s="237"/>
      <c r="W646" s="237"/>
      <c r="X646" s="237"/>
      <c r="Y646" s="237"/>
      <c r="Z646" s="237"/>
    </row>
    <row r="647" ht="14.25" customHeight="1" spans="1:26">
      <c r="A647" s="237"/>
      <c r="B647" s="237"/>
      <c r="C647" s="237"/>
      <c r="D647" s="237"/>
      <c r="E647" s="237"/>
      <c r="F647" s="237"/>
      <c r="G647" s="237"/>
      <c r="H647" s="237"/>
      <c r="I647" s="237"/>
      <c r="J647" s="237"/>
      <c r="K647" s="237"/>
      <c r="L647" s="237"/>
      <c r="M647" s="237"/>
      <c r="N647" s="237"/>
      <c r="O647" s="237"/>
      <c r="P647" s="237"/>
      <c r="Q647" s="237"/>
      <c r="R647" s="237"/>
      <c r="S647" s="237"/>
      <c r="T647" s="237"/>
      <c r="U647" s="237"/>
      <c r="V647" s="237"/>
      <c r="W647" s="237"/>
      <c r="X647" s="237"/>
      <c r="Y647" s="237"/>
      <c r="Z647" s="237"/>
    </row>
    <row r="648" ht="14.25" customHeight="1" spans="1:26">
      <c r="A648" s="237"/>
      <c r="B648" s="237"/>
      <c r="C648" s="237"/>
      <c r="D648" s="237"/>
      <c r="E648" s="237"/>
      <c r="F648" s="237"/>
      <c r="G648" s="237"/>
      <c r="H648" s="237"/>
      <c r="I648" s="237"/>
      <c r="J648" s="237"/>
      <c r="K648" s="237"/>
      <c r="L648" s="237"/>
      <c r="M648" s="237"/>
      <c r="N648" s="237"/>
      <c r="O648" s="237"/>
      <c r="P648" s="237"/>
      <c r="Q648" s="237"/>
      <c r="R648" s="237"/>
      <c r="S648" s="237"/>
      <c r="T648" s="237"/>
      <c r="U648" s="237"/>
      <c r="V648" s="237"/>
      <c r="W648" s="237"/>
      <c r="X648" s="237"/>
      <c r="Y648" s="237"/>
      <c r="Z648" s="237"/>
    </row>
    <row r="649" ht="14.25" customHeight="1" spans="1:26">
      <c r="A649" s="237"/>
      <c r="B649" s="237"/>
      <c r="C649" s="237"/>
      <c r="D649" s="237"/>
      <c r="E649" s="237"/>
      <c r="F649" s="237"/>
      <c r="G649" s="237"/>
      <c r="H649" s="237"/>
      <c r="I649" s="237"/>
      <c r="J649" s="237"/>
      <c r="K649" s="237"/>
      <c r="L649" s="237"/>
      <c r="M649" s="237"/>
      <c r="N649" s="237"/>
      <c r="O649" s="237"/>
      <c r="P649" s="237"/>
      <c r="Q649" s="237"/>
      <c r="R649" s="237"/>
      <c r="S649" s="237"/>
      <c r="T649" s="237"/>
      <c r="U649" s="237"/>
      <c r="V649" s="237"/>
      <c r="W649" s="237"/>
      <c r="X649" s="237"/>
      <c r="Y649" s="237"/>
      <c r="Z649" s="237"/>
    </row>
    <row r="650" ht="14.25" customHeight="1" spans="1:26">
      <c r="A650" s="237"/>
      <c r="B650" s="237"/>
      <c r="C650" s="237"/>
      <c r="D650" s="237"/>
      <c r="E650" s="237"/>
      <c r="F650" s="237"/>
      <c r="G650" s="237"/>
      <c r="H650" s="237"/>
      <c r="I650" s="237"/>
      <c r="J650" s="237"/>
      <c r="K650" s="237"/>
      <c r="L650" s="237"/>
      <c r="M650" s="237"/>
      <c r="N650" s="237"/>
      <c r="O650" s="237"/>
      <c r="P650" s="237"/>
      <c r="Q650" s="237"/>
      <c r="R650" s="237"/>
      <c r="S650" s="237"/>
      <c r="T650" s="237"/>
      <c r="U650" s="237"/>
      <c r="V650" s="237"/>
      <c r="W650" s="237"/>
      <c r="X650" s="237"/>
      <c r="Y650" s="237"/>
      <c r="Z650" s="237"/>
    </row>
    <row r="651" ht="14.25" customHeight="1" spans="1:26">
      <c r="A651" s="237"/>
      <c r="B651" s="237"/>
      <c r="C651" s="237"/>
      <c r="D651" s="237"/>
      <c r="E651" s="237"/>
      <c r="F651" s="237"/>
      <c r="G651" s="237"/>
      <c r="H651" s="237"/>
      <c r="I651" s="237"/>
      <c r="J651" s="237"/>
      <c r="K651" s="237"/>
      <c r="L651" s="237"/>
      <c r="M651" s="237"/>
      <c r="N651" s="237"/>
      <c r="O651" s="237"/>
      <c r="P651" s="237"/>
      <c r="Q651" s="237"/>
      <c r="R651" s="237"/>
      <c r="S651" s="237"/>
      <c r="T651" s="237"/>
      <c r="U651" s="237"/>
      <c r="V651" s="237"/>
      <c r="W651" s="237"/>
      <c r="X651" s="237"/>
      <c r="Y651" s="237"/>
      <c r="Z651" s="237"/>
    </row>
    <row r="652" ht="14.25" customHeight="1" spans="1:26">
      <c r="A652" s="237"/>
      <c r="B652" s="237"/>
      <c r="C652" s="237"/>
      <c r="D652" s="237"/>
      <c r="E652" s="237"/>
      <c r="F652" s="237"/>
      <c r="G652" s="237"/>
      <c r="H652" s="237"/>
      <c r="I652" s="237"/>
      <c r="J652" s="237"/>
      <c r="K652" s="237"/>
      <c r="L652" s="237"/>
      <c r="M652" s="237"/>
      <c r="N652" s="237"/>
      <c r="O652" s="237"/>
      <c r="P652" s="237"/>
      <c r="Q652" s="237"/>
      <c r="R652" s="237"/>
      <c r="S652" s="237"/>
      <c r="T652" s="237"/>
      <c r="U652" s="237"/>
      <c r="V652" s="237"/>
      <c r="W652" s="237"/>
      <c r="X652" s="237"/>
      <c r="Y652" s="237"/>
      <c r="Z652" s="237"/>
    </row>
    <row r="653" ht="14.25" customHeight="1" spans="1:26">
      <c r="A653" s="237"/>
      <c r="B653" s="237"/>
      <c r="C653" s="237"/>
      <c r="D653" s="237"/>
      <c r="E653" s="237"/>
      <c r="F653" s="237"/>
      <c r="G653" s="237"/>
      <c r="H653" s="237"/>
      <c r="I653" s="237"/>
      <c r="J653" s="237"/>
      <c r="K653" s="237"/>
      <c r="L653" s="237"/>
      <c r="M653" s="237"/>
      <c r="N653" s="237"/>
      <c r="O653" s="237"/>
      <c r="P653" s="237"/>
      <c r="Q653" s="237"/>
      <c r="R653" s="237"/>
      <c r="S653" s="237"/>
      <c r="T653" s="237"/>
      <c r="U653" s="237"/>
      <c r="V653" s="237"/>
      <c r="W653" s="237"/>
      <c r="X653" s="237"/>
      <c r="Y653" s="237"/>
      <c r="Z653" s="237"/>
    </row>
    <row r="654" ht="14.25" customHeight="1" spans="1:26">
      <c r="A654" s="237"/>
      <c r="B654" s="237"/>
      <c r="C654" s="237"/>
      <c r="D654" s="237"/>
      <c r="E654" s="237"/>
      <c r="F654" s="237"/>
      <c r="G654" s="237"/>
      <c r="H654" s="237"/>
      <c r="I654" s="237"/>
      <c r="J654" s="237"/>
      <c r="K654" s="237"/>
      <c r="L654" s="237"/>
      <c r="M654" s="237"/>
      <c r="N654" s="237"/>
      <c r="O654" s="237"/>
      <c r="P654" s="237"/>
      <c r="Q654" s="237"/>
      <c r="R654" s="237"/>
      <c r="S654" s="237"/>
      <c r="T654" s="237"/>
      <c r="U654" s="237"/>
      <c r="V654" s="237"/>
      <c r="W654" s="237"/>
      <c r="X654" s="237"/>
      <c r="Y654" s="237"/>
      <c r="Z654" s="237"/>
    </row>
    <row r="655" ht="14.25" customHeight="1" spans="1:26">
      <c r="A655" s="237"/>
      <c r="B655" s="237"/>
      <c r="C655" s="237"/>
      <c r="D655" s="237"/>
      <c r="E655" s="237"/>
      <c r="F655" s="237"/>
      <c r="G655" s="237"/>
      <c r="H655" s="237"/>
      <c r="I655" s="237"/>
      <c r="J655" s="237"/>
      <c r="K655" s="237"/>
      <c r="L655" s="237"/>
      <c r="M655" s="237"/>
      <c r="N655" s="237"/>
      <c r="O655" s="237"/>
      <c r="P655" s="237"/>
      <c r="Q655" s="237"/>
      <c r="R655" s="237"/>
      <c r="S655" s="237"/>
      <c r="T655" s="237"/>
      <c r="U655" s="237"/>
      <c r="V655" s="237"/>
      <c r="W655" s="237"/>
      <c r="X655" s="237"/>
      <c r="Y655" s="237"/>
      <c r="Z655" s="237"/>
    </row>
    <row r="656" ht="14.25" customHeight="1" spans="1:26">
      <c r="A656" s="237"/>
      <c r="B656" s="237"/>
      <c r="C656" s="237"/>
      <c r="D656" s="237"/>
      <c r="E656" s="237"/>
      <c r="F656" s="237"/>
      <c r="G656" s="237"/>
      <c r="H656" s="237"/>
      <c r="I656" s="237"/>
      <c r="J656" s="237"/>
      <c r="K656" s="237"/>
      <c r="L656" s="237"/>
      <c r="M656" s="237"/>
      <c r="N656" s="237"/>
      <c r="O656" s="237"/>
      <c r="P656" s="237"/>
      <c r="Q656" s="237"/>
      <c r="R656" s="237"/>
      <c r="S656" s="237"/>
      <c r="T656" s="237"/>
      <c r="U656" s="237"/>
      <c r="V656" s="237"/>
      <c r="W656" s="237"/>
      <c r="X656" s="237"/>
      <c r="Y656" s="237"/>
      <c r="Z656" s="237"/>
    </row>
    <row r="657" ht="14.25" customHeight="1" spans="1:26">
      <c r="A657" s="237"/>
      <c r="B657" s="237"/>
      <c r="C657" s="237"/>
      <c r="D657" s="237"/>
      <c r="E657" s="237"/>
      <c r="F657" s="237"/>
      <c r="G657" s="237"/>
      <c r="H657" s="237"/>
      <c r="I657" s="237"/>
      <c r="J657" s="237"/>
      <c r="K657" s="237"/>
      <c r="L657" s="237"/>
      <c r="M657" s="237"/>
      <c r="N657" s="237"/>
      <c r="O657" s="237"/>
      <c r="P657" s="237"/>
      <c r="Q657" s="237"/>
      <c r="R657" s="237"/>
      <c r="S657" s="237"/>
      <c r="T657" s="237"/>
      <c r="U657" s="237"/>
      <c r="V657" s="237"/>
      <c r="W657" s="237"/>
      <c r="X657" s="237"/>
      <c r="Y657" s="237"/>
      <c r="Z657" s="237"/>
    </row>
    <row r="658" ht="14.25" customHeight="1" spans="1:26">
      <c r="A658" s="237"/>
      <c r="B658" s="237"/>
      <c r="C658" s="237"/>
      <c r="D658" s="237"/>
      <c r="E658" s="237"/>
      <c r="F658" s="237"/>
      <c r="G658" s="237"/>
      <c r="H658" s="237"/>
      <c r="I658" s="237"/>
      <c r="J658" s="237"/>
      <c r="K658" s="237"/>
      <c r="L658" s="237"/>
      <c r="M658" s="237"/>
      <c r="N658" s="237"/>
      <c r="O658" s="237"/>
      <c r="P658" s="237"/>
      <c r="Q658" s="237"/>
      <c r="R658" s="237"/>
      <c r="S658" s="237"/>
      <c r="T658" s="237"/>
      <c r="U658" s="237"/>
      <c r="V658" s="237"/>
      <c r="W658" s="237"/>
      <c r="X658" s="237"/>
      <c r="Y658" s="237"/>
      <c r="Z658" s="237"/>
    </row>
    <row r="659" ht="14.25" customHeight="1" spans="1:26">
      <c r="A659" s="237"/>
      <c r="B659" s="237"/>
      <c r="C659" s="237"/>
      <c r="D659" s="237"/>
      <c r="E659" s="237"/>
      <c r="F659" s="237"/>
      <c r="G659" s="237"/>
      <c r="H659" s="237"/>
      <c r="I659" s="237"/>
      <c r="J659" s="237"/>
      <c r="K659" s="237"/>
      <c r="L659" s="237"/>
      <c r="M659" s="237"/>
      <c r="N659" s="237"/>
      <c r="O659" s="237"/>
      <c r="P659" s="237"/>
      <c r="Q659" s="237"/>
      <c r="R659" s="237"/>
      <c r="S659" s="237"/>
      <c r="T659" s="237"/>
      <c r="U659" s="237"/>
      <c r="V659" s="237"/>
      <c r="W659" s="237"/>
      <c r="X659" s="237"/>
      <c r="Y659" s="237"/>
      <c r="Z659" s="237"/>
    </row>
    <row r="660" ht="14.25" customHeight="1" spans="1:26">
      <c r="A660" s="237"/>
      <c r="B660" s="237"/>
      <c r="C660" s="237"/>
      <c r="D660" s="237"/>
      <c r="E660" s="237"/>
      <c r="F660" s="237"/>
      <c r="G660" s="237"/>
      <c r="H660" s="237"/>
      <c r="I660" s="237"/>
      <c r="J660" s="237"/>
      <c r="K660" s="237"/>
      <c r="L660" s="237"/>
      <c r="M660" s="237"/>
      <c r="N660" s="237"/>
      <c r="O660" s="237"/>
      <c r="P660" s="237"/>
      <c r="Q660" s="237"/>
      <c r="R660" s="237"/>
      <c r="S660" s="237"/>
      <c r="T660" s="237"/>
      <c r="U660" s="237"/>
      <c r="V660" s="237"/>
      <c r="W660" s="237"/>
      <c r="X660" s="237"/>
      <c r="Y660" s="237"/>
      <c r="Z660" s="237"/>
    </row>
    <row r="661" ht="14.25" customHeight="1" spans="1:26">
      <c r="A661" s="237"/>
      <c r="B661" s="237"/>
      <c r="C661" s="237"/>
      <c r="D661" s="237"/>
      <c r="E661" s="237"/>
      <c r="F661" s="237"/>
      <c r="G661" s="237"/>
      <c r="H661" s="237"/>
      <c r="I661" s="237"/>
      <c r="J661" s="237"/>
      <c r="K661" s="237"/>
      <c r="L661" s="237"/>
      <c r="M661" s="237"/>
      <c r="N661" s="237"/>
      <c r="O661" s="237"/>
      <c r="P661" s="237"/>
      <c r="Q661" s="237"/>
      <c r="R661" s="237"/>
      <c r="S661" s="237"/>
      <c r="T661" s="237"/>
      <c r="U661" s="237"/>
      <c r="V661" s="237"/>
      <c r="W661" s="237"/>
      <c r="X661" s="237"/>
      <c r="Y661" s="237"/>
      <c r="Z661" s="237"/>
    </row>
    <row r="662" ht="14.25" customHeight="1" spans="1:26">
      <c r="A662" s="237"/>
      <c r="B662" s="237"/>
      <c r="C662" s="237"/>
      <c r="D662" s="237"/>
      <c r="E662" s="237"/>
      <c r="F662" s="237"/>
      <c r="G662" s="237"/>
      <c r="H662" s="237"/>
      <c r="I662" s="237"/>
      <c r="J662" s="237"/>
      <c r="K662" s="237"/>
      <c r="L662" s="237"/>
      <c r="M662" s="237"/>
      <c r="N662" s="237"/>
      <c r="O662" s="237"/>
      <c r="P662" s="237"/>
      <c r="Q662" s="237"/>
      <c r="R662" s="237"/>
      <c r="S662" s="237"/>
      <c r="T662" s="237"/>
      <c r="U662" s="237"/>
      <c r="V662" s="237"/>
      <c r="W662" s="237"/>
      <c r="X662" s="237"/>
      <c r="Y662" s="237"/>
      <c r="Z662" s="237"/>
    </row>
    <row r="663" ht="14.25" customHeight="1" spans="1:26">
      <c r="A663" s="237"/>
      <c r="B663" s="237"/>
      <c r="C663" s="237"/>
      <c r="D663" s="237"/>
      <c r="E663" s="237"/>
      <c r="F663" s="237"/>
      <c r="G663" s="237"/>
      <c r="H663" s="237"/>
      <c r="I663" s="237"/>
      <c r="J663" s="237"/>
      <c r="K663" s="237"/>
      <c r="L663" s="237"/>
      <c r="M663" s="237"/>
      <c r="N663" s="237"/>
      <c r="O663" s="237"/>
      <c r="P663" s="237"/>
      <c r="Q663" s="237"/>
      <c r="R663" s="237"/>
      <c r="S663" s="237"/>
      <c r="T663" s="237"/>
      <c r="U663" s="237"/>
      <c r="V663" s="237"/>
      <c r="W663" s="237"/>
      <c r="X663" s="237"/>
      <c r="Y663" s="237"/>
      <c r="Z663" s="237"/>
    </row>
    <row r="664" ht="14.25" customHeight="1" spans="1:26">
      <c r="A664" s="237"/>
      <c r="B664" s="237"/>
      <c r="C664" s="237"/>
      <c r="D664" s="237"/>
      <c r="E664" s="237"/>
      <c r="F664" s="237"/>
      <c r="G664" s="237"/>
      <c r="H664" s="237"/>
      <c r="I664" s="237"/>
      <c r="J664" s="237"/>
      <c r="K664" s="237"/>
      <c r="L664" s="237"/>
      <c r="M664" s="237"/>
      <c r="N664" s="237"/>
      <c r="O664" s="237"/>
      <c r="P664" s="237"/>
      <c r="Q664" s="237"/>
      <c r="R664" s="237"/>
      <c r="S664" s="237"/>
      <c r="T664" s="237"/>
      <c r="U664" s="237"/>
      <c r="V664" s="237"/>
      <c r="W664" s="237"/>
      <c r="X664" s="237"/>
      <c r="Y664" s="237"/>
      <c r="Z664" s="237"/>
    </row>
    <row r="665" ht="14.25" customHeight="1" spans="1:26">
      <c r="A665" s="237"/>
      <c r="B665" s="237"/>
      <c r="C665" s="237"/>
      <c r="D665" s="237"/>
      <c r="E665" s="237"/>
      <c r="F665" s="237"/>
      <c r="G665" s="237"/>
      <c r="H665" s="237"/>
      <c r="I665" s="237"/>
      <c r="J665" s="237"/>
      <c r="K665" s="237"/>
      <c r="L665" s="237"/>
      <c r="M665" s="237"/>
      <c r="N665" s="237"/>
      <c r="O665" s="237"/>
      <c r="P665" s="237"/>
      <c r="Q665" s="237"/>
      <c r="R665" s="237"/>
      <c r="S665" s="237"/>
      <c r="T665" s="237"/>
      <c r="U665" s="237"/>
      <c r="V665" s="237"/>
      <c r="W665" s="237"/>
      <c r="X665" s="237"/>
      <c r="Y665" s="237"/>
      <c r="Z665" s="237"/>
    </row>
    <row r="666" ht="14.25" customHeight="1" spans="1:26">
      <c r="A666" s="237"/>
      <c r="B666" s="237"/>
      <c r="C666" s="237"/>
      <c r="D666" s="237"/>
      <c r="E666" s="237"/>
      <c r="F666" s="237"/>
      <c r="G666" s="237"/>
      <c r="H666" s="237"/>
      <c r="I666" s="237"/>
      <c r="J666" s="237"/>
      <c r="K666" s="237"/>
      <c r="L666" s="237"/>
      <c r="M666" s="237"/>
      <c r="N666" s="237"/>
      <c r="O666" s="237"/>
      <c r="P666" s="237"/>
      <c r="Q666" s="237"/>
      <c r="R666" s="237"/>
      <c r="S666" s="237"/>
      <c r="T666" s="237"/>
      <c r="U666" s="237"/>
      <c r="V666" s="237"/>
      <c r="W666" s="237"/>
      <c r="X666" s="237"/>
      <c r="Y666" s="237"/>
      <c r="Z666" s="237"/>
    </row>
    <row r="667" ht="14.25" customHeight="1" spans="1:26">
      <c r="A667" s="237"/>
      <c r="B667" s="237"/>
      <c r="C667" s="237"/>
      <c r="D667" s="237"/>
      <c r="E667" s="237"/>
      <c r="F667" s="237"/>
      <c r="G667" s="237"/>
      <c r="H667" s="237"/>
      <c r="I667" s="237"/>
      <c r="J667" s="237"/>
      <c r="K667" s="237"/>
      <c r="L667" s="237"/>
      <c r="M667" s="237"/>
      <c r="N667" s="237"/>
      <c r="O667" s="237"/>
      <c r="P667" s="237"/>
      <c r="Q667" s="237"/>
      <c r="R667" s="237"/>
      <c r="S667" s="237"/>
      <c r="T667" s="237"/>
      <c r="U667" s="237"/>
      <c r="V667" s="237"/>
      <c r="W667" s="237"/>
      <c r="X667" s="237"/>
      <c r="Y667" s="237"/>
      <c r="Z667" s="237"/>
    </row>
    <row r="668" ht="14.25" customHeight="1" spans="1:26">
      <c r="A668" s="237"/>
      <c r="B668" s="237"/>
      <c r="C668" s="237"/>
      <c r="D668" s="237"/>
      <c r="E668" s="237"/>
      <c r="F668" s="237"/>
      <c r="G668" s="237"/>
      <c r="H668" s="237"/>
      <c r="I668" s="237"/>
      <c r="J668" s="237"/>
      <c r="K668" s="237"/>
      <c r="L668" s="237"/>
      <c r="M668" s="237"/>
      <c r="N668" s="237"/>
      <c r="O668" s="237"/>
      <c r="P668" s="237"/>
      <c r="Q668" s="237"/>
      <c r="R668" s="237"/>
      <c r="S668" s="237"/>
      <c r="T668" s="237"/>
      <c r="U668" s="237"/>
      <c r="V668" s="237"/>
      <c r="W668" s="237"/>
      <c r="X668" s="237"/>
      <c r="Y668" s="237"/>
      <c r="Z668" s="237"/>
    </row>
    <row r="669" ht="14.25" customHeight="1" spans="1:26">
      <c r="A669" s="237"/>
      <c r="B669" s="237"/>
      <c r="C669" s="237"/>
      <c r="D669" s="237"/>
      <c r="E669" s="237"/>
      <c r="F669" s="237"/>
      <c r="G669" s="237"/>
      <c r="H669" s="237"/>
      <c r="I669" s="237"/>
      <c r="J669" s="237"/>
      <c r="K669" s="237"/>
      <c r="L669" s="237"/>
      <c r="M669" s="237"/>
      <c r="N669" s="237"/>
      <c r="O669" s="237"/>
      <c r="P669" s="237"/>
      <c r="Q669" s="237"/>
      <c r="R669" s="237"/>
      <c r="S669" s="237"/>
      <c r="T669" s="237"/>
      <c r="U669" s="237"/>
      <c r="V669" s="237"/>
      <c r="W669" s="237"/>
      <c r="X669" s="237"/>
      <c r="Y669" s="237"/>
      <c r="Z669" s="237"/>
    </row>
    <row r="670" ht="14.25" customHeight="1" spans="1:26">
      <c r="A670" s="237"/>
      <c r="B670" s="237"/>
      <c r="C670" s="237"/>
      <c r="D670" s="237"/>
      <c r="E670" s="237"/>
      <c r="F670" s="237"/>
      <c r="G670" s="237"/>
      <c r="H670" s="237"/>
      <c r="I670" s="237"/>
      <c r="J670" s="237"/>
      <c r="K670" s="237"/>
      <c r="L670" s="237"/>
      <c r="M670" s="237"/>
      <c r="N670" s="237"/>
      <c r="O670" s="237"/>
      <c r="P670" s="237"/>
      <c r="Q670" s="237"/>
      <c r="R670" s="237"/>
      <c r="S670" s="237"/>
      <c r="T670" s="237"/>
      <c r="U670" s="237"/>
      <c r="V670" s="237"/>
      <c r="W670" s="237"/>
      <c r="X670" s="237"/>
      <c r="Y670" s="237"/>
      <c r="Z670" s="237"/>
    </row>
    <row r="671" ht="14.25" customHeight="1" spans="1:26">
      <c r="A671" s="237"/>
      <c r="B671" s="237"/>
      <c r="C671" s="237"/>
      <c r="D671" s="237"/>
      <c r="E671" s="237"/>
      <c r="F671" s="237"/>
      <c r="G671" s="237"/>
      <c r="H671" s="237"/>
      <c r="I671" s="237"/>
      <c r="J671" s="237"/>
      <c r="K671" s="237"/>
      <c r="L671" s="237"/>
      <c r="M671" s="237"/>
      <c r="N671" s="237"/>
      <c r="O671" s="237"/>
      <c r="P671" s="237"/>
      <c r="Q671" s="237"/>
      <c r="R671" s="237"/>
      <c r="S671" s="237"/>
      <c r="T671" s="237"/>
      <c r="U671" s="237"/>
      <c r="V671" s="237"/>
      <c r="W671" s="237"/>
      <c r="X671" s="237"/>
      <c r="Y671" s="237"/>
      <c r="Z671" s="237"/>
    </row>
    <row r="672" ht="14.25" customHeight="1" spans="1:26">
      <c r="A672" s="237"/>
      <c r="B672" s="237"/>
      <c r="C672" s="237"/>
      <c r="D672" s="237"/>
      <c r="E672" s="237"/>
      <c r="F672" s="237"/>
      <c r="G672" s="237"/>
      <c r="H672" s="237"/>
      <c r="I672" s="237"/>
      <c r="J672" s="237"/>
      <c r="K672" s="237"/>
      <c r="L672" s="237"/>
      <c r="M672" s="237"/>
      <c r="N672" s="237"/>
      <c r="O672" s="237"/>
      <c r="P672" s="237"/>
      <c r="Q672" s="237"/>
      <c r="R672" s="237"/>
      <c r="S672" s="237"/>
      <c r="T672" s="237"/>
      <c r="U672" s="237"/>
      <c r="V672" s="237"/>
      <c r="W672" s="237"/>
      <c r="X672" s="237"/>
      <c r="Y672" s="237"/>
      <c r="Z672" s="237"/>
    </row>
    <row r="673" ht="14.25" customHeight="1" spans="1:26">
      <c r="A673" s="237"/>
      <c r="B673" s="237"/>
      <c r="C673" s="237"/>
      <c r="D673" s="237"/>
      <c r="E673" s="237"/>
      <c r="F673" s="237"/>
      <c r="G673" s="237"/>
      <c r="H673" s="237"/>
      <c r="I673" s="237"/>
      <c r="J673" s="237"/>
      <c r="K673" s="237"/>
      <c r="L673" s="237"/>
      <c r="M673" s="237"/>
      <c r="N673" s="237"/>
      <c r="O673" s="237"/>
      <c r="P673" s="237"/>
      <c r="Q673" s="237"/>
      <c r="R673" s="237"/>
      <c r="S673" s="237"/>
      <c r="T673" s="237"/>
      <c r="U673" s="237"/>
      <c r="V673" s="237"/>
      <c r="W673" s="237"/>
      <c r="X673" s="237"/>
      <c r="Y673" s="237"/>
      <c r="Z673" s="237"/>
    </row>
    <row r="674" ht="14.25" customHeight="1" spans="1:26">
      <c r="A674" s="237"/>
      <c r="B674" s="237"/>
      <c r="C674" s="237"/>
      <c r="D674" s="237"/>
      <c r="E674" s="237"/>
      <c r="F674" s="237"/>
      <c r="G674" s="237"/>
      <c r="H674" s="237"/>
      <c r="I674" s="237"/>
      <c r="J674" s="237"/>
      <c r="K674" s="237"/>
      <c r="L674" s="237"/>
      <c r="M674" s="237"/>
      <c r="N674" s="237"/>
      <c r="O674" s="237"/>
      <c r="P674" s="237"/>
      <c r="Q674" s="237"/>
      <c r="R674" s="237"/>
      <c r="S674" s="237"/>
      <c r="T674" s="237"/>
      <c r="U674" s="237"/>
      <c r="V674" s="237"/>
      <c r="W674" s="237"/>
      <c r="X674" s="237"/>
      <c r="Y674" s="237"/>
      <c r="Z674" s="237"/>
    </row>
    <row r="675" ht="14.25" customHeight="1" spans="1:26">
      <c r="A675" s="237"/>
      <c r="B675" s="237"/>
      <c r="C675" s="237"/>
      <c r="D675" s="237"/>
      <c r="E675" s="237"/>
      <c r="F675" s="237"/>
      <c r="G675" s="237"/>
      <c r="H675" s="237"/>
      <c r="I675" s="237"/>
      <c r="J675" s="237"/>
      <c r="K675" s="237"/>
      <c r="L675" s="237"/>
      <c r="M675" s="237"/>
      <c r="N675" s="237"/>
      <c r="O675" s="237"/>
      <c r="P675" s="237"/>
      <c r="Q675" s="237"/>
      <c r="R675" s="237"/>
      <c r="S675" s="237"/>
      <c r="T675" s="237"/>
      <c r="U675" s="237"/>
      <c r="V675" s="237"/>
      <c r="W675" s="237"/>
      <c r="X675" s="237"/>
      <c r="Y675" s="237"/>
      <c r="Z675" s="237"/>
    </row>
    <row r="676" ht="14.25" customHeight="1" spans="1:26">
      <c r="A676" s="237"/>
      <c r="B676" s="237"/>
      <c r="C676" s="237"/>
      <c r="D676" s="237"/>
      <c r="E676" s="237"/>
      <c r="F676" s="237"/>
      <c r="G676" s="237"/>
      <c r="H676" s="237"/>
      <c r="I676" s="237"/>
      <c r="J676" s="237"/>
      <c r="K676" s="237"/>
      <c r="L676" s="237"/>
      <c r="M676" s="237"/>
      <c r="N676" s="237"/>
      <c r="O676" s="237"/>
      <c r="P676" s="237"/>
      <c r="Q676" s="237"/>
      <c r="R676" s="237"/>
      <c r="S676" s="237"/>
      <c r="T676" s="237"/>
      <c r="U676" s="237"/>
      <c r="V676" s="237"/>
      <c r="W676" s="237"/>
      <c r="X676" s="237"/>
      <c r="Y676" s="237"/>
      <c r="Z676" s="237"/>
    </row>
    <row r="677" ht="14.25" customHeight="1" spans="1:26">
      <c r="A677" s="237"/>
      <c r="B677" s="237"/>
      <c r="C677" s="237"/>
      <c r="D677" s="237"/>
      <c r="E677" s="237"/>
      <c r="F677" s="237"/>
      <c r="G677" s="237"/>
      <c r="H677" s="237"/>
      <c r="I677" s="237"/>
      <c r="J677" s="237"/>
      <c r="K677" s="237"/>
      <c r="L677" s="237"/>
      <c r="M677" s="237"/>
      <c r="N677" s="237"/>
      <c r="O677" s="237"/>
      <c r="P677" s="237"/>
      <c r="Q677" s="237"/>
      <c r="R677" s="237"/>
      <c r="S677" s="237"/>
      <c r="T677" s="237"/>
      <c r="U677" s="237"/>
      <c r="V677" s="237"/>
      <c r="W677" s="237"/>
      <c r="X677" s="237"/>
      <c r="Y677" s="237"/>
      <c r="Z677" s="237"/>
    </row>
    <row r="678" ht="14.25" customHeight="1" spans="1:26">
      <c r="A678" s="237"/>
      <c r="B678" s="237"/>
      <c r="C678" s="237"/>
      <c r="D678" s="237"/>
      <c r="E678" s="237"/>
      <c r="F678" s="237"/>
      <c r="G678" s="237"/>
      <c r="H678" s="237"/>
      <c r="I678" s="237"/>
      <c r="J678" s="237"/>
      <c r="K678" s="237"/>
      <c r="L678" s="237"/>
      <c r="M678" s="237"/>
      <c r="N678" s="237"/>
      <c r="O678" s="237"/>
      <c r="P678" s="237"/>
      <c r="Q678" s="237"/>
      <c r="R678" s="237"/>
      <c r="S678" s="237"/>
      <c r="T678" s="237"/>
      <c r="U678" s="237"/>
      <c r="V678" s="237"/>
      <c r="W678" s="237"/>
      <c r="X678" s="237"/>
      <c r="Y678" s="237"/>
      <c r="Z678" s="237"/>
    </row>
    <row r="679" ht="14.25" customHeight="1" spans="1:26">
      <c r="A679" s="237"/>
      <c r="B679" s="237"/>
      <c r="C679" s="237"/>
      <c r="D679" s="237"/>
      <c r="E679" s="237"/>
      <c r="F679" s="237"/>
      <c r="G679" s="237"/>
      <c r="H679" s="237"/>
      <c r="I679" s="237"/>
      <c r="J679" s="237"/>
      <c r="K679" s="237"/>
      <c r="L679" s="237"/>
      <c r="M679" s="237"/>
      <c r="N679" s="237"/>
      <c r="O679" s="237"/>
      <c r="P679" s="237"/>
      <c r="Q679" s="237"/>
      <c r="R679" s="237"/>
      <c r="S679" s="237"/>
      <c r="T679" s="237"/>
      <c r="U679" s="237"/>
      <c r="V679" s="237"/>
      <c r="W679" s="237"/>
      <c r="X679" s="237"/>
      <c r="Y679" s="237"/>
      <c r="Z679" s="237"/>
    </row>
    <row r="680" ht="14.25" customHeight="1" spans="1:26">
      <c r="A680" s="237"/>
      <c r="B680" s="237"/>
      <c r="C680" s="237"/>
      <c r="D680" s="237"/>
      <c r="E680" s="237"/>
      <c r="F680" s="237"/>
      <c r="G680" s="237"/>
      <c r="H680" s="237"/>
      <c r="I680" s="237"/>
      <c r="J680" s="237"/>
      <c r="K680" s="237"/>
      <c r="L680" s="237"/>
      <c r="M680" s="237"/>
      <c r="N680" s="237"/>
      <c r="O680" s="237"/>
      <c r="P680" s="237"/>
      <c r="Q680" s="237"/>
      <c r="R680" s="237"/>
      <c r="S680" s="237"/>
      <c r="T680" s="237"/>
      <c r="U680" s="237"/>
      <c r="V680" s="237"/>
      <c r="W680" s="237"/>
      <c r="X680" s="237"/>
      <c r="Y680" s="237"/>
      <c r="Z680" s="237"/>
    </row>
    <row r="681" ht="14.25" customHeight="1" spans="1:26">
      <c r="A681" s="237"/>
      <c r="B681" s="237"/>
      <c r="C681" s="237"/>
      <c r="D681" s="237"/>
      <c r="E681" s="237"/>
      <c r="F681" s="237"/>
      <c r="G681" s="237"/>
      <c r="H681" s="237"/>
      <c r="I681" s="237"/>
      <c r="J681" s="237"/>
      <c r="K681" s="237"/>
      <c r="L681" s="237"/>
      <c r="M681" s="237"/>
      <c r="N681" s="237"/>
      <c r="O681" s="237"/>
      <c r="P681" s="237"/>
      <c r="Q681" s="237"/>
      <c r="R681" s="237"/>
      <c r="S681" s="237"/>
      <c r="T681" s="237"/>
      <c r="U681" s="237"/>
      <c r="V681" s="237"/>
      <c r="W681" s="237"/>
      <c r="X681" s="237"/>
      <c r="Y681" s="237"/>
      <c r="Z681" s="237"/>
    </row>
    <row r="682" ht="14.25" customHeight="1" spans="1:26">
      <c r="A682" s="237"/>
      <c r="B682" s="237"/>
      <c r="C682" s="237"/>
      <c r="D682" s="237"/>
      <c r="E682" s="237"/>
      <c r="F682" s="237"/>
      <c r="G682" s="237"/>
      <c r="H682" s="237"/>
      <c r="I682" s="237"/>
      <c r="J682" s="237"/>
      <c r="K682" s="237"/>
      <c r="L682" s="237"/>
      <c r="M682" s="237"/>
      <c r="N682" s="237"/>
      <c r="O682" s="237"/>
      <c r="P682" s="237"/>
      <c r="Q682" s="237"/>
      <c r="R682" s="237"/>
      <c r="S682" s="237"/>
      <c r="T682" s="237"/>
      <c r="U682" s="237"/>
      <c r="V682" s="237"/>
      <c r="W682" s="237"/>
      <c r="X682" s="237"/>
      <c r="Y682" s="237"/>
      <c r="Z682" s="237"/>
    </row>
    <row r="683" ht="14.25" customHeight="1" spans="1:26">
      <c r="A683" s="237"/>
      <c r="B683" s="237"/>
      <c r="C683" s="237"/>
      <c r="D683" s="237"/>
      <c r="E683" s="237"/>
      <c r="F683" s="237"/>
      <c r="G683" s="237"/>
      <c r="H683" s="237"/>
      <c r="I683" s="237"/>
      <c r="J683" s="237"/>
      <c r="K683" s="237"/>
      <c r="L683" s="237"/>
      <c r="M683" s="237"/>
      <c r="N683" s="237"/>
      <c r="O683" s="237"/>
      <c r="P683" s="237"/>
      <c r="Q683" s="237"/>
      <c r="R683" s="237"/>
      <c r="S683" s="237"/>
      <c r="T683" s="237"/>
      <c r="U683" s="237"/>
      <c r="V683" s="237"/>
      <c r="W683" s="237"/>
      <c r="X683" s="237"/>
      <c r="Y683" s="237"/>
      <c r="Z683" s="237"/>
    </row>
    <row r="684" ht="14.25" customHeight="1" spans="1:26">
      <c r="A684" s="237"/>
      <c r="B684" s="237"/>
      <c r="C684" s="237"/>
      <c r="D684" s="237"/>
      <c r="E684" s="237"/>
      <c r="F684" s="237"/>
      <c r="G684" s="237"/>
      <c r="H684" s="237"/>
      <c r="I684" s="237"/>
      <c r="J684" s="237"/>
      <c r="K684" s="237"/>
      <c r="L684" s="237"/>
      <c r="M684" s="237"/>
      <c r="N684" s="237"/>
      <c r="O684" s="237"/>
      <c r="P684" s="237"/>
      <c r="Q684" s="237"/>
      <c r="R684" s="237"/>
      <c r="S684" s="237"/>
      <c r="T684" s="237"/>
      <c r="U684" s="237"/>
      <c r="V684" s="237"/>
      <c r="W684" s="237"/>
      <c r="X684" s="237"/>
      <c r="Y684" s="237"/>
      <c r="Z684" s="237"/>
    </row>
    <row r="685" ht="14.25" customHeight="1" spans="1:26">
      <c r="A685" s="237"/>
      <c r="B685" s="237"/>
      <c r="C685" s="237"/>
      <c r="D685" s="237"/>
      <c r="E685" s="237"/>
      <c r="F685" s="237"/>
      <c r="G685" s="237"/>
      <c r="H685" s="237"/>
      <c r="I685" s="237"/>
      <c r="J685" s="237"/>
      <c r="K685" s="237"/>
      <c r="L685" s="237"/>
      <c r="M685" s="237"/>
      <c r="N685" s="237"/>
      <c r="O685" s="237"/>
      <c r="P685" s="237"/>
      <c r="Q685" s="237"/>
      <c r="R685" s="237"/>
      <c r="S685" s="237"/>
      <c r="T685" s="237"/>
      <c r="U685" s="237"/>
      <c r="V685" s="237"/>
      <c r="W685" s="237"/>
      <c r="X685" s="237"/>
      <c r="Y685" s="237"/>
      <c r="Z685" s="237"/>
    </row>
    <row r="686" ht="14.25" customHeight="1" spans="1:26">
      <c r="A686" s="237"/>
      <c r="B686" s="237"/>
      <c r="C686" s="237"/>
      <c r="D686" s="237"/>
      <c r="E686" s="237"/>
      <c r="F686" s="237"/>
      <c r="G686" s="237"/>
      <c r="H686" s="237"/>
      <c r="I686" s="237"/>
      <c r="J686" s="237"/>
      <c r="K686" s="237"/>
      <c r="L686" s="237"/>
      <c r="M686" s="237"/>
      <c r="N686" s="237"/>
      <c r="O686" s="237"/>
      <c r="P686" s="237"/>
      <c r="Q686" s="237"/>
      <c r="R686" s="237"/>
      <c r="S686" s="237"/>
      <c r="T686" s="237"/>
      <c r="U686" s="237"/>
      <c r="V686" s="237"/>
      <c r="W686" s="237"/>
      <c r="X686" s="237"/>
      <c r="Y686" s="237"/>
      <c r="Z686" s="237"/>
    </row>
    <row r="687" ht="14.25" customHeight="1" spans="1:26">
      <c r="A687" s="237"/>
      <c r="B687" s="237"/>
      <c r="C687" s="237"/>
      <c r="D687" s="237"/>
      <c r="E687" s="237"/>
      <c r="F687" s="237"/>
      <c r="G687" s="237"/>
      <c r="H687" s="237"/>
      <c r="I687" s="237"/>
      <c r="J687" s="237"/>
      <c r="K687" s="237"/>
      <c r="L687" s="237"/>
      <c r="M687" s="237"/>
      <c r="N687" s="237"/>
      <c r="O687" s="237"/>
      <c r="P687" s="237"/>
      <c r="Q687" s="237"/>
      <c r="R687" s="237"/>
      <c r="S687" s="237"/>
      <c r="T687" s="237"/>
      <c r="U687" s="237"/>
      <c r="V687" s="237"/>
      <c r="W687" s="237"/>
      <c r="X687" s="237"/>
      <c r="Y687" s="237"/>
      <c r="Z687" s="237"/>
    </row>
    <row r="688" ht="14.25" customHeight="1" spans="1:26">
      <c r="A688" s="237"/>
      <c r="B688" s="237"/>
      <c r="C688" s="237"/>
      <c r="D688" s="237"/>
      <c r="E688" s="237"/>
      <c r="F688" s="237"/>
      <c r="G688" s="237"/>
      <c r="H688" s="237"/>
      <c r="I688" s="237"/>
      <c r="J688" s="237"/>
      <c r="K688" s="237"/>
      <c r="L688" s="237"/>
      <c r="M688" s="237"/>
      <c r="N688" s="237"/>
      <c r="O688" s="237"/>
      <c r="P688" s="237"/>
      <c r="Q688" s="237"/>
      <c r="R688" s="237"/>
      <c r="S688" s="237"/>
      <c r="T688" s="237"/>
      <c r="U688" s="237"/>
      <c r="V688" s="237"/>
      <c r="W688" s="237"/>
      <c r="X688" s="237"/>
      <c r="Y688" s="237"/>
      <c r="Z688" s="237"/>
    </row>
    <row r="689" ht="14.25" customHeight="1" spans="1:26">
      <c r="A689" s="237"/>
      <c r="B689" s="237"/>
      <c r="C689" s="237"/>
      <c r="D689" s="237"/>
      <c r="E689" s="237"/>
      <c r="F689" s="237"/>
      <c r="G689" s="237"/>
      <c r="H689" s="237"/>
      <c r="I689" s="237"/>
      <c r="J689" s="237"/>
      <c r="K689" s="237"/>
      <c r="L689" s="237"/>
      <c r="M689" s="237"/>
      <c r="N689" s="237"/>
      <c r="O689" s="237"/>
      <c r="P689" s="237"/>
      <c r="Q689" s="237"/>
      <c r="R689" s="237"/>
      <c r="S689" s="237"/>
      <c r="T689" s="237"/>
      <c r="U689" s="237"/>
      <c r="V689" s="237"/>
      <c r="W689" s="237"/>
      <c r="X689" s="237"/>
      <c r="Y689" s="237"/>
      <c r="Z689" s="237"/>
    </row>
    <row r="690" ht="14.25" customHeight="1" spans="1:26">
      <c r="A690" s="237"/>
      <c r="B690" s="237"/>
      <c r="C690" s="237"/>
      <c r="D690" s="237"/>
      <c r="E690" s="237"/>
      <c r="F690" s="237"/>
      <c r="G690" s="237"/>
      <c r="H690" s="237"/>
      <c r="I690" s="237"/>
      <c r="J690" s="237"/>
      <c r="K690" s="237"/>
      <c r="L690" s="237"/>
      <c r="M690" s="237"/>
      <c r="N690" s="237"/>
      <c r="O690" s="237"/>
      <c r="P690" s="237"/>
      <c r="Q690" s="237"/>
      <c r="R690" s="237"/>
      <c r="S690" s="237"/>
      <c r="T690" s="237"/>
      <c r="U690" s="237"/>
      <c r="V690" s="237"/>
      <c r="W690" s="237"/>
      <c r="X690" s="237"/>
      <c r="Y690" s="237"/>
      <c r="Z690" s="237"/>
    </row>
    <row r="691" ht="14.25" customHeight="1" spans="1:26">
      <c r="A691" s="237"/>
      <c r="B691" s="237"/>
      <c r="C691" s="237"/>
      <c r="D691" s="237"/>
      <c r="E691" s="237"/>
      <c r="F691" s="237"/>
      <c r="G691" s="237"/>
      <c r="H691" s="237"/>
      <c r="I691" s="237"/>
      <c r="J691" s="237"/>
      <c r="K691" s="237"/>
      <c r="L691" s="237"/>
      <c r="M691" s="237"/>
      <c r="N691" s="237"/>
      <c r="O691" s="237"/>
      <c r="P691" s="237"/>
      <c r="Q691" s="237"/>
      <c r="R691" s="237"/>
      <c r="S691" s="237"/>
      <c r="T691" s="237"/>
      <c r="U691" s="237"/>
      <c r="V691" s="237"/>
      <c r="W691" s="237"/>
      <c r="X691" s="237"/>
      <c r="Y691" s="237"/>
      <c r="Z691" s="237"/>
    </row>
    <row r="692" ht="14.25" customHeight="1" spans="1:26">
      <c r="A692" s="237"/>
      <c r="B692" s="237"/>
      <c r="C692" s="237"/>
      <c r="D692" s="237"/>
      <c r="E692" s="237"/>
      <c r="F692" s="237"/>
      <c r="G692" s="237"/>
      <c r="H692" s="237"/>
      <c r="I692" s="237"/>
      <c r="J692" s="237"/>
      <c r="K692" s="237"/>
      <c r="L692" s="237"/>
      <c r="M692" s="237"/>
      <c r="N692" s="237"/>
      <c r="O692" s="237"/>
      <c r="P692" s="237"/>
      <c r="Q692" s="237"/>
      <c r="R692" s="237"/>
      <c r="S692" s="237"/>
      <c r="T692" s="237"/>
      <c r="U692" s="237"/>
      <c r="V692" s="237"/>
      <c r="W692" s="237"/>
      <c r="X692" s="237"/>
      <c r="Y692" s="237"/>
      <c r="Z692" s="237"/>
    </row>
    <row r="693" ht="14.25" customHeight="1" spans="1:26">
      <c r="A693" s="237"/>
      <c r="B693" s="237"/>
      <c r="C693" s="237"/>
      <c r="D693" s="237"/>
      <c r="E693" s="237"/>
      <c r="F693" s="237"/>
      <c r="G693" s="237"/>
      <c r="H693" s="237"/>
      <c r="I693" s="237"/>
      <c r="J693" s="237"/>
      <c r="K693" s="237"/>
      <c r="L693" s="237"/>
      <c r="M693" s="237"/>
      <c r="N693" s="237"/>
      <c r="O693" s="237"/>
      <c r="P693" s="237"/>
      <c r="Q693" s="237"/>
      <c r="R693" s="237"/>
      <c r="S693" s="237"/>
      <c r="T693" s="237"/>
      <c r="U693" s="237"/>
      <c r="V693" s="237"/>
      <c r="W693" s="237"/>
      <c r="X693" s="237"/>
      <c r="Y693" s="237"/>
      <c r="Z693" s="237"/>
    </row>
    <row r="694" ht="14.25" customHeight="1" spans="1:26">
      <c r="A694" s="237"/>
      <c r="B694" s="237"/>
      <c r="C694" s="237"/>
      <c r="D694" s="237"/>
      <c r="E694" s="237"/>
      <c r="F694" s="237"/>
      <c r="G694" s="237"/>
      <c r="H694" s="237"/>
      <c r="I694" s="237"/>
      <c r="J694" s="237"/>
      <c r="K694" s="237"/>
      <c r="L694" s="237"/>
      <c r="M694" s="237"/>
      <c r="N694" s="237"/>
      <c r="O694" s="237"/>
      <c r="P694" s="237"/>
      <c r="Q694" s="237"/>
      <c r="R694" s="237"/>
      <c r="S694" s="237"/>
      <c r="T694" s="237"/>
      <c r="U694" s="237"/>
      <c r="V694" s="237"/>
      <c r="W694" s="237"/>
      <c r="X694" s="237"/>
      <c r="Y694" s="237"/>
      <c r="Z694" s="237"/>
    </row>
    <row r="695" ht="14.25" customHeight="1" spans="1:26">
      <c r="A695" s="237"/>
      <c r="B695" s="237"/>
      <c r="C695" s="237"/>
      <c r="D695" s="237"/>
      <c r="E695" s="237"/>
      <c r="F695" s="237"/>
      <c r="G695" s="237"/>
      <c r="H695" s="237"/>
      <c r="I695" s="237"/>
      <c r="J695" s="237"/>
      <c r="K695" s="237"/>
      <c r="L695" s="237"/>
      <c r="M695" s="237"/>
      <c r="N695" s="237"/>
      <c r="O695" s="237"/>
      <c r="P695" s="237"/>
      <c r="Q695" s="237"/>
      <c r="R695" s="237"/>
      <c r="S695" s="237"/>
      <c r="T695" s="237"/>
      <c r="U695" s="237"/>
      <c r="V695" s="237"/>
      <c r="W695" s="237"/>
      <c r="X695" s="237"/>
      <c r="Y695" s="237"/>
      <c r="Z695" s="237"/>
    </row>
    <row r="696" ht="14.25" customHeight="1" spans="1:26">
      <c r="A696" s="237"/>
      <c r="B696" s="237"/>
      <c r="C696" s="237"/>
      <c r="D696" s="237"/>
      <c r="E696" s="237"/>
      <c r="F696" s="237"/>
      <c r="G696" s="237"/>
      <c r="H696" s="237"/>
      <c r="I696" s="237"/>
      <c r="J696" s="237"/>
      <c r="K696" s="237"/>
      <c r="L696" s="237"/>
      <c r="M696" s="237"/>
      <c r="N696" s="237"/>
      <c r="O696" s="237"/>
      <c r="P696" s="237"/>
      <c r="Q696" s="237"/>
      <c r="R696" s="237"/>
      <c r="S696" s="237"/>
      <c r="T696" s="237"/>
      <c r="U696" s="237"/>
      <c r="V696" s="237"/>
      <c r="W696" s="237"/>
      <c r="X696" s="237"/>
      <c r="Y696" s="237"/>
      <c r="Z696" s="237"/>
    </row>
    <row r="697" ht="14.25" customHeight="1" spans="1:26">
      <c r="A697" s="237"/>
      <c r="B697" s="237"/>
      <c r="C697" s="237"/>
      <c r="D697" s="237"/>
      <c r="E697" s="237"/>
      <c r="F697" s="237"/>
      <c r="G697" s="237"/>
      <c r="H697" s="237"/>
      <c r="I697" s="237"/>
      <c r="J697" s="237"/>
      <c r="K697" s="237"/>
      <c r="L697" s="237"/>
      <c r="M697" s="237"/>
      <c r="N697" s="237"/>
      <c r="O697" s="237"/>
      <c r="P697" s="237"/>
      <c r="Q697" s="237"/>
      <c r="R697" s="237"/>
      <c r="S697" s="237"/>
      <c r="T697" s="237"/>
      <c r="U697" s="237"/>
      <c r="V697" s="237"/>
      <c r="W697" s="237"/>
      <c r="X697" s="237"/>
      <c r="Y697" s="237"/>
      <c r="Z697" s="237"/>
    </row>
    <row r="698" ht="14.25" customHeight="1" spans="1:26">
      <c r="A698" s="237"/>
      <c r="B698" s="237"/>
      <c r="C698" s="237"/>
      <c r="D698" s="237"/>
      <c r="E698" s="237"/>
      <c r="F698" s="237"/>
      <c r="G698" s="237"/>
      <c r="H698" s="237"/>
      <c r="I698" s="237"/>
      <c r="J698" s="237"/>
      <c r="K698" s="237"/>
      <c r="L698" s="237"/>
      <c r="M698" s="237"/>
      <c r="N698" s="237"/>
      <c r="O698" s="237"/>
      <c r="P698" s="237"/>
      <c r="Q698" s="237"/>
      <c r="R698" s="237"/>
      <c r="S698" s="237"/>
      <c r="T698" s="237"/>
      <c r="U698" s="237"/>
      <c r="V698" s="237"/>
      <c r="W698" s="237"/>
      <c r="X698" s="237"/>
      <c r="Y698" s="237"/>
      <c r="Z698" s="237"/>
    </row>
    <row r="699" ht="14.25" customHeight="1" spans="1:26">
      <c r="A699" s="237"/>
      <c r="B699" s="237"/>
      <c r="C699" s="237"/>
      <c r="D699" s="237"/>
      <c r="E699" s="237"/>
      <c r="F699" s="237"/>
      <c r="G699" s="237"/>
      <c r="H699" s="237"/>
      <c r="I699" s="237"/>
      <c r="J699" s="237"/>
      <c r="K699" s="237"/>
      <c r="L699" s="237"/>
      <c r="M699" s="237"/>
      <c r="N699" s="237"/>
      <c r="O699" s="237"/>
      <c r="P699" s="237"/>
      <c r="Q699" s="237"/>
      <c r="R699" s="237"/>
      <c r="S699" s="237"/>
      <c r="T699" s="237"/>
      <c r="U699" s="237"/>
      <c r="V699" s="237"/>
      <c r="W699" s="237"/>
      <c r="X699" s="237"/>
      <c r="Y699" s="237"/>
      <c r="Z699" s="237"/>
    </row>
    <row r="700" ht="14.25" customHeight="1" spans="1:26">
      <c r="A700" s="237"/>
      <c r="B700" s="237"/>
      <c r="C700" s="237"/>
      <c r="D700" s="237"/>
      <c r="E700" s="237"/>
      <c r="F700" s="237"/>
      <c r="G700" s="237"/>
      <c r="H700" s="237"/>
      <c r="I700" s="237"/>
      <c r="J700" s="237"/>
      <c r="K700" s="237"/>
      <c r="L700" s="237"/>
      <c r="M700" s="237"/>
      <c r="N700" s="237"/>
      <c r="O700" s="237"/>
      <c r="P700" s="237"/>
      <c r="Q700" s="237"/>
      <c r="R700" s="237"/>
      <c r="S700" s="237"/>
      <c r="T700" s="237"/>
      <c r="U700" s="237"/>
      <c r="V700" s="237"/>
      <c r="W700" s="237"/>
      <c r="X700" s="237"/>
      <c r="Y700" s="237"/>
      <c r="Z700" s="237"/>
    </row>
    <row r="701" ht="14.25" customHeight="1" spans="1:26">
      <c r="A701" s="237"/>
      <c r="B701" s="237"/>
      <c r="C701" s="237"/>
      <c r="D701" s="237"/>
      <c r="E701" s="237"/>
      <c r="F701" s="237"/>
      <c r="G701" s="237"/>
      <c r="H701" s="237"/>
      <c r="I701" s="237"/>
      <c r="J701" s="237"/>
      <c r="K701" s="237"/>
      <c r="L701" s="237"/>
      <c r="M701" s="237"/>
      <c r="N701" s="237"/>
      <c r="O701" s="237"/>
      <c r="P701" s="237"/>
      <c r="Q701" s="237"/>
      <c r="R701" s="237"/>
      <c r="S701" s="237"/>
      <c r="T701" s="237"/>
      <c r="U701" s="237"/>
      <c r="V701" s="237"/>
      <c r="W701" s="237"/>
      <c r="X701" s="237"/>
      <c r="Y701" s="237"/>
      <c r="Z701" s="237"/>
    </row>
    <row r="702" ht="14.25" customHeight="1" spans="1:26">
      <c r="A702" s="237"/>
      <c r="B702" s="237"/>
      <c r="C702" s="237"/>
      <c r="D702" s="237"/>
      <c r="E702" s="237"/>
      <c r="F702" s="237"/>
      <c r="G702" s="237"/>
      <c r="H702" s="237"/>
      <c r="I702" s="237"/>
      <c r="J702" s="237"/>
      <c r="K702" s="237"/>
      <c r="L702" s="237"/>
      <c r="M702" s="237"/>
      <c r="N702" s="237"/>
      <c r="O702" s="237"/>
      <c r="P702" s="237"/>
      <c r="Q702" s="237"/>
      <c r="R702" s="237"/>
      <c r="S702" s="237"/>
      <c r="T702" s="237"/>
      <c r="U702" s="237"/>
      <c r="V702" s="237"/>
      <c r="W702" s="237"/>
      <c r="X702" s="237"/>
      <c r="Y702" s="237"/>
      <c r="Z702" s="237"/>
    </row>
    <row r="703" ht="14.25" customHeight="1" spans="1:26">
      <c r="A703" s="237"/>
      <c r="B703" s="237"/>
      <c r="C703" s="237"/>
      <c r="D703" s="237"/>
      <c r="E703" s="237"/>
      <c r="F703" s="237"/>
      <c r="G703" s="237"/>
      <c r="H703" s="237"/>
      <c r="I703" s="237"/>
      <c r="J703" s="237"/>
      <c r="K703" s="237"/>
      <c r="L703" s="237"/>
      <c r="M703" s="237"/>
      <c r="N703" s="237"/>
      <c r="O703" s="237"/>
      <c r="P703" s="237"/>
      <c r="Q703" s="237"/>
      <c r="R703" s="237"/>
      <c r="S703" s="237"/>
      <c r="T703" s="237"/>
      <c r="U703" s="237"/>
      <c r="V703" s="237"/>
      <c r="W703" s="237"/>
      <c r="X703" s="237"/>
      <c r="Y703" s="237"/>
      <c r="Z703" s="237"/>
    </row>
    <row r="704" ht="14.25" customHeight="1" spans="1:26">
      <c r="A704" s="237"/>
      <c r="B704" s="237"/>
      <c r="C704" s="237"/>
      <c r="D704" s="237"/>
      <c r="E704" s="237"/>
      <c r="F704" s="237"/>
      <c r="G704" s="237"/>
      <c r="H704" s="237"/>
      <c r="I704" s="237"/>
      <c r="J704" s="237"/>
      <c r="K704" s="237"/>
      <c r="L704" s="237"/>
      <c r="M704" s="237"/>
      <c r="N704" s="237"/>
      <c r="O704" s="237"/>
      <c r="P704" s="237"/>
      <c r="Q704" s="237"/>
      <c r="R704" s="237"/>
      <c r="S704" s="237"/>
      <c r="T704" s="237"/>
      <c r="U704" s="237"/>
      <c r="V704" s="237"/>
      <c r="W704" s="237"/>
      <c r="X704" s="237"/>
      <c r="Y704" s="237"/>
      <c r="Z704" s="237"/>
    </row>
    <row r="705" ht="14.25" customHeight="1" spans="1:26">
      <c r="A705" s="237"/>
      <c r="B705" s="237"/>
      <c r="C705" s="237"/>
      <c r="D705" s="237"/>
      <c r="E705" s="237"/>
      <c r="F705" s="237"/>
      <c r="G705" s="237"/>
      <c r="H705" s="237"/>
      <c r="I705" s="237"/>
      <c r="J705" s="237"/>
      <c r="K705" s="237"/>
      <c r="L705" s="237"/>
      <c r="M705" s="237"/>
      <c r="N705" s="237"/>
      <c r="O705" s="237"/>
      <c r="P705" s="237"/>
      <c r="Q705" s="237"/>
      <c r="R705" s="237"/>
      <c r="S705" s="237"/>
      <c r="T705" s="237"/>
      <c r="U705" s="237"/>
      <c r="V705" s="237"/>
      <c r="W705" s="237"/>
      <c r="X705" s="237"/>
      <c r="Y705" s="237"/>
      <c r="Z705" s="237"/>
    </row>
    <row r="706" ht="14.25" customHeight="1" spans="1:26">
      <c r="A706" s="237"/>
      <c r="B706" s="237"/>
      <c r="C706" s="237"/>
      <c r="D706" s="237"/>
      <c r="E706" s="237"/>
      <c r="F706" s="237"/>
      <c r="G706" s="237"/>
      <c r="H706" s="237"/>
      <c r="I706" s="237"/>
      <c r="J706" s="237"/>
      <c r="K706" s="237"/>
      <c r="L706" s="237"/>
      <c r="M706" s="237"/>
      <c r="N706" s="237"/>
      <c r="O706" s="237"/>
      <c r="P706" s="237"/>
      <c r="Q706" s="237"/>
      <c r="R706" s="237"/>
      <c r="S706" s="237"/>
      <c r="T706" s="237"/>
      <c r="U706" s="237"/>
      <c r="V706" s="237"/>
      <c r="W706" s="237"/>
      <c r="X706" s="237"/>
      <c r="Y706" s="237"/>
      <c r="Z706" s="237"/>
    </row>
    <row r="707" ht="14.25" customHeight="1" spans="1:26">
      <c r="A707" s="237"/>
      <c r="B707" s="237"/>
      <c r="C707" s="237"/>
      <c r="D707" s="237"/>
      <c r="E707" s="237"/>
      <c r="F707" s="237"/>
      <c r="G707" s="237"/>
      <c r="H707" s="237"/>
      <c r="I707" s="237"/>
      <c r="J707" s="237"/>
      <c r="K707" s="237"/>
      <c r="L707" s="237"/>
      <c r="M707" s="237"/>
      <c r="N707" s="237"/>
      <c r="O707" s="237"/>
      <c r="P707" s="237"/>
      <c r="Q707" s="237"/>
      <c r="R707" s="237"/>
      <c r="S707" s="237"/>
      <c r="T707" s="237"/>
      <c r="U707" s="237"/>
      <c r="V707" s="237"/>
      <c r="W707" s="237"/>
      <c r="X707" s="237"/>
      <c r="Y707" s="237"/>
      <c r="Z707" s="237"/>
    </row>
    <row r="708" ht="14.25" customHeight="1" spans="1:26">
      <c r="A708" s="237"/>
      <c r="B708" s="237"/>
      <c r="C708" s="237"/>
      <c r="D708" s="237"/>
      <c r="E708" s="237"/>
      <c r="F708" s="237"/>
      <c r="G708" s="237"/>
      <c r="H708" s="237"/>
      <c r="I708" s="237"/>
      <c r="J708" s="237"/>
      <c r="K708" s="237"/>
      <c r="L708" s="237"/>
      <c r="M708" s="237"/>
      <c r="N708" s="237"/>
      <c r="O708" s="237"/>
      <c r="P708" s="237"/>
      <c r="Q708" s="237"/>
      <c r="R708" s="237"/>
      <c r="S708" s="237"/>
      <c r="T708" s="237"/>
      <c r="U708" s="237"/>
      <c r="V708" s="237"/>
      <c r="W708" s="237"/>
      <c r="X708" s="237"/>
      <c r="Y708" s="237"/>
      <c r="Z708" s="237"/>
    </row>
    <row r="709" ht="14.25" customHeight="1" spans="1:26">
      <c r="A709" s="237"/>
      <c r="B709" s="237"/>
      <c r="C709" s="237"/>
      <c r="D709" s="237"/>
      <c r="E709" s="237"/>
      <c r="F709" s="237"/>
      <c r="G709" s="237"/>
      <c r="H709" s="237"/>
      <c r="I709" s="237"/>
      <c r="J709" s="237"/>
      <c r="K709" s="237"/>
      <c r="L709" s="237"/>
      <c r="M709" s="237"/>
      <c r="N709" s="237"/>
      <c r="O709" s="237"/>
      <c r="P709" s="237"/>
      <c r="Q709" s="237"/>
      <c r="R709" s="237"/>
      <c r="S709" s="237"/>
      <c r="T709" s="237"/>
      <c r="U709" s="237"/>
      <c r="V709" s="237"/>
      <c r="W709" s="237"/>
      <c r="X709" s="237"/>
      <c r="Y709" s="237"/>
      <c r="Z709" s="237"/>
    </row>
    <row r="710" ht="14.25" customHeight="1" spans="1:26">
      <c r="A710" s="237"/>
      <c r="B710" s="237"/>
      <c r="C710" s="237"/>
      <c r="D710" s="237"/>
      <c r="E710" s="237"/>
      <c r="F710" s="237"/>
      <c r="G710" s="237"/>
      <c r="H710" s="237"/>
      <c r="I710" s="237"/>
      <c r="J710" s="237"/>
      <c r="K710" s="237"/>
      <c r="L710" s="237"/>
      <c r="M710" s="237"/>
      <c r="N710" s="237"/>
      <c r="O710" s="237"/>
      <c r="P710" s="237"/>
      <c r="Q710" s="237"/>
      <c r="R710" s="237"/>
      <c r="S710" s="237"/>
      <c r="T710" s="237"/>
      <c r="U710" s="237"/>
      <c r="V710" s="237"/>
      <c r="W710" s="237"/>
      <c r="X710" s="237"/>
      <c r="Y710" s="237"/>
      <c r="Z710" s="237"/>
    </row>
    <row r="711" ht="14.25" customHeight="1" spans="1:26">
      <c r="A711" s="237"/>
      <c r="B711" s="237"/>
      <c r="C711" s="237"/>
      <c r="D711" s="237"/>
      <c r="E711" s="237"/>
      <c r="F711" s="237"/>
      <c r="G711" s="237"/>
      <c r="H711" s="237"/>
      <c r="I711" s="237"/>
      <c r="J711" s="237"/>
      <c r="K711" s="237"/>
      <c r="L711" s="237"/>
      <c r="M711" s="237"/>
      <c r="N711" s="237"/>
      <c r="O711" s="237"/>
      <c r="P711" s="237"/>
      <c r="Q711" s="237"/>
      <c r="R711" s="237"/>
      <c r="S711" s="237"/>
      <c r="T711" s="237"/>
      <c r="U711" s="237"/>
      <c r="V711" s="237"/>
      <c r="W711" s="237"/>
      <c r="X711" s="237"/>
      <c r="Y711" s="237"/>
      <c r="Z711" s="237"/>
    </row>
    <row r="712" ht="14.25" customHeight="1" spans="1:26">
      <c r="A712" s="237"/>
      <c r="B712" s="237"/>
      <c r="C712" s="237"/>
      <c r="D712" s="237"/>
      <c r="E712" s="237"/>
      <c r="F712" s="237"/>
      <c r="G712" s="237"/>
      <c r="H712" s="237"/>
      <c r="I712" s="237"/>
      <c r="J712" s="237"/>
      <c r="K712" s="237"/>
      <c r="L712" s="237"/>
      <c r="M712" s="237"/>
      <c r="N712" s="237"/>
      <c r="O712" s="237"/>
      <c r="P712" s="237"/>
      <c r="Q712" s="237"/>
      <c r="R712" s="237"/>
      <c r="S712" s="237"/>
      <c r="T712" s="237"/>
      <c r="U712" s="237"/>
      <c r="V712" s="237"/>
      <c r="W712" s="237"/>
      <c r="X712" s="237"/>
      <c r="Y712" s="237"/>
      <c r="Z712" s="237"/>
    </row>
    <row r="713" ht="14.25" customHeight="1" spans="1:26">
      <c r="A713" s="237"/>
      <c r="B713" s="237"/>
      <c r="C713" s="237"/>
      <c r="D713" s="237"/>
      <c r="E713" s="237"/>
      <c r="F713" s="237"/>
      <c r="G713" s="237"/>
      <c r="H713" s="237"/>
      <c r="I713" s="237"/>
      <c r="J713" s="237"/>
      <c r="K713" s="237"/>
      <c r="L713" s="237"/>
      <c r="M713" s="237"/>
      <c r="N713" s="237"/>
      <c r="O713" s="237"/>
      <c r="P713" s="237"/>
      <c r="Q713" s="237"/>
      <c r="R713" s="237"/>
      <c r="S713" s="237"/>
      <c r="T713" s="237"/>
      <c r="U713" s="237"/>
      <c r="V713" s="237"/>
      <c r="W713" s="237"/>
      <c r="X713" s="237"/>
      <c r="Y713" s="237"/>
      <c r="Z713" s="237"/>
    </row>
    <row r="714" ht="14.25" customHeight="1" spans="1:26">
      <c r="A714" s="237"/>
      <c r="B714" s="237"/>
      <c r="C714" s="237"/>
      <c r="D714" s="237"/>
      <c r="E714" s="237"/>
      <c r="F714" s="237"/>
      <c r="G714" s="237"/>
      <c r="H714" s="237"/>
      <c r="I714" s="237"/>
      <c r="J714" s="237"/>
      <c r="K714" s="237"/>
      <c r="L714" s="237"/>
      <c r="M714" s="237"/>
      <c r="N714" s="237"/>
      <c r="O714" s="237"/>
      <c r="P714" s="237"/>
      <c r="Q714" s="237"/>
      <c r="R714" s="237"/>
      <c r="S714" s="237"/>
      <c r="T714" s="237"/>
      <c r="U714" s="237"/>
      <c r="V714" s="237"/>
      <c r="W714" s="237"/>
      <c r="X714" s="237"/>
      <c r="Y714" s="237"/>
      <c r="Z714" s="237"/>
    </row>
    <row r="715" ht="14.25" customHeight="1" spans="1:26">
      <c r="A715" s="237"/>
      <c r="B715" s="237"/>
      <c r="C715" s="237"/>
      <c r="D715" s="237"/>
      <c r="E715" s="237"/>
      <c r="F715" s="237"/>
      <c r="G715" s="237"/>
      <c r="H715" s="237"/>
      <c r="I715" s="237"/>
      <c r="J715" s="237"/>
      <c r="K715" s="237"/>
      <c r="L715" s="237"/>
      <c r="M715" s="237"/>
      <c r="N715" s="237"/>
      <c r="O715" s="237"/>
      <c r="P715" s="237"/>
      <c r="Q715" s="237"/>
      <c r="R715" s="237"/>
      <c r="S715" s="237"/>
      <c r="T715" s="237"/>
      <c r="U715" s="237"/>
      <c r="V715" s="237"/>
      <c r="W715" s="237"/>
      <c r="X715" s="237"/>
      <c r="Y715" s="237"/>
      <c r="Z715" s="237"/>
    </row>
    <row r="716" ht="14.25" customHeight="1" spans="1:26">
      <c r="A716" s="237"/>
      <c r="B716" s="237"/>
      <c r="C716" s="237"/>
      <c r="D716" s="237"/>
      <c r="E716" s="237"/>
      <c r="F716" s="237"/>
      <c r="G716" s="237"/>
      <c r="H716" s="237"/>
      <c r="I716" s="237"/>
      <c r="J716" s="237"/>
      <c r="K716" s="237"/>
      <c r="L716" s="237"/>
      <c r="M716" s="237"/>
      <c r="N716" s="237"/>
      <c r="O716" s="237"/>
      <c r="P716" s="237"/>
      <c r="Q716" s="237"/>
      <c r="R716" s="237"/>
      <c r="S716" s="237"/>
      <c r="T716" s="237"/>
      <c r="U716" s="237"/>
      <c r="V716" s="237"/>
      <c r="W716" s="237"/>
      <c r="X716" s="237"/>
      <c r="Y716" s="237"/>
      <c r="Z716" s="237"/>
    </row>
    <row r="717" ht="14.25" customHeight="1" spans="1:26">
      <c r="A717" s="237"/>
      <c r="B717" s="237"/>
      <c r="C717" s="237"/>
      <c r="D717" s="237"/>
      <c r="E717" s="237"/>
      <c r="F717" s="237"/>
      <c r="G717" s="237"/>
      <c r="H717" s="237"/>
      <c r="I717" s="237"/>
      <c r="J717" s="237"/>
      <c r="K717" s="237"/>
      <c r="L717" s="237"/>
      <c r="M717" s="237"/>
      <c r="N717" s="237"/>
      <c r="O717" s="237"/>
      <c r="P717" s="237"/>
      <c r="Q717" s="237"/>
      <c r="R717" s="237"/>
      <c r="S717" s="237"/>
      <c r="T717" s="237"/>
      <c r="U717" s="237"/>
      <c r="V717" s="237"/>
      <c r="W717" s="237"/>
      <c r="X717" s="237"/>
      <c r="Y717" s="237"/>
      <c r="Z717" s="237"/>
    </row>
    <row r="718" ht="14.25" customHeight="1" spans="1:26">
      <c r="A718" s="237"/>
      <c r="B718" s="237"/>
      <c r="C718" s="237"/>
      <c r="D718" s="237"/>
      <c r="E718" s="237"/>
      <c r="F718" s="237"/>
      <c r="G718" s="237"/>
      <c r="H718" s="237"/>
      <c r="I718" s="237"/>
      <c r="J718" s="237"/>
      <c r="K718" s="237"/>
      <c r="L718" s="237"/>
      <c r="M718" s="237"/>
      <c r="N718" s="237"/>
      <c r="O718" s="237"/>
      <c r="P718" s="237"/>
      <c r="Q718" s="237"/>
      <c r="R718" s="237"/>
      <c r="S718" s="237"/>
      <c r="T718" s="237"/>
      <c r="U718" s="237"/>
      <c r="V718" s="237"/>
      <c r="W718" s="237"/>
      <c r="X718" s="237"/>
      <c r="Y718" s="237"/>
      <c r="Z718" s="237"/>
    </row>
    <row r="719" ht="14.25" customHeight="1" spans="1:26">
      <c r="A719" s="237"/>
      <c r="B719" s="237"/>
      <c r="C719" s="237"/>
      <c r="D719" s="237"/>
      <c r="E719" s="237"/>
      <c r="F719" s="237"/>
      <c r="G719" s="237"/>
      <c r="H719" s="237"/>
      <c r="I719" s="237"/>
      <c r="J719" s="237"/>
      <c r="K719" s="237"/>
      <c r="L719" s="237"/>
      <c r="M719" s="237"/>
      <c r="N719" s="237"/>
      <c r="O719" s="237"/>
      <c r="P719" s="237"/>
      <c r="Q719" s="237"/>
      <c r="R719" s="237"/>
      <c r="S719" s="237"/>
      <c r="T719" s="237"/>
      <c r="U719" s="237"/>
      <c r="V719" s="237"/>
      <c r="W719" s="237"/>
      <c r="X719" s="237"/>
      <c r="Y719" s="237"/>
      <c r="Z719" s="237"/>
    </row>
    <row r="720" ht="14.25" customHeight="1" spans="1:26">
      <c r="A720" s="237"/>
      <c r="B720" s="237"/>
      <c r="C720" s="237"/>
      <c r="D720" s="237"/>
      <c r="E720" s="237"/>
      <c r="F720" s="237"/>
      <c r="G720" s="237"/>
      <c r="H720" s="237"/>
      <c r="I720" s="237"/>
      <c r="J720" s="237"/>
      <c r="K720" s="237"/>
      <c r="L720" s="237"/>
      <c r="M720" s="237"/>
      <c r="N720" s="237"/>
      <c r="O720" s="237"/>
      <c r="P720" s="237"/>
      <c r="Q720" s="237"/>
      <c r="R720" s="237"/>
      <c r="S720" s="237"/>
      <c r="T720" s="237"/>
      <c r="U720" s="237"/>
      <c r="V720" s="237"/>
      <c r="W720" s="237"/>
      <c r="X720" s="237"/>
      <c r="Y720" s="237"/>
      <c r="Z720" s="237"/>
    </row>
    <row r="721" ht="14.25" customHeight="1" spans="1:26">
      <c r="A721" s="237"/>
      <c r="B721" s="237"/>
      <c r="C721" s="237"/>
      <c r="D721" s="237"/>
      <c r="E721" s="237"/>
      <c r="F721" s="237"/>
      <c r="G721" s="237"/>
      <c r="H721" s="237"/>
      <c r="I721" s="237"/>
      <c r="J721" s="237"/>
      <c r="K721" s="237"/>
      <c r="L721" s="237"/>
      <c r="M721" s="237"/>
      <c r="N721" s="237"/>
      <c r="O721" s="237"/>
      <c r="P721" s="237"/>
      <c r="Q721" s="237"/>
      <c r="R721" s="237"/>
      <c r="S721" s="237"/>
      <c r="T721" s="237"/>
      <c r="U721" s="237"/>
      <c r="V721" s="237"/>
      <c r="W721" s="237"/>
      <c r="X721" s="237"/>
      <c r="Y721" s="237"/>
      <c r="Z721" s="237"/>
    </row>
    <row r="722" ht="14.25" customHeight="1" spans="1:26">
      <c r="A722" s="237"/>
      <c r="B722" s="237"/>
      <c r="C722" s="237"/>
      <c r="D722" s="237"/>
      <c r="E722" s="237"/>
      <c r="F722" s="237"/>
      <c r="G722" s="237"/>
      <c r="H722" s="237"/>
      <c r="I722" s="237"/>
      <c r="J722" s="237"/>
      <c r="K722" s="237"/>
      <c r="L722" s="237"/>
      <c r="M722" s="237"/>
      <c r="N722" s="237"/>
      <c r="O722" s="237"/>
      <c r="P722" s="237"/>
      <c r="Q722" s="237"/>
      <c r="R722" s="237"/>
      <c r="S722" s="237"/>
      <c r="T722" s="237"/>
      <c r="U722" s="237"/>
      <c r="V722" s="237"/>
      <c r="W722" s="237"/>
      <c r="X722" s="237"/>
      <c r="Y722" s="237"/>
      <c r="Z722" s="237"/>
    </row>
    <row r="723" ht="14.25" customHeight="1" spans="1:26">
      <c r="A723" s="237"/>
      <c r="B723" s="237"/>
      <c r="C723" s="237"/>
      <c r="D723" s="237"/>
      <c r="E723" s="237"/>
      <c r="F723" s="237"/>
      <c r="G723" s="237"/>
      <c r="H723" s="237"/>
      <c r="I723" s="237"/>
      <c r="J723" s="237"/>
      <c r="K723" s="237"/>
      <c r="L723" s="237"/>
      <c r="M723" s="237"/>
      <c r="N723" s="237"/>
      <c r="O723" s="237"/>
      <c r="P723" s="237"/>
      <c r="Q723" s="237"/>
      <c r="R723" s="237"/>
      <c r="S723" s="237"/>
      <c r="T723" s="237"/>
      <c r="U723" s="237"/>
      <c r="V723" s="237"/>
      <c r="W723" s="237"/>
      <c r="X723" s="237"/>
      <c r="Y723" s="237"/>
      <c r="Z723" s="237"/>
    </row>
    <row r="724" ht="14.25" customHeight="1" spans="1:26">
      <c r="A724" s="237"/>
      <c r="B724" s="237"/>
      <c r="C724" s="237"/>
      <c r="D724" s="237"/>
      <c r="E724" s="237"/>
      <c r="F724" s="237"/>
      <c r="G724" s="237"/>
      <c r="H724" s="237"/>
      <c r="I724" s="237"/>
      <c r="J724" s="237"/>
      <c r="K724" s="237"/>
      <c r="L724" s="237"/>
      <c r="M724" s="237"/>
      <c r="N724" s="237"/>
      <c r="O724" s="237"/>
      <c r="P724" s="237"/>
      <c r="Q724" s="237"/>
      <c r="R724" s="237"/>
      <c r="S724" s="237"/>
      <c r="T724" s="237"/>
      <c r="U724" s="237"/>
      <c r="V724" s="237"/>
      <c r="W724" s="237"/>
      <c r="X724" s="237"/>
      <c r="Y724" s="237"/>
      <c r="Z724" s="237"/>
    </row>
    <row r="725" ht="14.25" customHeight="1" spans="1:26">
      <c r="A725" s="237"/>
      <c r="B725" s="237"/>
      <c r="C725" s="237"/>
      <c r="D725" s="237"/>
      <c r="E725" s="237"/>
      <c r="F725" s="237"/>
      <c r="G725" s="237"/>
      <c r="H725" s="237"/>
      <c r="I725" s="237"/>
      <c r="J725" s="237"/>
      <c r="K725" s="237"/>
      <c r="L725" s="237"/>
      <c r="M725" s="237"/>
      <c r="N725" s="237"/>
      <c r="O725" s="237"/>
      <c r="P725" s="237"/>
      <c r="Q725" s="237"/>
      <c r="R725" s="237"/>
      <c r="S725" s="237"/>
      <c r="T725" s="237"/>
      <c r="U725" s="237"/>
      <c r="V725" s="237"/>
      <c r="W725" s="237"/>
      <c r="X725" s="237"/>
      <c r="Y725" s="237"/>
      <c r="Z725" s="237"/>
    </row>
    <row r="726" ht="14.25" customHeight="1" spans="1:26">
      <c r="A726" s="237"/>
      <c r="B726" s="237"/>
      <c r="C726" s="237"/>
      <c r="D726" s="237"/>
      <c r="E726" s="237"/>
      <c r="F726" s="237"/>
      <c r="G726" s="237"/>
      <c r="H726" s="237"/>
      <c r="I726" s="237"/>
      <c r="J726" s="237"/>
      <c r="K726" s="237"/>
      <c r="L726" s="237"/>
      <c r="M726" s="237"/>
      <c r="N726" s="237"/>
      <c r="O726" s="237"/>
      <c r="P726" s="237"/>
      <c r="Q726" s="237"/>
      <c r="R726" s="237"/>
      <c r="S726" s="237"/>
      <c r="T726" s="237"/>
      <c r="U726" s="237"/>
      <c r="V726" s="237"/>
      <c r="W726" s="237"/>
      <c r="X726" s="237"/>
      <c r="Y726" s="237"/>
      <c r="Z726" s="237"/>
    </row>
    <row r="727" ht="14.25" customHeight="1" spans="1:26">
      <c r="A727" s="237"/>
      <c r="B727" s="237"/>
      <c r="C727" s="237"/>
      <c r="D727" s="237"/>
      <c r="E727" s="237"/>
      <c r="F727" s="237"/>
      <c r="G727" s="237"/>
      <c r="H727" s="237"/>
      <c r="I727" s="237"/>
      <c r="J727" s="237"/>
      <c r="K727" s="237"/>
      <c r="L727" s="237"/>
      <c r="M727" s="237"/>
      <c r="N727" s="237"/>
      <c r="O727" s="237"/>
      <c r="P727" s="237"/>
      <c r="Q727" s="237"/>
      <c r="R727" s="237"/>
      <c r="S727" s="237"/>
      <c r="T727" s="237"/>
      <c r="U727" s="237"/>
      <c r="V727" s="237"/>
      <c r="W727" s="237"/>
      <c r="X727" s="237"/>
      <c r="Y727" s="237"/>
      <c r="Z727" s="237"/>
    </row>
    <row r="728" ht="14.25" customHeight="1" spans="1:26">
      <c r="A728" s="237"/>
      <c r="B728" s="237"/>
      <c r="C728" s="237"/>
      <c r="D728" s="237"/>
      <c r="E728" s="237"/>
      <c r="F728" s="237"/>
      <c r="G728" s="237"/>
      <c r="H728" s="237"/>
      <c r="I728" s="237"/>
      <c r="J728" s="237"/>
      <c r="K728" s="237"/>
      <c r="L728" s="237"/>
      <c r="M728" s="237"/>
      <c r="N728" s="237"/>
      <c r="O728" s="237"/>
      <c r="P728" s="237"/>
      <c r="Q728" s="237"/>
      <c r="R728" s="237"/>
      <c r="S728" s="237"/>
      <c r="T728" s="237"/>
      <c r="U728" s="237"/>
      <c r="V728" s="237"/>
      <c r="W728" s="237"/>
      <c r="X728" s="237"/>
      <c r="Y728" s="237"/>
      <c r="Z728" s="237"/>
    </row>
    <row r="729" ht="14.25" customHeight="1" spans="1:26">
      <c r="A729" s="237"/>
      <c r="B729" s="237"/>
      <c r="C729" s="237"/>
      <c r="D729" s="237"/>
      <c r="E729" s="237"/>
      <c r="F729" s="237"/>
      <c r="G729" s="237"/>
      <c r="H729" s="237"/>
      <c r="I729" s="237"/>
      <c r="J729" s="237"/>
      <c r="K729" s="237"/>
      <c r="L729" s="237"/>
      <c r="M729" s="237"/>
      <c r="N729" s="237"/>
      <c r="O729" s="237"/>
      <c r="P729" s="237"/>
      <c r="Q729" s="237"/>
      <c r="R729" s="237"/>
      <c r="S729" s="237"/>
      <c r="T729" s="237"/>
      <c r="U729" s="237"/>
      <c r="V729" s="237"/>
      <c r="W729" s="237"/>
      <c r="X729" s="237"/>
      <c r="Y729" s="237"/>
      <c r="Z729" s="237"/>
    </row>
    <row r="730" ht="14.25" customHeight="1" spans="1:26">
      <c r="A730" s="237"/>
      <c r="B730" s="237"/>
      <c r="C730" s="237"/>
      <c r="D730" s="237"/>
      <c r="E730" s="237"/>
      <c r="F730" s="237"/>
      <c r="G730" s="237"/>
      <c r="H730" s="237"/>
      <c r="I730" s="237"/>
      <c r="J730" s="237"/>
      <c r="K730" s="237"/>
      <c r="L730" s="237"/>
      <c r="M730" s="237"/>
      <c r="N730" s="237"/>
      <c r="O730" s="237"/>
      <c r="P730" s="237"/>
      <c r="Q730" s="237"/>
      <c r="R730" s="237"/>
      <c r="S730" s="237"/>
      <c r="T730" s="237"/>
      <c r="U730" s="237"/>
      <c r="V730" s="237"/>
      <c r="W730" s="237"/>
      <c r="X730" s="237"/>
      <c r="Y730" s="237"/>
      <c r="Z730" s="237"/>
    </row>
    <row r="731" ht="14.25" customHeight="1" spans="1:26">
      <c r="A731" s="237"/>
      <c r="B731" s="237"/>
      <c r="C731" s="237"/>
      <c r="D731" s="237"/>
      <c r="E731" s="237"/>
      <c r="F731" s="237"/>
      <c r="G731" s="237"/>
      <c r="H731" s="237"/>
      <c r="I731" s="237"/>
      <c r="J731" s="237"/>
      <c r="K731" s="237"/>
      <c r="L731" s="237"/>
      <c r="M731" s="237"/>
      <c r="N731" s="237"/>
      <c r="O731" s="237"/>
      <c r="P731" s="237"/>
      <c r="Q731" s="237"/>
      <c r="R731" s="237"/>
      <c r="S731" s="237"/>
      <c r="T731" s="237"/>
      <c r="U731" s="237"/>
      <c r="V731" s="237"/>
      <c r="W731" s="237"/>
      <c r="X731" s="237"/>
      <c r="Y731" s="237"/>
      <c r="Z731" s="237"/>
    </row>
    <row r="732" ht="14.25" customHeight="1" spans="1:26">
      <c r="A732" s="237"/>
      <c r="B732" s="237"/>
      <c r="C732" s="237"/>
      <c r="D732" s="237"/>
      <c r="E732" s="237"/>
      <c r="F732" s="237"/>
      <c r="G732" s="237"/>
      <c r="H732" s="237"/>
      <c r="I732" s="237"/>
      <c r="J732" s="237"/>
      <c r="K732" s="237"/>
      <c r="L732" s="237"/>
      <c r="M732" s="237"/>
      <c r="N732" s="237"/>
      <c r="O732" s="237"/>
      <c r="P732" s="237"/>
      <c r="Q732" s="237"/>
      <c r="R732" s="237"/>
      <c r="S732" s="237"/>
      <c r="T732" s="237"/>
      <c r="U732" s="237"/>
      <c r="V732" s="237"/>
      <c r="W732" s="237"/>
      <c r="X732" s="237"/>
      <c r="Y732" s="237"/>
      <c r="Z732" s="237"/>
    </row>
    <row r="733" ht="14.25" customHeight="1" spans="1:26">
      <c r="A733" s="237"/>
      <c r="B733" s="237"/>
      <c r="C733" s="237"/>
      <c r="D733" s="237"/>
      <c r="E733" s="237"/>
      <c r="F733" s="237"/>
      <c r="G733" s="237"/>
      <c r="H733" s="237"/>
      <c r="I733" s="237"/>
      <c r="J733" s="237"/>
      <c r="K733" s="237"/>
      <c r="L733" s="237"/>
      <c r="M733" s="237"/>
      <c r="N733" s="237"/>
      <c r="O733" s="237"/>
      <c r="P733" s="237"/>
      <c r="Q733" s="237"/>
      <c r="R733" s="237"/>
      <c r="S733" s="237"/>
      <c r="T733" s="237"/>
      <c r="U733" s="237"/>
      <c r="V733" s="237"/>
      <c r="W733" s="237"/>
      <c r="X733" s="237"/>
      <c r="Y733" s="237"/>
      <c r="Z733" s="237"/>
    </row>
    <row r="734" ht="14.25" customHeight="1" spans="1:26">
      <c r="A734" s="237"/>
      <c r="B734" s="237"/>
      <c r="C734" s="237"/>
      <c r="D734" s="237"/>
      <c r="E734" s="237"/>
      <c r="F734" s="237"/>
      <c r="G734" s="237"/>
      <c r="H734" s="237"/>
      <c r="I734" s="237"/>
      <c r="J734" s="237"/>
      <c r="K734" s="237"/>
      <c r="L734" s="237"/>
      <c r="M734" s="237"/>
      <c r="N734" s="237"/>
      <c r="O734" s="237"/>
      <c r="P734" s="237"/>
      <c r="Q734" s="237"/>
      <c r="R734" s="237"/>
      <c r="S734" s="237"/>
      <c r="T734" s="237"/>
      <c r="U734" s="237"/>
      <c r="V734" s="237"/>
      <c r="W734" s="237"/>
      <c r="X734" s="237"/>
      <c r="Y734" s="237"/>
      <c r="Z734" s="237"/>
    </row>
    <row r="735" ht="14.25" customHeight="1" spans="1:26">
      <c r="A735" s="237"/>
      <c r="B735" s="237"/>
      <c r="C735" s="237"/>
      <c r="D735" s="237"/>
      <c r="E735" s="237"/>
      <c r="F735" s="237"/>
      <c r="G735" s="237"/>
      <c r="H735" s="237"/>
      <c r="I735" s="237"/>
      <c r="J735" s="237"/>
      <c r="K735" s="237"/>
      <c r="L735" s="237"/>
      <c r="M735" s="237"/>
      <c r="N735" s="237"/>
      <c r="O735" s="237"/>
      <c r="P735" s="237"/>
      <c r="Q735" s="237"/>
      <c r="R735" s="237"/>
      <c r="S735" s="237"/>
      <c r="T735" s="237"/>
      <c r="U735" s="237"/>
      <c r="V735" s="237"/>
      <c r="W735" s="237"/>
      <c r="X735" s="237"/>
      <c r="Y735" s="237"/>
      <c r="Z735" s="237"/>
    </row>
    <row r="736" ht="14.25" customHeight="1" spans="1:26">
      <c r="A736" s="237"/>
      <c r="B736" s="237"/>
      <c r="C736" s="237"/>
      <c r="D736" s="237"/>
      <c r="E736" s="237"/>
      <c r="F736" s="237"/>
      <c r="G736" s="237"/>
      <c r="H736" s="237"/>
      <c r="I736" s="237"/>
      <c r="J736" s="237"/>
      <c r="K736" s="237"/>
      <c r="L736" s="237"/>
      <c r="M736" s="237"/>
      <c r="N736" s="237"/>
      <c r="O736" s="237"/>
      <c r="P736" s="237"/>
      <c r="Q736" s="237"/>
      <c r="R736" s="237"/>
      <c r="S736" s="237"/>
      <c r="T736" s="237"/>
      <c r="U736" s="237"/>
      <c r="V736" s="237"/>
      <c r="W736" s="237"/>
      <c r="X736" s="237"/>
      <c r="Y736" s="237"/>
      <c r="Z736" s="237"/>
    </row>
    <row r="737" ht="14.25" customHeight="1" spans="1:26">
      <c r="A737" s="237"/>
      <c r="B737" s="237"/>
      <c r="C737" s="237"/>
      <c r="D737" s="237"/>
      <c r="E737" s="237"/>
      <c r="F737" s="237"/>
      <c r="G737" s="237"/>
      <c r="H737" s="237"/>
      <c r="I737" s="237"/>
      <c r="J737" s="237"/>
      <c r="K737" s="237"/>
      <c r="L737" s="237"/>
      <c r="M737" s="237"/>
      <c r="N737" s="237"/>
      <c r="O737" s="237"/>
      <c r="P737" s="237"/>
      <c r="Q737" s="237"/>
      <c r="R737" s="237"/>
      <c r="S737" s="237"/>
      <c r="T737" s="237"/>
      <c r="U737" s="237"/>
      <c r="V737" s="237"/>
      <c r="W737" s="237"/>
      <c r="X737" s="237"/>
      <c r="Y737" s="237"/>
      <c r="Z737" s="237"/>
    </row>
    <row r="738" ht="14.25" customHeight="1" spans="1:26">
      <c r="A738" s="237"/>
      <c r="B738" s="237"/>
      <c r="C738" s="237"/>
      <c r="D738" s="237"/>
      <c r="E738" s="237"/>
      <c r="F738" s="237"/>
      <c r="G738" s="237"/>
      <c r="H738" s="237"/>
      <c r="I738" s="237"/>
      <c r="J738" s="237"/>
      <c r="K738" s="237"/>
      <c r="L738" s="237"/>
      <c r="M738" s="237"/>
      <c r="N738" s="237"/>
      <c r="O738" s="237"/>
      <c r="P738" s="237"/>
      <c r="Q738" s="237"/>
      <c r="R738" s="237"/>
      <c r="S738" s="237"/>
      <c r="T738" s="237"/>
      <c r="U738" s="237"/>
      <c r="V738" s="237"/>
      <c r="W738" s="237"/>
      <c r="X738" s="237"/>
      <c r="Y738" s="237"/>
      <c r="Z738" s="237"/>
    </row>
    <row r="739" ht="14.25" customHeight="1" spans="1:26">
      <c r="A739" s="237"/>
      <c r="B739" s="237"/>
      <c r="C739" s="237"/>
      <c r="D739" s="237"/>
      <c r="E739" s="237"/>
      <c r="F739" s="237"/>
      <c r="G739" s="237"/>
      <c r="H739" s="237"/>
      <c r="I739" s="237"/>
      <c r="J739" s="237"/>
      <c r="K739" s="237"/>
      <c r="L739" s="237"/>
      <c r="M739" s="237"/>
      <c r="N739" s="237"/>
      <c r="O739" s="237"/>
      <c r="P739" s="237"/>
      <c r="Q739" s="237"/>
      <c r="R739" s="237"/>
      <c r="S739" s="237"/>
      <c r="T739" s="237"/>
      <c r="U739" s="237"/>
      <c r="V739" s="237"/>
      <c r="W739" s="237"/>
      <c r="X739" s="237"/>
      <c r="Y739" s="237"/>
      <c r="Z739" s="237"/>
    </row>
    <row r="740" ht="14.25" customHeight="1" spans="1:26">
      <c r="A740" s="237"/>
      <c r="B740" s="237"/>
      <c r="C740" s="237"/>
      <c r="D740" s="237"/>
      <c r="E740" s="237"/>
      <c r="F740" s="237"/>
      <c r="G740" s="237"/>
      <c r="H740" s="237"/>
      <c r="I740" s="237"/>
      <c r="J740" s="237"/>
      <c r="K740" s="237"/>
      <c r="L740" s="237"/>
      <c r="M740" s="237"/>
      <c r="N740" s="237"/>
      <c r="O740" s="237"/>
      <c r="P740" s="237"/>
      <c r="Q740" s="237"/>
      <c r="R740" s="237"/>
      <c r="S740" s="237"/>
      <c r="T740" s="237"/>
      <c r="U740" s="237"/>
      <c r="V740" s="237"/>
      <c r="W740" s="237"/>
      <c r="X740" s="237"/>
      <c r="Y740" s="237"/>
      <c r="Z740" s="237"/>
    </row>
    <row r="741" ht="14.25" customHeight="1" spans="1:26">
      <c r="A741" s="237"/>
      <c r="B741" s="237"/>
      <c r="C741" s="237"/>
      <c r="D741" s="237"/>
      <c r="E741" s="237"/>
      <c r="F741" s="237"/>
      <c r="G741" s="237"/>
      <c r="H741" s="237"/>
      <c r="I741" s="237"/>
      <c r="J741" s="237"/>
      <c r="K741" s="237"/>
      <c r="L741" s="237"/>
      <c r="M741" s="237"/>
      <c r="N741" s="237"/>
      <c r="O741" s="237"/>
      <c r="P741" s="237"/>
      <c r="Q741" s="237"/>
      <c r="R741" s="237"/>
      <c r="S741" s="237"/>
      <c r="T741" s="237"/>
      <c r="U741" s="237"/>
      <c r="V741" s="237"/>
      <c r="W741" s="237"/>
      <c r="X741" s="237"/>
      <c r="Y741" s="237"/>
      <c r="Z741" s="237"/>
    </row>
    <row r="742" ht="14.25" customHeight="1" spans="1:26">
      <c r="A742" s="237"/>
      <c r="B742" s="237"/>
      <c r="C742" s="237"/>
      <c r="D742" s="237"/>
      <c r="E742" s="237"/>
      <c r="F742" s="237"/>
      <c r="G742" s="237"/>
      <c r="H742" s="237"/>
      <c r="I742" s="237"/>
      <c r="J742" s="237"/>
      <c r="K742" s="237"/>
      <c r="L742" s="237"/>
      <c r="M742" s="237"/>
      <c r="N742" s="237"/>
      <c r="O742" s="237"/>
      <c r="P742" s="237"/>
      <c r="Q742" s="237"/>
      <c r="R742" s="237"/>
      <c r="S742" s="237"/>
      <c r="T742" s="237"/>
      <c r="U742" s="237"/>
      <c r="V742" s="237"/>
      <c r="W742" s="237"/>
      <c r="X742" s="237"/>
      <c r="Y742" s="237"/>
      <c r="Z742" s="237"/>
    </row>
    <row r="743" ht="14.25" customHeight="1" spans="1:26">
      <c r="A743" s="237"/>
      <c r="B743" s="237"/>
      <c r="C743" s="237"/>
      <c r="D743" s="237"/>
      <c r="E743" s="237"/>
      <c r="F743" s="237"/>
      <c r="G743" s="237"/>
      <c r="H743" s="237"/>
      <c r="I743" s="237"/>
      <c r="J743" s="237"/>
      <c r="K743" s="237"/>
      <c r="L743" s="237"/>
      <c r="M743" s="237"/>
      <c r="N743" s="237"/>
      <c r="O743" s="237"/>
      <c r="P743" s="237"/>
      <c r="Q743" s="237"/>
      <c r="R743" s="237"/>
      <c r="S743" s="237"/>
      <c r="T743" s="237"/>
      <c r="U743" s="237"/>
      <c r="V743" s="237"/>
      <c r="W743" s="237"/>
      <c r="X743" s="237"/>
      <c r="Y743" s="237"/>
      <c r="Z743" s="237"/>
    </row>
    <row r="744" ht="14.25" customHeight="1" spans="1:26">
      <c r="A744" s="237"/>
      <c r="B744" s="237"/>
      <c r="C744" s="237"/>
      <c r="D744" s="237"/>
      <c r="E744" s="237"/>
      <c r="F744" s="237"/>
      <c r="G744" s="237"/>
      <c r="H744" s="237"/>
      <c r="I744" s="237"/>
      <c r="J744" s="237"/>
      <c r="K744" s="237"/>
      <c r="L744" s="237"/>
      <c r="M744" s="237"/>
      <c r="N744" s="237"/>
      <c r="O744" s="237"/>
      <c r="P744" s="237"/>
      <c r="Q744" s="237"/>
      <c r="R744" s="237"/>
      <c r="S744" s="237"/>
      <c r="T744" s="237"/>
      <c r="U744" s="237"/>
      <c r="V744" s="237"/>
      <c r="W744" s="237"/>
      <c r="X744" s="237"/>
      <c r="Y744" s="237"/>
      <c r="Z744" s="237"/>
    </row>
    <row r="745" ht="14.25" customHeight="1" spans="1:26">
      <c r="A745" s="237"/>
      <c r="B745" s="237"/>
      <c r="C745" s="237"/>
      <c r="D745" s="237"/>
      <c r="E745" s="237"/>
      <c r="F745" s="237"/>
      <c r="G745" s="237"/>
      <c r="H745" s="237"/>
      <c r="I745" s="237"/>
      <c r="J745" s="237"/>
      <c r="K745" s="237"/>
      <c r="L745" s="237"/>
      <c r="M745" s="237"/>
      <c r="N745" s="237"/>
      <c r="O745" s="237"/>
      <c r="P745" s="237"/>
      <c r="Q745" s="237"/>
      <c r="R745" s="237"/>
      <c r="S745" s="237"/>
      <c r="T745" s="237"/>
      <c r="U745" s="237"/>
      <c r="V745" s="237"/>
      <c r="W745" s="237"/>
      <c r="X745" s="237"/>
      <c r="Y745" s="237"/>
      <c r="Z745" s="237"/>
    </row>
    <row r="746" ht="14.25" customHeight="1" spans="1:26">
      <c r="A746" s="237"/>
      <c r="B746" s="237"/>
      <c r="C746" s="237"/>
      <c r="D746" s="237"/>
      <c r="E746" s="237"/>
      <c r="F746" s="237"/>
      <c r="G746" s="237"/>
      <c r="H746" s="237"/>
      <c r="I746" s="237"/>
      <c r="J746" s="237"/>
      <c r="K746" s="237"/>
      <c r="L746" s="237"/>
      <c r="M746" s="237"/>
      <c r="N746" s="237"/>
      <c r="O746" s="237"/>
      <c r="P746" s="237"/>
      <c r="Q746" s="237"/>
      <c r="R746" s="237"/>
      <c r="S746" s="237"/>
      <c r="T746" s="237"/>
      <c r="U746" s="237"/>
      <c r="V746" s="237"/>
      <c r="W746" s="237"/>
      <c r="X746" s="237"/>
      <c r="Y746" s="237"/>
      <c r="Z746" s="237"/>
    </row>
    <row r="747" ht="14.25" customHeight="1" spans="1:26">
      <c r="A747" s="237"/>
      <c r="B747" s="237"/>
      <c r="C747" s="237"/>
      <c r="D747" s="237"/>
      <c r="E747" s="237"/>
      <c r="F747" s="237"/>
      <c r="G747" s="237"/>
      <c r="H747" s="237"/>
      <c r="I747" s="237"/>
      <c r="J747" s="237"/>
      <c r="K747" s="237"/>
      <c r="L747" s="237"/>
      <c r="M747" s="237"/>
      <c r="N747" s="237"/>
      <c r="O747" s="237"/>
      <c r="P747" s="237"/>
      <c r="Q747" s="237"/>
      <c r="R747" s="237"/>
      <c r="S747" s="237"/>
      <c r="T747" s="237"/>
      <c r="U747" s="237"/>
      <c r="V747" s="237"/>
      <c r="W747" s="237"/>
      <c r="X747" s="237"/>
      <c r="Y747" s="237"/>
      <c r="Z747" s="237"/>
    </row>
    <row r="748" ht="14.25" customHeight="1" spans="1:26">
      <c r="A748" s="237"/>
      <c r="B748" s="237"/>
      <c r="C748" s="237"/>
      <c r="D748" s="237"/>
      <c r="E748" s="237"/>
      <c r="F748" s="237"/>
      <c r="G748" s="237"/>
      <c r="H748" s="237"/>
      <c r="I748" s="237"/>
      <c r="J748" s="237"/>
      <c r="K748" s="237"/>
      <c r="L748" s="237"/>
      <c r="M748" s="237"/>
      <c r="N748" s="237"/>
      <c r="O748" s="237"/>
      <c r="P748" s="237"/>
      <c r="Q748" s="237"/>
      <c r="R748" s="237"/>
      <c r="S748" s="237"/>
      <c r="T748" s="237"/>
      <c r="U748" s="237"/>
      <c r="V748" s="237"/>
      <c r="W748" s="237"/>
      <c r="X748" s="237"/>
      <c r="Y748" s="237"/>
      <c r="Z748" s="237"/>
    </row>
    <row r="749" ht="14.25" customHeight="1" spans="1:26">
      <c r="A749" s="237"/>
      <c r="B749" s="237"/>
      <c r="C749" s="237"/>
      <c r="D749" s="237"/>
      <c r="E749" s="237"/>
      <c r="F749" s="237"/>
      <c r="G749" s="237"/>
      <c r="H749" s="237"/>
      <c r="I749" s="237"/>
      <c r="J749" s="237"/>
      <c r="K749" s="237"/>
      <c r="L749" s="237"/>
      <c r="M749" s="237"/>
      <c r="N749" s="237"/>
      <c r="O749" s="237"/>
      <c r="P749" s="237"/>
      <c r="Q749" s="237"/>
      <c r="R749" s="237"/>
      <c r="S749" s="237"/>
      <c r="T749" s="237"/>
      <c r="U749" s="237"/>
      <c r="V749" s="237"/>
      <c r="W749" s="237"/>
      <c r="X749" s="237"/>
      <c r="Y749" s="237"/>
      <c r="Z749" s="237"/>
    </row>
    <row r="750" ht="14.25" customHeight="1" spans="1:26">
      <c r="A750" s="237"/>
      <c r="B750" s="237"/>
      <c r="C750" s="237"/>
      <c r="D750" s="237"/>
      <c r="E750" s="237"/>
      <c r="F750" s="237"/>
      <c r="G750" s="237"/>
      <c r="H750" s="237"/>
      <c r="I750" s="237"/>
      <c r="J750" s="237"/>
      <c r="K750" s="237"/>
      <c r="L750" s="237"/>
      <c r="M750" s="237"/>
      <c r="N750" s="237"/>
      <c r="O750" s="237"/>
      <c r="P750" s="237"/>
      <c r="Q750" s="237"/>
      <c r="R750" s="237"/>
      <c r="S750" s="237"/>
      <c r="T750" s="237"/>
      <c r="U750" s="237"/>
      <c r="V750" s="237"/>
      <c r="W750" s="237"/>
      <c r="X750" s="237"/>
      <c r="Y750" s="237"/>
      <c r="Z750" s="237"/>
    </row>
    <row r="751" ht="14.25" customHeight="1" spans="1:26">
      <c r="A751" s="237"/>
      <c r="B751" s="237"/>
      <c r="C751" s="237"/>
      <c r="D751" s="237"/>
      <c r="E751" s="237"/>
      <c r="F751" s="237"/>
      <c r="G751" s="237"/>
      <c r="H751" s="237"/>
      <c r="I751" s="237"/>
      <c r="J751" s="237"/>
      <c r="K751" s="237"/>
      <c r="L751" s="237"/>
      <c r="M751" s="237"/>
      <c r="N751" s="237"/>
      <c r="O751" s="237"/>
      <c r="P751" s="237"/>
      <c r="Q751" s="237"/>
      <c r="R751" s="237"/>
      <c r="S751" s="237"/>
      <c r="T751" s="237"/>
      <c r="U751" s="237"/>
      <c r="V751" s="237"/>
      <c r="W751" s="237"/>
      <c r="X751" s="237"/>
      <c r="Y751" s="237"/>
      <c r="Z751" s="237"/>
    </row>
    <row r="752" ht="14.25" customHeight="1" spans="1:26">
      <c r="A752" s="237"/>
      <c r="B752" s="237"/>
      <c r="C752" s="237"/>
      <c r="D752" s="237"/>
      <c r="E752" s="237"/>
      <c r="F752" s="237"/>
      <c r="G752" s="237"/>
      <c r="H752" s="237"/>
      <c r="I752" s="237"/>
      <c r="J752" s="237"/>
      <c r="K752" s="237"/>
      <c r="L752" s="237"/>
      <c r="M752" s="237"/>
      <c r="N752" s="237"/>
      <c r="O752" s="237"/>
      <c r="P752" s="237"/>
      <c r="Q752" s="237"/>
      <c r="R752" s="237"/>
      <c r="S752" s="237"/>
      <c r="T752" s="237"/>
      <c r="U752" s="237"/>
      <c r="V752" s="237"/>
      <c r="W752" s="237"/>
      <c r="X752" s="237"/>
      <c r="Y752" s="237"/>
      <c r="Z752" s="237"/>
    </row>
    <row r="753" ht="14.25" customHeight="1" spans="1:26">
      <c r="A753" s="237"/>
      <c r="B753" s="237"/>
      <c r="C753" s="237"/>
      <c r="D753" s="237"/>
      <c r="E753" s="237"/>
      <c r="F753" s="237"/>
      <c r="G753" s="237"/>
      <c r="H753" s="237"/>
      <c r="I753" s="237"/>
      <c r="J753" s="237"/>
      <c r="K753" s="237"/>
      <c r="L753" s="237"/>
      <c r="M753" s="237"/>
      <c r="N753" s="237"/>
      <c r="O753" s="237"/>
      <c r="P753" s="237"/>
      <c r="Q753" s="237"/>
      <c r="R753" s="237"/>
      <c r="S753" s="237"/>
      <c r="T753" s="237"/>
      <c r="U753" s="237"/>
      <c r="V753" s="237"/>
      <c r="W753" s="237"/>
      <c r="X753" s="237"/>
      <c r="Y753" s="237"/>
      <c r="Z753" s="237"/>
    </row>
    <row r="754" ht="14.25" customHeight="1" spans="1:26">
      <c r="A754" s="237"/>
      <c r="B754" s="237"/>
      <c r="C754" s="237"/>
      <c r="D754" s="237"/>
      <c r="E754" s="237"/>
      <c r="F754" s="237"/>
      <c r="G754" s="237"/>
      <c r="H754" s="237"/>
      <c r="I754" s="237"/>
      <c r="J754" s="237"/>
      <c r="K754" s="237"/>
      <c r="L754" s="237"/>
      <c r="M754" s="237"/>
      <c r="N754" s="237"/>
      <c r="O754" s="237"/>
      <c r="P754" s="237"/>
      <c r="Q754" s="237"/>
      <c r="R754" s="237"/>
      <c r="S754" s="237"/>
      <c r="T754" s="237"/>
      <c r="U754" s="237"/>
      <c r="V754" s="237"/>
      <c r="W754" s="237"/>
      <c r="X754" s="237"/>
      <c r="Y754" s="237"/>
      <c r="Z754" s="237"/>
    </row>
    <row r="755" ht="14.25" customHeight="1" spans="1:26">
      <c r="A755" s="237"/>
      <c r="B755" s="237"/>
      <c r="C755" s="237"/>
      <c r="D755" s="237"/>
      <c r="E755" s="237"/>
      <c r="F755" s="237"/>
      <c r="G755" s="237"/>
      <c r="H755" s="237"/>
      <c r="I755" s="237"/>
      <c r="J755" s="237"/>
      <c r="K755" s="237"/>
      <c r="L755" s="237"/>
      <c r="M755" s="237"/>
      <c r="N755" s="237"/>
      <c r="O755" s="237"/>
      <c r="P755" s="237"/>
      <c r="Q755" s="237"/>
      <c r="R755" s="237"/>
      <c r="S755" s="237"/>
      <c r="T755" s="237"/>
      <c r="U755" s="237"/>
      <c r="V755" s="237"/>
      <c r="W755" s="237"/>
      <c r="X755" s="237"/>
      <c r="Y755" s="237"/>
      <c r="Z755" s="237"/>
    </row>
    <row r="756" ht="14.25" customHeight="1" spans="1:26">
      <c r="A756" s="237"/>
      <c r="B756" s="237"/>
      <c r="C756" s="237"/>
      <c r="D756" s="237"/>
      <c r="E756" s="237"/>
      <c r="F756" s="237"/>
      <c r="G756" s="237"/>
      <c r="H756" s="237"/>
      <c r="I756" s="237"/>
      <c r="J756" s="237"/>
      <c r="K756" s="237"/>
      <c r="L756" s="237"/>
      <c r="M756" s="237"/>
      <c r="N756" s="237"/>
      <c r="O756" s="237"/>
      <c r="P756" s="237"/>
      <c r="Q756" s="237"/>
      <c r="R756" s="237"/>
      <c r="S756" s="237"/>
      <c r="T756" s="237"/>
      <c r="U756" s="237"/>
      <c r="V756" s="237"/>
      <c r="W756" s="237"/>
      <c r="X756" s="237"/>
      <c r="Y756" s="237"/>
      <c r="Z756" s="237"/>
    </row>
    <row r="757" ht="14.25" customHeight="1" spans="1:26">
      <c r="A757" s="237"/>
      <c r="B757" s="237"/>
      <c r="C757" s="237"/>
      <c r="D757" s="237"/>
      <c r="E757" s="237"/>
      <c r="F757" s="237"/>
      <c r="G757" s="237"/>
      <c r="H757" s="237"/>
      <c r="I757" s="237"/>
      <c r="J757" s="237"/>
      <c r="K757" s="237"/>
      <c r="L757" s="237"/>
      <c r="M757" s="237"/>
      <c r="N757" s="237"/>
      <c r="O757" s="237"/>
      <c r="P757" s="237"/>
      <c r="Q757" s="237"/>
      <c r="R757" s="237"/>
      <c r="S757" s="237"/>
      <c r="T757" s="237"/>
      <c r="U757" s="237"/>
      <c r="V757" s="237"/>
      <c r="W757" s="237"/>
      <c r="X757" s="237"/>
      <c r="Y757" s="237"/>
      <c r="Z757" s="237"/>
    </row>
    <row r="758" ht="14.25" customHeight="1" spans="1:26">
      <c r="A758" s="237"/>
      <c r="B758" s="237"/>
      <c r="C758" s="237"/>
      <c r="D758" s="237"/>
      <c r="E758" s="237"/>
      <c r="F758" s="237"/>
      <c r="G758" s="237"/>
      <c r="H758" s="237"/>
      <c r="I758" s="237"/>
      <c r="J758" s="237"/>
      <c r="K758" s="237"/>
      <c r="L758" s="237"/>
      <c r="M758" s="237"/>
      <c r="N758" s="237"/>
      <c r="O758" s="237"/>
      <c r="P758" s="237"/>
      <c r="Q758" s="237"/>
      <c r="R758" s="237"/>
      <c r="S758" s="237"/>
      <c r="T758" s="237"/>
      <c r="U758" s="237"/>
      <c r="V758" s="237"/>
      <c r="W758" s="237"/>
      <c r="X758" s="237"/>
      <c r="Y758" s="237"/>
      <c r="Z758" s="237"/>
    </row>
    <row r="759" ht="14.25" customHeight="1" spans="1:26">
      <c r="A759" s="237"/>
      <c r="B759" s="237"/>
      <c r="C759" s="237"/>
      <c r="D759" s="237"/>
      <c r="E759" s="237"/>
      <c r="F759" s="237"/>
      <c r="G759" s="237"/>
      <c r="H759" s="237"/>
      <c r="I759" s="237"/>
      <c r="J759" s="237"/>
      <c r="K759" s="237"/>
      <c r="L759" s="237"/>
      <c r="M759" s="237"/>
      <c r="N759" s="237"/>
      <c r="O759" s="237"/>
      <c r="P759" s="237"/>
      <c r="Q759" s="237"/>
      <c r="R759" s="237"/>
      <c r="S759" s="237"/>
      <c r="T759" s="237"/>
      <c r="U759" s="237"/>
      <c r="V759" s="237"/>
      <c r="W759" s="237"/>
      <c r="X759" s="237"/>
      <c r="Y759" s="237"/>
      <c r="Z759" s="237"/>
    </row>
    <row r="760" ht="14.25" customHeight="1" spans="1:26">
      <c r="A760" s="237"/>
      <c r="B760" s="237"/>
      <c r="C760" s="237"/>
      <c r="D760" s="237"/>
      <c r="E760" s="237"/>
      <c r="F760" s="237"/>
      <c r="G760" s="237"/>
      <c r="H760" s="237"/>
      <c r="I760" s="237"/>
      <c r="J760" s="237"/>
      <c r="K760" s="237"/>
      <c r="L760" s="237"/>
      <c r="M760" s="237"/>
      <c r="N760" s="237"/>
      <c r="O760" s="237"/>
      <c r="P760" s="237"/>
      <c r="Q760" s="237"/>
      <c r="R760" s="237"/>
      <c r="S760" s="237"/>
      <c r="T760" s="237"/>
      <c r="U760" s="237"/>
      <c r="V760" s="237"/>
      <c r="W760" s="237"/>
      <c r="X760" s="237"/>
      <c r="Y760" s="237"/>
      <c r="Z760" s="237"/>
    </row>
    <row r="761" ht="14.25" customHeight="1" spans="1:26">
      <c r="A761" s="237"/>
      <c r="B761" s="237"/>
      <c r="C761" s="237"/>
      <c r="D761" s="237"/>
      <c r="E761" s="237"/>
      <c r="F761" s="237"/>
      <c r="G761" s="237"/>
      <c r="H761" s="237"/>
      <c r="I761" s="237"/>
      <c r="J761" s="237"/>
      <c r="K761" s="237"/>
      <c r="L761" s="237"/>
      <c r="M761" s="237"/>
      <c r="N761" s="237"/>
      <c r="O761" s="237"/>
      <c r="P761" s="237"/>
      <c r="Q761" s="237"/>
      <c r="R761" s="237"/>
      <c r="S761" s="237"/>
      <c r="T761" s="237"/>
      <c r="U761" s="237"/>
      <c r="V761" s="237"/>
      <c r="W761" s="237"/>
      <c r="X761" s="237"/>
      <c r="Y761" s="237"/>
      <c r="Z761" s="237"/>
    </row>
    <row r="762" ht="14.25" customHeight="1" spans="1:26">
      <c r="A762" s="237"/>
      <c r="B762" s="237"/>
      <c r="C762" s="237"/>
      <c r="D762" s="237"/>
      <c r="E762" s="237"/>
      <c r="F762" s="237"/>
      <c r="G762" s="237"/>
      <c r="H762" s="237"/>
      <c r="I762" s="237"/>
      <c r="J762" s="237"/>
      <c r="K762" s="237"/>
      <c r="L762" s="237"/>
      <c r="M762" s="237"/>
      <c r="N762" s="237"/>
      <c r="O762" s="237"/>
      <c r="P762" s="237"/>
      <c r="Q762" s="237"/>
      <c r="R762" s="237"/>
      <c r="S762" s="237"/>
      <c r="T762" s="237"/>
      <c r="U762" s="237"/>
      <c r="V762" s="237"/>
      <c r="W762" s="237"/>
      <c r="X762" s="237"/>
      <c r="Y762" s="237"/>
      <c r="Z762" s="237"/>
    </row>
    <row r="763" ht="14.25" customHeight="1" spans="1:26">
      <c r="A763" s="237"/>
      <c r="B763" s="237"/>
      <c r="C763" s="237"/>
      <c r="D763" s="237"/>
      <c r="E763" s="237"/>
      <c r="F763" s="237"/>
      <c r="G763" s="237"/>
      <c r="H763" s="237"/>
      <c r="I763" s="237"/>
      <c r="J763" s="237"/>
      <c r="K763" s="237"/>
      <c r="L763" s="237"/>
      <c r="M763" s="237"/>
      <c r="N763" s="237"/>
      <c r="O763" s="237"/>
      <c r="P763" s="237"/>
      <c r="Q763" s="237"/>
      <c r="R763" s="237"/>
      <c r="S763" s="237"/>
      <c r="T763" s="237"/>
      <c r="U763" s="237"/>
      <c r="V763" s="237"/>
      <c r="W763" s="237"/>
      <c r="X763" s="237"/>
      <c r="Y763" s="237"/>
      <c r="Z763" s="237"/>
    </row>
    <row r="764" ht="14.25" customHeight="1" spans="1:26">
      <c r="A764" s="237"/>
      <c r="B764" s="237"/>
      <c r="C764" s="237"/>
      <c r="D764" s="237"/>
      <c r="E764" s="237"/>
      <c r="F764" s="237"/>
      <c r="G764" s="237"/>
      <c r="H764" s="237"/>
      <c r="I764" s="237"/>
      <c r="J764" s="237"/>
      <c r="K764" s="237"/>
      <c r="L764" s="237"/>
      <c r="M764" s="237"/>
      <c r="N764" s="237"/>
      <c r="O764" s="237"/>
      <c r="P764" s="237"/>
      <c r="Q764" s="237"/>
      <c r="R764" s="237"/>
      <c r="S764" s="237"/>
      <c r="T764" s="237"/>
      <c r="U764" s="237"/>
      <c r="V764" s="237"/>
      <c r="W764" s="237"/>
      <c r="X764" s="237"/>
      <c r="Y764" s="237"/>
      <c r="Z764" s="237"/>
    </row>
    <row r="765" ht="14.25" customHeight="1" spans="1:26">
      <c r="A765" s="237"/>
      <c r="B765" s="237"/>
      <c r="C765" s="237"/>
      <c r="D765" s="237"/>
      <c r="E765" s="237"/>
      <c r="F765" s="237"/>
      <c r="G765" s="237"/>
      <c r="H765" s="237"/>
      <c r="I765" s="237"/>
      <c r="J765" s="237"/>
      <c r="K765" s="237"/>
      <c r="L765" s="237"/>
      <c r="M765" s="237"/>
      <c r="N765" s="237"/>
      <c r="O765" s="237"/>
      <c r="P765" s="237"/>
      <c r="Q765" s="237"/>
      <c r="R765" s="237"/>
      <c r="S765" s="237"/>
      <c r="T765" s="237"/>
      <c r="U765" s="237"/>
      <c r="V765" s="237"/>
      <c r="W765" s="237"/>
      <c r="X765" s="237"/>
      <c r="Y765" s="237"/>
      <c r="Z765" s="237"/>
    </row>
    <row r="766" ht="14.25" customHeight="1" spans="1:26">
      <c r="A766" s="237"/>
      <c r="B766" s="237"/>
      <c r="C766" s="237"/>
      <c r="D766" s="237"/>
      <c r="E766" s="237"/>
      <c r="F766" s="237"/>
      <c r="G766" s="237"/>
      <c r="H766" s="237"/>
      <c r="I766" s="237"/>
      <c r="J766" s="237"/>
      <c r="K766" s="237"/>
      <c r="L766" s="237"/>
      <c r="M766" s="237"/>
      <c r="N766" s="237"/>
      <c r="O766" s="237"/>
      <c r="P766" s="237"/>
      <c r="Q766" s="237"/>
      <c r="R766" s="237"/>
      <c r="S766" s="237"/>
      <c r="T766" s="237"/>
      <c r="U766" s="237"/>
      <c r="V766" s="237"/>
      <c r="W766" s="237"/>
      <c r="X766" s="237"/>
      <c r="Y766" s="237"/>
      <c r="Z766" s="237"/>
    </row>
    <row r="767" ht="14.25" customHeight="1" spans="1:26">
      <c r="A767" s="237"/>
      <c r="B767" s="237"/>
      <c r="C767" s="237"/>
      <c r="D767" s="237"/>
      <c r="E767" s="237"/>
      <c r="F767" s="237"/>
      <c r="G767" s="237"/>
      <c r="H767" s="237"/>
      <c r="I767" s="237"/>
      <c r="J767" s="237"/>
      <c r="K767" s="237"/>
      <c r="L767" s="237"/>
      <c r="M767" s="237"/>
      <c r="N767" s="237"/>
      <c r="O767" s="237"/>
      <c r="P767" s="237"/>
      <c r="Q767" s="237"/>
      <c r="R767" s="237"/>
      <c r="S767" s="237"/>
      <c r="T767" s="237"/>
      <c r="U767" s="237"/>
      <c r="V767" s="237"/>
      <c r="W767" s="237"/>
      <c r="X767" s="237"/>
      <c r="Y767" s="237"/>
      <c r="Z767" s="237"/>
    </row>
    <row r="768" ht="14.25" customHeight="1" spans="1:26">
      <c r="A768" s="237"/>
      <c r="B768" s="237"/>
      <c r="C768" s="237"/>
      <c r="D768" s="237"/>
      <c r="E768" s="237"/>
      <c r="F768" s="237"/>
      <c r="G768" s="237"/>
      <c r="H768" s="237"/>
      <c r="I768" s="237"/>
      <c r="J768" s="237"/>
      <c r="K768" s="237"/>
      <c r="L768" s="237"/>
      <c r="M768" s="237"/>
      <c r="N768" s="237"/>
      <c r="O768" s="237"/>
      <c r="P768" s="237"/>
      <c r="Q768" s="237"/>
      <c r="R768" s="237"/>
      <c r="S768" s="237"/>
      <c r="T768" s="237"/>
      <c r="U768" s="237"/>
      <c r="V768" s="237"/>
      <c r="W768" s="237"/>
      <c r="X768" s="237"/>
      <c r="Y768" s="237"/>
      <c r="Z768" s="237"/>
    </row>
    <row r="769" ht="14.25" customHeight="1" spans="1:26">
      <c r="A769" s="237"/>
      <c r="B769" s="237"/>
      <c r="C769" s="237"/>
      <c r="D769" s="237"/>
      <c r="E769" s="237"/>
      <c r="F769" s="237"/>
      <c r="G769" s="237"/>
      <c r="H769" s="237"/>
      <c r="I769" s="237"/>
      <c r="J769" s="237"/>
      <c r="K769" s="237"/>
      <c r="L769" s="237"/>
      <c r="M769" s="237"/>
      <c r="N769" s="237"/>
      <c r="O769" s="237"/>
      <c r="P769" s="237"/>
      <c r="Q769" s="237"/>
      <c r="R769" s="237"/>
      <c r="S769" s="237"/>
      <c r="T769" s="237"/>
      <c r="U769" s="237"/>
      <c r="V769" s="237"/>
      <c r="W769" s="237"/>
      <c r="X769" s="237"/>
      <c r="Y769" s="237"/>
      <c r="Z769" s="237"/>
    </row>
    <row r="770" ht="14.25" customHeight="1" spans="1:26">
      <c r="A770" s="237"/>
      <c r="B770" s="237"/>
      <c r="C770" s="237"/>
      <c r="D770" s="237"/>
      <c r="E770" s="237"/>
      <c r="F770" s="237"/>
      <c r="G770" s="237"/>
      <c r="H770" s="237"/>
      <c r="I770" s="237"/>
      <c r="J770" s="237"/>
      <c r="K770" s="237"/>
      <c r="L770" s="237"/>
      <c r="M770" s="237"/>
      <c r="N770" s="237"/>
      <c r="O770" s="237"/>
      <c r="P770" s="237"/>
      <c r="Q770" s="237"/>
      <c r="R770" s="237"/>
      <c r="S770" s="237"/>
      <c r="T770" s="237"/>
      <c r="U770" s="237"/>
      <c r="V770" s="237"/>
      <c r="W770" s="237"/>
      <c r="X770" s="237"/>
      <c r="Y770" s="237"/>
      <c r="Z770" s="237"/>
    </row>
    <row r="771" ht="14.25" customHeight="1" spans="1:26">
      <c r="A771" s="237"/>
      <c r="B771" s="237"/>
      <c r="C771" s="237"/>
      <c r="D771" s="237"/>
      <c r="E771" s="237"/>
      <c r="F771" s="237"/>
      <c r="G771" s="237"/>
      <c r="H771" s="237"/>
      <c r="I771" s="237"/>
      <c r="J771" s="237"/>
      <c r="K771" s="237"/>
      <c r="L771" s="237"/>
      <c r="M771" s="237"/>
      <c r="N771" s="237"/>
      <c r="O771" s="237"/>
      <c r="P771" s="237"/>
      <c r="Q771" s="237"/>
      <c r="R771" s="237"/>
      <c r="S771" s="237"/>
      <c r="T771" s="237"/>
      <c r="U771" s="237"/>
      <c r="V771" s="237"/>
      <c r="W771" s="237"/>
      <c r="X771" s="237"/>
      <c r="Y771" s="237"/>
      <c r="Z771" s="237"/>
    </row>
    <row r="772" ht="14.25" customHeight="1" spans="1:26">
      <c r="A772" s="237"/>
      <c r="B772" s="237"/>
      <c r="C772" s="237"/>
      <c r="D772" s="237"/>
      <c r="E772" s="237"/>
      <c r="F772" s="237"/>
      <c r="G772" s="237"/>
      <c r="H772" s="237"/>
      <c r="I772" s="237"/>
      <c r="J772" s="237"/>
      <c r="K772" s="237"/>
      <c r="L772" s="237"/>
      <c r="M772" s="237"/>
      <c r="N772" s="237"/>
      <c r="O772" s="237"/>
      <c r="P772" s="237"/>
      <c r="Q772" s="237"/>
      <c r="R772" s="237"/>
      <c r="S772" s="237"/>
      <c r="T772" s="237"/>
      <c r="U772" s="237"/>
      <c r="V772" s="237"/>
      <c r="W772" s="237"/>
      <c r="X772" s="237"/>
      <c r="Y772" s="237"/>
      <c r="Z772" s="237"/>
    </row>
    <row r="773" ht="14.25" customHeight="1" spans="1:26">
      <c r="A773" s="237"/>
      <c r="B773" s="237"/>
      <c r="C773" s="237"/>
      <c r="D773" s="237"/>
      <c r="E773" s="237"/>
      <c r="F773" s="237"/>
      <c r="G773" s="237"/>
      <c r="H773" s="237"/>
      <c r="I773" s="237"/>
      <c r="J773" s="237"/>
      <c r="K773" s="237"/>
      <c r="L773" s="237"/>
      <c r="M773" s="237"/>
      <c r="N773" s="237"/>
      <c r="O773" s="237"/>
      <c r="P773" s="237"/>
      <c r="Q773" s="237"/>
      <c r="R773" s="237"/>
      <c r="S773" s="237"/>
      <c r="T773" s="237"/>
      <c r="U773" s="237"/>
      <c r="V773" s="237"/>
      <c r="W773" s="237"/>
      <c r="X773" s="237"/>
      <c r="Y773" s="237"/>
      <c r="Z773" s="237"/>
    </row>
    <row r="774" ht="14.25" customHeight="1" spans="1:26">
      <c r="A774" s="237"/>
      <c r="B774" s="237"/>
      <c r="C774" s="237"/>
      <c r="D774" s="237"/>
      <c r="E774" s="237"/>
      <c r="F774" s="237"/>
      <c r="G774" s="237"/>
      <c r="H774" s="237"/>
      <c r="I774" s="237"/>
      <c r="J774" s="237"/>
      <c r="K774" s="237"/>
      <c r="L774" s="237"/>
      <c r="M774" s="237"/>
      <c r="N774" s="237"/>
      <c r="O774" s="237"/>
      <c r="P774" s="237"/>
      <c r="Q774" s="237"/>
      <c r="R774" s="237"/>
      <c r="S774" s="237"/>
      <c r="T774" s="237"/>
      <c r="U774" s="237"/>
      <c r="V774" s="237"/>
      <c r="W774" s="237"/>
      <c r="X774" s="237"/>
      <c r="Y774" s="237"/>
      <c r="Z774" s="237"/>
    </row>
    <row r="775" ht="14.25" customHeight="1" spans="1:26">
      <c r="A775" s="237"/>
      <c r="B775" s="237"/>
      <c r="C775" s="237"/>
      <c r="D775" s="237"/>
      <c r="E775" s="237"/>
      <c r="F775" s="237"/>
      <c r="G775" s="237"/>
      <c r="H775" s="237"/>
      <c r="I775" s="237"/>
      <c r="J775" s="237"/>
      <c r="K775" s="237"/>
      <c r="L775" s="237"/>
      <c r="M775" s="237"/>
      <c r="N775" s="237"/>
      <c r="O775" s="237"/>
      <c r="P775" s="237"/>
      <c r="Q775" s="237"/>
      <c r="R775" s="237"/>
      <c r="S775" s="237"/>
      <c r="T775" s="237"/>
      <c r="U775" s="237"/>
      <c r="V775" s="237"/>
      <c r="W775" s="237"/>
      <c r="X775" s="237"/>
      <c r="Y775" s="237"/>
      <c r="Z775" s="237"/>
    </row>
    <row r="776" ht="14.25" customHeight="1" spans="1:26">
      <c r="A776" s="237"/>
      <c r="B776" s="237"/>
      <c r="C776" s="237"/>
      <c r="D776" s="237"/>
      <c r="E776" s="237"/>
      <c r="F776" s="237"/>
      <c r="G776" s="237"/>
      <c r="H776" s="237"/>
      <c r="I776" s="237"/>
      <c r="J776" s="237"/>
      <c r="K776" s="237"/>
      <c r="L776" s="237"/>
      <c r="M776" s="237"/>
      <c r="N776" s="237"/>
      <c r="O776" s="237"/>
      <c r="P776" s="237"/>
      <c r="Q776" s="237"/>
      <c r="R776" s="237"/>
      <c r="S776" s="237"/>
      <c r="T776" s="237"/>
      <c r="U776" s="237"/>
      <c r="V776" s="237"/>
      <c r="W776" s="237"/>
      <c r="X776" s="237"/>
      <c r="Y776" s="237"/>
      <c r="Z776" s="237"/>
    </row>
    <row r="777" ht="14.25" customHeight="1" spans="1:26">
      <c r="A777" s="237"/>
      <c r="B777" s="237"/>
      <c r="C777" s="237"/>
      <c r="D777" s="237"/>
      <c r="E777" s="237"/>
      <c r="F777" s="237"/>
      <c r="G777" s="237"/>
      <c r="H777" s="237"/>
      <c r="I777" s="237"/>
      <c r="J777" s="237"/>
      <c r="K777" s="237"/>
      <c r="L777" s="237"/>
      <c r="M777" s="237"/>
      <c r="N777" s="237"/>
      <c r="O777" s="237"/>
      <c r="P777" s="237"/>
      <c r="Q777" s="237"/>
      <c r="R777" s="237"/>
      <c r="S777" s="237"/>
      <c r="T777" s="237"/>
      <c r="U777" s="237"/>
      <c r="V777" s="237"/>
      <c r="W777" s="237"/>
      <c r="X777" s="237"/>
      <c r="Y777" s="237"/>
      <c r="Z777" s="237"/>
    </row>
    <row r="778" ht="14.25" customHeight="1" spans="1:26">
      <c r="A778" s="237"/>
      <c r="B778" s="237"/>
      <c r="C778" s="237"/>
      <c r="D778" s="237"/>
      <c r="E778" s="237"/>
      <c r="F778" s="237"/>
      <c r="G778" s="237"/>
      <c r="H778" s="237"/>
      <c r="I778" s="237"/>
      <c r="J778" s="237"/>
      <c r="K778" s="237"/>
      <c r="L778" s="237"/>
      <c r="M778" s="237"/>
      <c r="N778" s="237"/>
      <c r="O778" s="237"/>
      <c r="P778" s="237"/>
      <c r="Q778" s="237"/>
      <c r="R778" s="237"/>
      <c r="S778" s="237"/>
      <c r="T778" s="237"/>
      <c r="U778" s="237"/>
      <c r="V778" s="237"/>
      <c r="W778" s="237"/>
      <c r="X778" s="237"/>
      <c r="Y778" s="237"/>
      <c r="Z778" s="237"/>
    </row>
    <row r="779" ht="14.25" customHeight="1" spans="1:26">
      <c r="A779" s="237"/>
      <c r="B779" s="237"/>
      <c r="C779" s="237"/>
      <c r="D779" s="237"/>
      <c r="E779" s="237"/>
      <c r="F779" s="237"/>
      <c r="G779" s="237"/>
      <c r="H779" s="237"/>
      <c r="I779" s="237"/>
      <c r="J779" s="237"/>
      <c r="K779" s="237"/>
      <c r="L779" s="237"/>
      <c r="M779" s="237"/>
      <c r="N779" s="237"/>
      <c r="O779" s="237"/>
      <c r="P779" s="237"/>
      <c r="Q779" s="237"/>
      <c r="R779" s="237"/>
      <c r="S779" s="237"/>
      <c r="T779" s="237"/>
      <c r="U779" s="237"/>
      <c r="V779" s="237"/>
      <c r="W779" s="237"/>
      <c r="X779" s="237"/>
      <c r="Y779" s="237"/>
      <c r="Z779" s="237"/>
    </row>
    <row r="780" ht="14.25" customHeight="1" spans="1:26">
      <c r="A780" s="237"/>
      <c r="B780" s="237"/>
      <c r="C780" s="237"/>
      <c r="D780" s="237"/>
      <c r="E780" s="237"/>
      <c r="F780" s="237"/>
      <c r="G780" s="237"/>
      <c r="H780" s="237"/>
      <c r="I780" s="237"/>
      <c r="J780" s="237"/>
      <c r="K780" s="237"/>
      <c r="L780" s="237"/>
      <c r="M780" s="237"/>
      <c r="N780" s="237"/>
      <c r="O780" s="237"/>
      <c r="P780" s="237"/>
      <c r="Q780" s="237"/>
      <c r="R780" s="237"/>
      <c r="S780" s="237"/>
      <c r="T780" s="237"/>
      <c r="U780" s="237"/>
      <c r="V780" s="237"/>
      <c r="W780" s="237"/>
      <c r="X780" s="237"/>
      <c r="Y780" s="237"/>
      <c r="Z780" s="237"/>
    </row>
    <row r="781" ht="14.25" customHeight="1" spans="1:26">
      <c r="A781" s="237"/>
      <c r="B781" s="237"/>
      <c r="C781" s="237"/>
      <c r="D781" s="237"/>
      <c r="E781" s="237"/>
      <c r="F781" s="237"/>
      <c r="G781" s="237"/>
      <c r="H781" s="237"/>
      <c r="I781" s="237"/>
      <c r="J781" s="237"/>
      <c r="K781" s="237"/>
      <c r="L781" s="237"/>
      <c r="M781" s="237"/>
      <c r="N781" s="237"/>
      <c r="O781" s="237"/>
      <c r="P781" s="237"/>
      <c r="Q781" s="237"/>
      <c r="R781" s="237"/>
      <c r="S781" s="237"/>
      <c r="T781" s="237"/>
      <c r="U781" s="237"/>
      <c r="V781" s="237"/>
      <c r="W781" s="237"/>
      <c r="X781" s="237"/>
      <c r="Y781" s="237"/>
      <c r="Z781" s="237"/>
    </row>
    <row r="782" ht="14.25" customHeight="1" spans="1:26">
      <c r="A782" s="237"/>
      <c r="B782" s="237"/>
      <c r="C782" s="237"/>
      <c r="D782" s="237"/>
      <c r="E782" s="237"/>
      <c r="F782" s="237"/>
      <c r="G782" s="237"/>
      <c r="H782" s="237"/>
      <c r="I782" s="237"/>
      <c r="J782" s="237"/>
      <c r="K782" s="237"/>
      <c r="L782" s="237"/>
      <c r="M782" s="237"/>
      <c r="N782" s="237"/>
      <c r="O782" s="237"/>
      <c r="P782" s="237"/>
      <c r="Q782" s="237"/>
      <c r="R782" s="237"/>
      <c r="S782" s="237"/>
      <c r="T782" s="237"/>
      <c r="U782" s="237"/>
      <c r="V782" s="237"/>
      <c r="W782" s="237"/>
      <c r="X782" s="237"/>
      <c r="Y782" s="237"/>
      <c r="Z782" s="237"/>
    </row>
    <row r="783" ht="14.25" customHeight="1" spans="1:26">
      <c r="A783" s="237"/>
      <c r="B783" s="237"/>
      <c r="C783" s="237"/>
      <c r="D783" s="237"/>
      <c r="E783" s="237"/>
      <c r="F783" s="237"/>
      <c r="G783" s="237"/>
      <c r="H783" s="237"/>
      <c r="I783" s="237"/>
      <c r="J783" s="237"/>
      <c r="K783" s="237"/>
      <c r="L783" s="237"/>
      <c r="M783" s="237"/>
      <c r="N783" s="237"/>
      <c r="O783" s="237"/>
      <c r="P783" s="237"/>
      <c r="Q783" s="237"/>
      <c r="R783" s="237"/>
      <c r="S783" s="237"/>
      <c r="T783" s="237"/>
      <c r="U783" s="237"/>
      <c r="V783" s="237"/>
      <c r="W783" s="237"/>
      <c r="X783" s="237"/>
      <c r="Y783" s="237"/>
      <c r="Z783" s="237"/>
    </row>
    <row r="784" ht="14.25" customHeight="1" spans="1:26">
      <c r="A784" s="237"/>
      <c r="B784" s="237"/>
      <c r="C784" s="237"/>
      <c r="D784" s="237"/>
      <c r="E784" s="237"/>
      <c r="F784" s="237"/>
      <c r="G784" s="237"/>
      <c r="H784" s="237"/>
      <c r="I784" s="237"/>
      <c r="J784" s="237"/>
      <c r="K784" s="237"/>
      <c r="L784" s="237"/>
      <c r="M784" s="237"/>
      <c r="N784" s="237"/>
      <c r="O784" s="237"/>
      <c r="P784" s="237"/>
      <c r="Q784" s="237"/>
      <c r="R784" s="237"/>
      <c r="S784" s="237"/>
      <c r="T784" s="237"/>
      <c r="U784" s="237"/>
      <c r="V784" s="237"/>
      <c r="W784" s="237"/>
      <c r="X784" s="237"/>
      <c r="Y784" s="237"/>
      <c r="Z784" s="237"/>
    </row>
    <row r="785" ht="14.25" customHeight="1" spans="1:26">
      <c r="A785" s="237"/>
      <c r="B785" s="237"/>
      <c r="C785" s="237"/>
      <c r="D785" s="237"/>
      <c r="E785" s="237"/>
      <c r="F785" s="237"/>
      <c r="G785" s="237"/>
      <c r="H785" s="237"/>
      <c r="I785" s="237"/>
      <c r="J785" s="237"/>
      <c r="K785" s="237"/>
      <c r="L785" s="237"/>
      <c r="M785" s="237"/>
      <c r="N785" s="237"/>
      <c r="O785" s="237"/>
      <c r="P785" s="237"/>
      <c r="Q785" s="237"/>
      <c r="R785" s="237"/>
      <c r="S785" s="237"/>
      <c r="T785" s="237"/>
      <c r="U785" s="237"/>
      <c r="V785" s="237"/>
      <c r="W785" s="237"/>
      <c r="X785" s="237"/>
      <c r="Y785" s="237"/>
      <c r="Z785" s="237"/>
    </row>
    <row r="786" ht="14.25" customHeight="1" spans="1:26">
      <c r="A786" s="237"/>
      <c r="B786" s="237"/>
      <c r="C786" s="237"/>
      <c r="D786" s="237"/>
      <c r="E786" s="237"/>
      <c r="F786" s="237"/>
      <c r="G786" s="237"/>
      <c r="H786" s="237"/>
      <c r="I786" s="237"/>
      <c r="J786" s="237"/>
      <c r="K786" s="237"/>
      <c r="L786" s="237"/>
      <c r="M786" s="237"/>
      <c r="N786" s="237"/>
      <c r="O786" s="237"/>
      <c r="P786" s="237"/>
      <c r="Q786" s="237"/>
      <c r="R786" s="237"/>
      <c r="S786" s="237"/>
      <c r="T786" s="237"/>
      <c r="U786" s="237"/>
      <c r="V786" s="237"/>
      <c r="W786" s="237"/>
      <c r="X786" s="237"/>
      <c r="Y786" s="237"/>
      <c r="Z786" s="237"/>
    </row>
    <row r="787" ht="14.25" customHeight="1" spans="1:26">
      <c r="A787" s="237"/>
      <c r="B787" s="237"/>
      <c r="C787" s="237"/>
      <c r="D787" s="237"/>
      <c r="E787" s="237"/>
      <c r="F787" s="237"/>
      <c r="G787" s="237"/>
      <c r="H787" s="237"/>
      <c r="I787" s="237"/>
      <c r="J787" s="237"/>
      <c r="K787" s="237"/>
      <c r="L787" s="237"/>
      <c r="M787" s="237"/>
      <c r="N787" s="237"/>
      <c r="O787" s="237"/>
      <c r="P787" s="237"/>
      <c r="Q787" s="237"/>
      <c r="R787" s="237"/>
      <c r="S787" s="237"/>
      <c r="T787" s="237"/>
      <c r="U787" s="237"/>
      <c r="V787" s="237"/>
      <c r="W787" s="237"/>
      <c r="X787" s="237"/>
      <c r="Y787" s="237"/>
      <c r="Z787" s="237"/>
    </row>
    <row r="788" ht="14.25" customHeight="1" spans="1:26">
      <c r="A788" s="237"/>
      <c r="B788" s="237"/>
      <c r="C788" s="237"/>
      <c r="D788" s="237"/>
      <c r="E788" s="237"/>
      <c r="F788" s="237"/>
      <c r="G788" s="237"/>
      <c r="H788" s="237"/>
      <c r="I788" s="237"/>
      <c r="J788" s="237"/>
      <c r="K788" s="237"/>
      <c r="L788" s="237"/>
      <c r="M788" s="237"/>
      <c r="N788" s="237"/>
      <c r="O788" s="237"/>
      <c r="P788" s="237"/>
      <c r="Q788" s="237"/>
      <c r="R788" s="237"/>
      <c r="S788" s="237"/>
      <c r="T788" s="237"/>
      <c r="U788" s="237"/>
      <c r="V788" s="237"/>
      <c r="W788" s="237"/>
      <c r="X788" s="237"/>
      <c r="Y788" s="237"/>
      <c r="Z788" s="237"/>
    </row>
    <row r="789" ht="14.25" customHeight="1" spans="1:26">
      <c r="A789" s="237"/>
      <c r="B789" s="237"/>
      <c r="C789" s="237"/>
      <c r="D789" s="237"/>
      <c r="E789" s="237"/>
      <c r="F789" s="237"/>
      <c r="G789" s="237"/>
      <c r="H789" s="237"/>
      <c r="I789" s="237"/>
      <c r="J789" s="237"/>
      <c r="K789" s="237"/>
      <c r="L789" s="237"/>
      <c r="M789" s="237"/>
      <c r="N789" s="237"/>
      <c r="O789" s="237"/>
      <c r="P789" s="237"/>
      <c r="Q789" s="237"/>
      <c r="R789" s="237"/>
      <c r="S789" s="237"/>
      <c r="T789" s="237"/>
      <c r="U789" s="237"/>
      <c r="V789" s="237"/>
      <c r="W789" s="237"/>
      <c r="X789" s="237"/>
      <c r="Y789" s="237"/>
      <c r="Z789" s="237"/>
    </row>
    <row r="790" ht="14.25" customHeight="1" spans="1:26">
      <c r="A790" s="237"/>
      <c r="B790" s="237"/>
      <c r="C790" s="237"/>
      <c r="D790" s="237"/>
      <c r="E790" s="237"/>
      <c r="F790" s="237"/>
      <c r="G790" s="237"/>
      <c r="H790" s="237"/>
      <c r="I790" s="237"/>
      <c r="J790" s="237"/>
      <c r="K790" s="237"/>
      <c r="L790" s="237"/>
      <c r="M790" s="237"/>
      <c r="N790" s="237"/>
      <c r="O790" s="237"/>
      <c r="P790" s="237"/>
      <c r="Q790" s="237"/>
      <c r="R790" s="237"/>
      <c r="S790" s="237"/>
      <c r="T790" s="237"/>
      <c r="U790" s="237"/>
      <c r="V790" s="237"/>
      <c r="W790" s="237"/>
      <c r="X790" s="237"/>
      <c r="Y790" s="237"/>
      <c r="Z790" s="237"/>
    </row>
    <row r="791" ht="14.25" customHeight="1" spans="1:26">
      <c r="A791" s="237"/>
      <c r="B791" s="237"/>
      <c r="C791" s="237"/>
      <c r="D791" s="237"/>
      <c r="E791" s="237"/>
      <c r="F791" s="237"/>
      <c r="G791" s="237"/>
      <c r="H791" s="237"/>
      <c r="I791" s="237"/>
      <c r="J791" s="237"/>
      <c r="K791" s="237"/>
      <c r="L791" s="237"/>
      <c r="M791" s="237"/>
      <c r="N791" s="237"/>
      <c r="O791" s="237"/>
      <c r="P791" s="237"/>
      <c r="Q791" s="237"/>
      <c r="R791" s="237"/>
      <c r="S791" s="237"/>
      <c r="T791" s="237"/>
      <c r="U791" s="237"/>
      <c r="V791" s="237"/>
      <c r="W791" s="237"/>
      <c r="X791" s="237"/>
      <c r="Y791" s="237"/>
      <c r="Z791" s="237"/>
    </row>
    <row r="792" ht="14.25" customHeight="1" spans="1:26">
      <c r="A792" s="237"/>
      <c r="B792" s="237"/>
      <c r="C792" s="237"/>
      <c r="D792" s="237"/>
      <c r="E792" s="237"/>
      <c r="F792" s="237"/>
      <c r="G792" s="237"/>
      <c r="H792" s="237"/>
      <c r="I792" s="237"/>
      <c r="J792" s="237"/>
      <c r="K792" s="237"/>
      <c r="L792" s="237"/>
      <c r="M792" s="237"/>
      <c r="N792" s="237"/>
      <c r="O792" s="237"/>
      <c r="P792" s="237"/>
      <c r="Q792" s="237"/>
      <c r="R792" s="237"/>
      <c r="S792" s="237"/>
      <c r="T792" s="237"/>
      <c r="U792" s="237"/>
      <c r="V792" s="237"/>
      <c r="W792" s="237"/>
      <c r="X792" s="237"/>
      <c r="Y792" s="237"/>
      <c r="Z792" s="237"/>
    </row>
    <row r="793" ht="14.25" customHeight="1" spans="1:26">
      <c r="A793" s="237"/>
      <c r="B793" s="237"/>
      <c r="C793" s="237"/>
      <c r="D793" s="237"/>
      <c r="E793" s="237"/>
      <c r="F793" s="237"/>
      <c r="G793" s="237"/>
      <c r="H793" s="237"/>
      <c r="I793" s="237"/>
      <c r="J793" s="237"/>
      <c r="K793" s="237"/>
      <c r="L793" s="237"/>
      <c r="M793" s="237"/>
      <c r="N793" s="237"/>
      <c r="O793" s="237"/>
      <c r="P793" s="237"/>
      <c r="Q793" s="237"/>
      <c r="R793" s="237"/>
      <c r="S793" s="237"/>
      <c r="T793" s="237"/>
      <c r="U793" s="237"/>
      <c r="V793" s="237"/>
      <c r="W793" s="237"/>
      <c r="X793" s="237"/>
      <c r="Y793" s="237"/>
      <c r="Z793" s="237"/>
    </row>
    <row r="794" ht="14.25" customHeight="1" spans="1:26">
      <c r="A794" s="237"/>
      <c r="B794" s="237"/>
      <c r="C794" s="237"/>
      <c r="D794" s="237"/>
      <c r="E794" s="237"/>
      <c r="F794" s="237"/>
      <c r="G794" s="237"/>
      <c r="H794" s="237"/>
      <c r="I794" s="237"/>
      <c r="J794" s="237"/>
      <c r="K794" s="237"/>
      <c r="L794" s="237"/>
      <c r="M794" s="237"/>
      <c r="N794" s="237"/>
      <c r="O794" s="237"/>
      <c r="P794" s="237"/>
      <c r="Q794" s="237"/>
      <c r="R794" s="237"/>
      <c r="S794" s="237"/>
      <c r="T794" s="237"/>
      <c r="U794" s="237"/>
      <c r="V794" s="237"/>
      <c r="W794" s="237"/>
      <c r="X794" s="237"/>
      <c r="Y794" s="237"/>
      <c r="Z794" s="237"/>
    </row>
    <row r="795" ht="14.25" customHeight="1" spans="1:26">
      <c r="A795" s="237"/>
      <c r="B795" s="237"/>
      <c r="C795" s="237"/>
      <c r="D795" s="237"/>
      <c r="E795" s="237"/>
      <c r="F795" s="237"/>
      <c r="G795" s="237"/>
      <c r="H795" s="237"/>
      <c r="I795" s="237"/>
      <c r="J795" s="237"/>
      <c r="K795" s="237"/>
      <c r="L795" s="237"/>
      <c r="M795" s="237"/>
      <c r="N795" s="237"/>
      <c r="O795" s="237"/>
      <c r="P795" s="237"/>
      <c r="Q795" s="237"/>
      <c r="R795" s="237"/>
      <c r="S795" s="237"/>
      <c r="T795" s="237"/>
      <c r="U795" s="237"/>
      <c r="V795" s="237"/>
      <c r="W795" s="237"/>
      <c r="X795" s="237"/>
      <c r="Y795" s="237"/>
      <c r="Z795" s="237"/>
    </row>
    <row r="796" ht="14.25" customHeight="1" spans="1:26">
      <c r="A796" s="237"/>
      <c r="B796" s="237"/>
      <c r="C796" s="237"/>
      <c r="D796" s="237"/>
      <c r="E796" s="237"/>
      <c r="F796" s="237"/>
      <c r="G796" s="237"/>
      <c r="H796" s="237"/>
      <c r="I796" s="237"/>
      <c r="J796" s="237"/>
      <c r="K796" s="237"/>
      <c r="L796" s="237"/>
      <c r="M796" s="237"/>
      <c r="N796" s="237"/>
      <c r="O796" s="237"/>
      <c r="P796" s="237"/>
      <c r="Q796" s="237"/>
      <c r="R796" s="237"/>
      <c r="S796" s="237"/>
      <c r="T796" s="237"/>
      <c r="U796" s="237"/>
      <c r="V796" s="237"/>
      <c r="W796" s="237"/>
      <c r="X796" s="237"/>
      <c r="Y796" s="237"/>
      <c r="Z796" s="237"/>
    </row>
    <row r="797" ht="14.25" customHeight="1" spans="1:26">
      <c r="A797" s="237"/>
      <c r="B797" s="237"/>
      <c r="C797" s="237"/>
      <c r="D797" s="237"/>
      <c r="E797" s="237"/>
      <c r="F797" s="237"/>
      <c r="G797" s="237"/>
      <c r="H797" s="237"/>
      <c r="I797" s="237"/>
      <c r="J797" s="237"/>
      <c r="K797" s="237"/>
      <c r="L797" s="237"/>
      <c r="M797" s="237"/>
      <c r="N797" s="237"/>
      <c r="O797" s="237"/>
      <c r="P797" s="237"/>
      <c r="Q797" s="237"/>
      <c r="R797" s="237"/>
      <c r="S797" s="237"/>
      <c r="T797" s="237"/>
      <c r="U797" s="237"/>
      <c r="V797" s="237"/>
      <c r="W797" s="237"/>
      <c r="X797" s="237"/>
      <c r="Y797" s="237"/>
      <c r="Z797" s="237"/>
    </row>
    <row r="798" ht="14.25" customHeight="1" spans="1:26">
      <c r="A798" s="237"/>
      <c r="B798" s="237"/>
      <c r="C798" s="237"/>
      <c r="D798" s="237"/>
      <c r="E798" s="237"/>
      <c r="F798" s="237"/>
      <c r="G798" s="237"/>
      <c r="H798" s="237"/>
      <c r="I798" s="237"/>
      <c r="J798" s="237"/>
      <c r="K798" s="237"/>
      <c r="L798" s="237"/>
      <c r="M798" s="237"/>
      <c r="N798" s="237"/>
      <c r="O798" s="237"/>
      <c r="P798" s="237"/>
      <c r="Q798" s="237"/>
      <c r="R798" s="237"/>
      <c r="S798" s="237"/>
      <c r="T798" s="237"/>
      <c r="U798" s="237"/>
      <c r="V798" s="237"/>
      <c r="W798" s="237"/>
      <c r="X798" s="237"/>
      <c r="Y798" s="237"/>
      <c r="Z798" s="237"/>
    </row>
    <row r="799" ht="14.25" customHeight="1" spans="1:26">
      <c r="A799" s="237"/>
      <c r="B799" s="237"/>
      <c r="C799" s="237"/>
      <c r="D799" s="237"/>
      <c r="E799" s="237"/>
      <c r="F799" s="237"/>
      <c r="G799" s="237"/>
      <c r="H799" s="237"/>
      <c r="I799" s="237"/>
      <c r="J799" s="237"/>
      <c r="K799" s="237"/>
      <c r="L799" s="237"/>
      <c r="M799" s="237"/>
      <c r="N799" s="237"/>
      <c r="O799" s="237"/>
      <c r="P799" s="237"/>
      <c r="Q799" s="237"/>
      <c r="R799" s="237"/>
      <c r="S799" s="237"/>
      <c r="T799" s="237"/>
      <c r="U799" s="237"/>
      <c r="V799" s="237"/>
      <c r="W799" s="237"/>
      <c r="X799" s="237"/>
      <c r="Y799" s="237"/>
      <c r="Z799" s="237"/>
    </row>
    <row r="800" ht="14.25" customHeight="1" spans="1:26">
      <c r="A800" s="237"/>
      <c r="B800" s="237"/>
      <c r="C800" s="237"/>
      <c r="D800" s="237"/>
      <c r="E800" s="237"/>
      <c r="F800" s="237"/>
      <c r="G800" s="237"/>
      <c r="H800" s="237"/>
      <c r="I800" s="237"/>
      <c r="J800" s="237"/>
      <c r="K800" s="237"/>
      <c r="L800" s="237"/>
      <c r="M800" s="237"/>
      <c r="N800" s="237"/>
      <c r="O800" s="237"/>
      <c r="P800" s="237"/>
      <c r="Q800" s="237"/>
      <c r="R800" s="237"/>
      <c r="S800" s="237"/>
      <c r="T800" s="237"/>
      <c r="U800" s="237"/>
      <c r="V800" s="237"/>
      <c r="W800" s="237"/>
      <c r="X800" s="237"/>
      <c r="Y800" s="237"/>
      <c r="Z800" s="237"/>
    </row>
    <row r="801" ht="14.25" customHeight="1" spans="1:26">
      <c r="A801" s="237"/>
      <c r="B801" s="237"/>
      <c r="C801" s="237"/>
      <c r="D801" s="237"/>
      <c r="E801" s="237"/>
      <c r="F801" s="237"/>
      <c r="G801" s="237"/>
      <c r="H801" s="237"/>
      <c r="I801" s="237"/>
      <c r="J801" s="237"/>
      <c r="K801" s="237"/>
      <c r="L801" s="237"/>
      <c r="M801" s="237"/>
      <c r="N801" s="237"/>
      <c r="O801" s="237"/>
      <c r="P801" s="237"/>
      <c r="Q801" s="237"/>
      <c r="R801" s="237"/>
      <c r="S801" s="237"/>
      <c r="T801" s="237"/>
      <c r="U801" s="237"/>
      <c r="V801" s="237"/>
      <c r="W801" s="237"/>
      <c r="X801" s="237"/>
      <c r="Y801" s="237"/>
      <c r="Z801" s="237"/>
    </row>
    <row r="802" ht="14.25" customHeight="1" spans="1:26">
      <c r="A802" s="237"/>
      <c r="B802" s="237"/>
      <c r="C802" s="237"/>
      <c r="D802" s="237"/>
      <c r="E802" s="237"/>
      <c r="F802" s="237"/>
      <c r="G802" s="237"/>
      <c r="H802" s="237"/>
      <c r="I802" s="237"/>
      <c r="J802" s="237"/>
      <c r="K802" s="237"/>
      <c r="L802" s="237"/>
      <c r="M802" s="237"/>
      <c r="N802" s="237"/>
      <c r="O802" s="237"/>
      <c r="P802" s="237"/>
      <c r="Q802" s="237"/>
      <c r="R802" s="237"/>
      <c r="S802" s="237"/>
      <c r="T802" s="237"/>
      <c r="U802" s="237"/>
      <c r="V802" s="237"/>
      <c r="W802" s="237"/>
      <c r="X802" s="237"/>
      <c r="Y802" s="237"/>
      <c r="Z802" s="237"/>
    </row>
    <row r="803" ht="14.25" customHeight="1" spans="1:26">
      <c r="A803" s="237"/>
      <c r="B803" s="237"/>
      <c r="C803" s="237"/>
      <c r="D803" s="237"/>
      <c r="E803" s="237"/>
      <c r="F803" s="237"/>
      <c r="G803" s="237"/>
      <c r="H803" s="237"/>
      <c r="I803" s="237"/>
      <c r="J803" s="237"/>
      <c r="K803" s="237"/>
      <c r="L803" s="237"/>
      <c r="M803" s="237"/>
      <c r="N803" s="237"/>
      <c r="O803" s="237"/>
      <c r="P803" s="237"/>
      <c r="Q803" s="237"/>
      <c r="R803" s="237"/>
      <c r="S803" s="237"/>
      <c r="T803" s="237"/>
      <c r="U803" s="237"/>
      <c r="V803" s="237"/>
      <c r="W803" s="237"/>
      <c r="X803" s="237"/>
      <c r="Y803" s="237"/>
      <c r="Z803" s="237"/>
    </row>
    <row r="804" ht="14.25" customHeight="1" spans="1:26">
      <c r="A804" s="237"/>
      <c r="B804" s="237"/>
      <c r="C804" s="237"/>
      <c r="D804" s="237"/>
      <c r="E804" s="237"/>
      <c r="F804" s="237"/>
      <c r="G804" s="237"/>
      <c r="H804" s="237"/>
      <c r="I804" s="237"/>
      <c r="J804" s="237"/>
      <c r="K804" s="237"/>
      <c r="L804" s="237"/>
      <c r="M804" s="237"/>
      <c r="N804" s="237"/>
      <c r="O804" s="237"/>
      <c r="P804" s="237"/>
      <c r="Q804" s="237"/>
      <c r="R804" s="237"/>
      <c r="S804" s="237"/>
      <c r="T804" s="237"/>
      <c r="U804" s="237"/>
      <c r="V804" s="237"/>
      <c r="W804" s="237"/>
      <c r="X804" s="237"/>
      <c r="Y804" s="237"/>
      <c r="Z804" s="237"/>
    </row>
    <row r="805" ht="14.25" customHeight="1" spans="1:26">
      <c r="A805" s="237"/>
      <c r="B805" s="237"/>
      <c r="C805" s="237"/>
      <c r="D805" s="237"/>
      <c r="E805" s="237"/>
      <c r="F805" s="237"/>
      <c r="G805" s="237"/>
      <c r="H805" s="237"/>
      <c r="I805" s="237"/>
      <c r="J805" s="237"/>
      <c r="K805" s="237"/>
      <c r="L805" s="237"/>
      <c r="M805" s="237"/>
      <c r="N805" s="237"/>
      <c r="O805" s="237"/>
      <c r="P805" s="237"/>
      <c r="Q805" s="237"/>
      <c r="R805" s="237"/>
      <c r="S805" s="237"/>
      <c r="T805" s="237"/>
      <c r="U805" s="237"/>
      <c r="V805" s="237"/>
      <c r="W805" s="237"/>
      <c r="X805" s="237"/>
      <c r="Y805" s="237"/>
      <c r="Z805" s="237"/>
    </row>
    <row r="806" ht="14.25" customHeight="1" spans="1:26">
      <c r="A806" s="237"/>
      <c r="B806" s="237"/>
      <c r="C806" s="237"/>
      <c r="D806" s="237"/>
      <c r="E806" s="237"/>
      <c r="F806" s="237"/>
      <c r="G806" s="237"/>
      <c r="H806" s="237"/>
      <c r="I806" s="237"/>
      <c r="J806" s="237"/>
      <c r="K806" s="237"/>
      <c r="L806" s="237"/>
      <c r="M806" s="237"/>
      <c r="N806" s="237"/>
      <c r="O806" s="237"/>
      <c r="P806" s="237"/>
      <c r="Q806" s="237"/>
      <c r="R806" s="237"/>
      <c r="S806" s="237"/>
      <c r="T806" s="237"/>
      <c r="U806" s="237"/>
      <c r="V806" s="237"/>
      <c r="W806" s="237"/>
      <c r="X806" s="237"/>
      <c r="Y806" s="237"/>
      <c r="Z806" s="237"/>
    </row>
    <row r="807" ht="14.25" customHeight="1" spans="1:26">
      <c r="A807" s="237"/>
      <c r="B807" s="237"/>
      <c r="C807" s="237"/>
      <c r="D807" s="237"/>
      <c r="E807" s="237"/>
      <c r="F807" s="237"/>
      <c r="G807" s="237"/>
      <c r="H807" s="237"/>
      <c r="I807" s="237"/>
      <c r="J807" s="237"/>
      <c r="K807" s="237"/>
      <c r="L807" s="237"/>
      <c r="M807" s="237"/>
      <c r="N807" s="237"/>
      <c r="O807" s="237"/>
      <c r="P807" s="237"/>
      <c r="Q807" s="237"/>
      <c r="R807" s="237"/>
      <c r="S807" s="237"/>
      <c r="T807" s="237"/>
      <c r="U807" s="237"/>
      <c r="V807" s="237"/>
      <c r="W807" s="237"/>
      <c r="X807" s="237"/>
      <c r="Y807" s="237"/>
      <c r="Z807" s="237"/>
    </row>
    <row r="808" ht="14.25" customHeight="1" spans="1:26">
      <c r="A808" s="237"/>
      <c r="B808" s="237"/>
      <c r="C808" s="237"/>
      <c r="D808" s="237"/>
      <c r="E808" s="237"/>
      <c r="F808" s="237"/>
      <c r="G808" s="237"/>
      <c r="H808" s="237"/>
      <c r="I808" s="237"/>
      <c r="J808" s="237"/>
      <c r="K808" s="237"/>
      <c r="L808" s="237"/>
      <c r="M808" s="237"/>
      <c r="N808" s="237"/>
      <c r="O808" s="237"/>
      <c r="P808" s="237"/>
      <c r="Q808" s="237"/>
      <c r="R808" s="237"/>
      <c r="S808" s="237"/>
      <c r="T808" s="237"/>
      <c r="U808" s="237"/>
      <c r="V808" s="237"/>
      <c r="W808" s="237"/>
      <c r="X808" s="237"/>
      <c r="Y808" s="237"/>
      <c r="Z808" s="237"/>
    </row>
    <row r="809" ht="14.25" customHeight="1" spans="1:26">
      <c r="A809" s="237"/>
      <c r="B809" s="237"/>
      <c r="C809" s="237"/>
      <c r="D809" s="237"/>
      <c r="E809" s="237"/>
      <c r="F809" s="237"/>
      <c r="G809" s="237"/>
      <c r="H809" s="237"/>
      <c r="I809" s="237"/>
      <c r="J809" s="237"/>
      <c r="K809" s="237"/>
      <c r="L809" s="237"/>
      <c r="M809" s="237"/>
      <c r="N809" s="237"/>
      <c r="O809" s="237"/>
      <c r="P809" s="237"/>
      <c r="Q809" s="237"/>
      <c r="R809" s="237"/>
      <c r="S809" s="237"/>
      <c r="T809" s="237"/>
      <c r="U809" s="237"/>
      <c r="V809" s="237"/>
      <c r="W809" s="237"/>
      <c r="X809" s="237"/>
      <c r="Y809" s="237"/>
      <c r="Z809" s="237"/>
    </row>
    <row r="810" ht="14.25" customHeight="1" spans="1:26">
      <c r="A810" s="237"/>
      <c r="B810" s="237"/>
      <c r="C810" s="237"/>
      <c r="D810" s="237"/>
      <c r="E810" s="237"/>
      <c r="F810" s="237"/>
      <c r="G810" s="237"/>
      <c r="H810" s="237"/>
      <c r="I810" s="237"/>
      <c r="J810" s="237"/>
      <c r="K810" s="237"/>
      <c r="L810" s="237"/>
      <c r="M810" s="237"/>
      <c r="N810" s="237"/>
      <c r="O810" s="237"/>
      <c r="P810" s="237"/>
      <c r="Q810" s="237"/>
      <c r="R810" s="237"/>
      <c r="S810" s="237"/>
      <c r="T810" s="237"/>
      <c r="U810" s="237"/>
      <c r="V810" s="237"/>
      <c r="W810" s="237"/>
      <c r="X810" s="237"/>
      <c r="Y810" s="237"/>
      <c r="Z810" s="237"/>
    </row>
    <row r="811" ht="14.25" customHeight="1" spans="1:26">
      <c r="A811" s="237"/>
      <c r="B811" s="237"/>
      <c r="C811" s="237"/>
      <c r="D811" s="237"/>
      <c r="E811" s="237"/>
      <c r="F811" s="237"/>
      <c r="G811" s="237"/>
      <c r="H811" s="237"/>
      <c r="I811" s="237"/>
      <c r="J811" s="237"/>
      <c r="K811" s="237"/>
      <c r="L811" s="237"/>
      <c r="M811" s="237"/>
      <c r="N811" s="237"/>
      <c r="O811" s="237"/>
      <c r="P811" s="237"/>
      <c r="Q811" s="237"/>
      <c r="R811" s="237"/>
      <c r="S811" s="237"/>
      <c r="T811" s="237"/>
      <c r="U811" s="237"/>
      <c r="V811" s="237"/>
      <c r="W811" s="237"/>
      <c r="X811" s="237"/>
      <c r="Y811" s="237"/>
      <c r="Z811" s="237"/>
    </row>
    <row r="812" ht="14.25" customHeight="1" spans="1:26">
      <c r="A812" s="237"/>
      <c r="B812" s="237"/>
      <c r="C812" s="237"/>
      <c r="D812" s="237"/>
      <c r="E812" s="237"/>
      <c r="F812" s="237"/>
      <c r="G812" s="237"/>
      <c r="H812" s="237"/>
      <c r="I812" s="237"/>
      <c r="J812" s="237"/>
      <c r="K812" s="237"/>
      <c r="L812" s="237"/>
      <c r="M812" s="237"/>
      <c r="N812" s="237"/>
      <c r="O812" s="237"/>
      <c r="P812" s="237"/>
      <c r="Q812" s="237"/>
      <c r="R812" s="237"/>
      <c r="S812" s="237"/>
      <c r="T812" s="237"/>
      <c r="U812" s="237"/>
      <c r="V812" s="237"/>
      <c r="W812" s="237"/>
      <c r="X812" s="237"/>
      <c r="Y812" s="237"/>
      <c r="Z812" s="237"/>
    </row>
    <row r="813" ht="14.25" customHeight="1" spans="1:26">
      <c r="A813" s="237"/>
      <c r="B813" s="237"/>
      <c r="C813" s="237"/>
      <c r="D813" s="237"/>
      <c r="E813" s="237"/>
      <c r="F813" s="237"/>
      <c r="G813" s="237"/>
      <c r="H813" s="237"/>
      <c r="I813" s="237"/>
      <c r="J813" s="237"/>
      <c r="K813" s="237"/>
      <c r="L813" s="237"/>
      <c r="M813" s="237"/>
      <c r="N813" s="237"/>
      <c r="O813" s="237"/>
      <c r="P813" s="237"/>
      <c r="Q813" s="237"/>
      <c r="R813" s="237"/>
      <c r="S813" s="237"/>
      <c r="T813" s="237"/>
      <c r="U813" s="237"/>
      <c r="V813" s="237"/>
      <c r="W813" s="237"/>
      <c r="X813" s="237"/>
      <c r="Y813" s="237"/>
      <c r="Z813" s="237"/>
    </row>
    <row r="814" ht="14.25" customHeight="1" spans="1:26">
      <c r="A814" s="237"/>
      <c r="B814" s="237"/>
      <c r="C814" s="237"/>
      <c r="D814" s="237"/>
      <c r="E814" s="237"/>
      <c r="F814" s="237"/>
      <c r="G814" s="237"/>
      <c r="H814" s="237"/>
      <c r="I814" s="237"/>
      <c r="J814" s="237"/>
      <c r="K814" s="237"/>
      <c r="L814" s="237"/>
      <c r="M814" s="237"/>
      <c r="N814" s="237"/>
      <c r="O814" s="237"/>
      <c r="P814" s="237"/>
      <c r="Q814" s="237"/>
      <c r="R814" s="237"/>
      <c r="S814" s="237"/>
      <c r="T814" s="237"/>
      <c r="U814" s="237"/>
      <c r="V814" s="237"/>
      <c r="W814" s="237"/>
      <c r="X814" s="237"/>
      <c r="Y814" s="237"/>
      <c r="Z814" s="237"/>
    </row>
    <row r="815" ht="14.25" customHeight="1" spans="1:26">
      <c r="A815" s="237"/>
      <c r="B815" s="237"/>
      <c r="C815" s="237"/>
      <c r="D815" s="237"/>
      <c r="E815" s="237"/>
      <c r="F815" s="237"/>
      <c r="G815" s="237"/>
      <c r="H815" s="237"/>
      <c r="I815" s="237"/>
      <c r="J815" s="237"/>
      <c r="K815" s="237"/>
      <c r="L815" s="237"/>
      <c r="M815" s="237"/>
      <c r="N815" s="237"/>
      <c r="O815" s="237"/>
      <c r="P815" s="237"/>
      <c r="Q815" s="237"/>
      <c r="R815" s="237"/>
      <c r="S815" s="237"/>
      <c r="T815" s="237"/>
      <c r="U815" s="237"/>
      <c r="V815" s="237"/>
      <c r="W815" s="237"/>
      <c r="X815" s="237"/>
      <c r="Y815" s="237"/>
      <c r="Z815" s="237"/>
    </row>
    <row r="816" ht="14.25" customHeight="1" spans="1:26">
      <c r="A816" s="237"/>
      <c r="B816" s="237"/>
      <c r="C816" s="237"/>
      <c r="D816" s="237"/>
      <c r="E816" s="237"/>
      <c r="F816" s="237"/>
      <c r="G816" s="237"/>
      <c r="H816" s="237"/>
      <c r="I816" s="237"/>
      <c r="J816" s="237"/>
      <c r="K816" s="237"/>
      <c r="L816" s="237"/>
      <c r="M816" s="237"/>
      <c r="N816" s="237"/>
      <c r="O816" s="237"/>
      <c r="P816" s="237"/>
      <c r="Q816" s="237"/>
      <c r="R816" s="237"/>
      <c r="S816" s="237"/>
      <c r="T816" s="237"/>
      <c r="U816" s="237"/>
      <c r="V816" s="237"/>
      <c r="W816" s="237"/>
      <c r="X816" s="237"/>
      <c r="Y816" s="237"/>
      <c r="Z816" s="237"/>
    </row>
    <row r="817" ht="14.25" customHeight="1" spans="1:26">
      <c r="A817" s="237"/>
      <c r="B817" s="237"/>
      <c r="C817" s="237"/>
      <c r="D817" s="237"/>
      <c r="E817" s="237"/>
      <c r="F817" s="237"/>
      <c r="G817" s="237"/>
      <c r="H817" s="237"/>
      <c r="I817" s="237"/>
      <c r="J817" s="237"/>
      <c r="K817" s="237"/>
      <c r="L817" s="237"/>
      <c r="M817" s="237"/>
      <c r="N817" s="237"/>
      <c r="O817" s="237"/>
      <c r="P817" s="237"/>
      <c r="Q817" s="237"/>
      <c r="R817" s="237"/>
      <c r="S817" s="237"/>
      <c r="T817" s="237"/>
      <c r="U817" s="237"/>
      <c r="V817" s="237"/>
      <c r="W817" s="237"/>
      <c r="X817" s="237"/>
      <c r="Y817" s="237"/>
      <c r="Z817" s="237"/>
    </row>
    <row r="818" ht="14.25" customHeight="1" spans="1:26">
      <c r="A818" s="237"/>
      <c r="B818" s="237"/>
      <c r="C818" s="237"/>
      <c r="D818" s="237"/>
      <c r="E818" s="237"/>
      <c r="F818" s="237"/>
      <c r="G818" s="237"/>
      <c r="H818" s="237"/>
      <c r="I818" s="237"/>
      <c r="J818" s="237"/>
      <c r="K818" s="237"/>
      <c r="L818" s="237"/>
      <c r="M818" s="237"/>
      <c r="N818" s="237"/>
      <c r="O818" s="237"/>
      <c r="P818" s="237"/>
      <c r="Q818" s="237"/>
      <c r="R818" s="237"/>
      <c r="S818" s="237"/>
      <c r="T818" s="237"/>
      <c r="U818" s="237"/>
      <c r="V818" s="237"/>
      <c r="W818" s="237"/>
      <c r="X818" s="237"/>
      <c r="Y818" s="237"/>
      <c r="Z818" s="237"/>
    </row>
    <row r="819" ht="14.25" customHeight="1" spans="1:26">
      <c r="A819" s="237"/>
      <c r="B819" s="237"/>
      <c r="C819" s="237"/>
      <c r="D819" s="237"/>
      <c r="E819" s="237"/>
      <c r="F819" s="237"/>
      <c r="G819" s="237"/>
      <c r="H819" s="237"/>
      <c r="I819" s="237"/>
      <c r="J819" s="237"/>
      <c r="K819" s="237"/>
      <c r="L819" s="237"/>
      <c r="M819" s="237"/>
      <c r="N819" s="237"/>
      <c r="O819" s="237"/>
      <c r="P819" s="237"/>
      <c r="Q819" s="237"/>
      <c r="R819" s="237"/>
      <c r="S819" s="237"/>
      <c r="T819" s="237"/>
      <c r="U819" s="237"/>
      <c r="V819" s="237"/>
      <c r="W819" s="237"/>
      <c r="X819" s="237"/>
      <c r="Y819" s="237"/>
      <c r="Z819" s="237"/>
    </row>
    <row r="820" ht="14.25" customHeight="1" spans="1:26">
      <c r="A820" s="237"/>
      <c r="B820" s="237"/>
      <c r="C820" s="237"/>
      <c r="D820" s="237"/>
      <c r="E820" s="237"/>
      <c r="F820" s="237"/>
      <c r="G820" s="237"/>
      <c r="H820" s="237"/>
      <c r="I820" s="237"/>
      <c r="J820" s="237"/>
      <c r="K820" s="237"/>
      <c r="L820" s="237"/>
      <c r="M820" s="237"/>
      <c r="N820" s="237"/>
      <c r="O820" s="237"/>
      <c r="P820" s="237"/>
      <c r="Q820" s="237"/>
      <c r="R820" s="237"/>
      <c r="S820" s="237"/>
      <c r="T820" s="237"/>
      <c r="U820" s="237"/>
      <c r="V820" s="237"/>
      <c r="W820" s="237"/>
      <c r="X820" s="237"/>
      <c r="Y820" s="237"/>
      <c r="Z820" s="237"/>
    </row>
    <row r="821" ht="14.25" customHeight="1" spans="1:26">
      <c r="A821" s="237"/>
      <c r="B821" s="237"/>
      <c r="C821" s="237"/>
      <c r="D821" s="237"/>
      <c r="E821" s="237"/>
      <c r="F821" s="237"/>
      <c r="G821" s="237"/>
      <c r="H821" s="237"/>
      <c r="I821" s="237"/>
      <c r="J821" s="237"/>
      <c r="K821" s="237"/>
      <c r="L821" s="237"/>
      <c r="M821" s="237"/>
      <c r="N821" s="237"/>
      <c r="O821" s="237"/>
      <c r="P821" s="237"/>
      <c r="Q821" s="237"/>
      <c r="R821" s="237"/>
      <c r="S821" s="237"/>
      <c r="T821" s="237"/>
      <c r="U821" s="237"/>
      <c r="V821" s="237"/>
      <c r="W821" s="237"/>
      <c r="X821" s="237"/>
      <c r="Y821" s="237"/>
      <c r="Z821" s="237"/>
    </row>
    <row r="822" ht="14.25" customHeight="1" spans="1:26">
      <c r="A822" s="237"/>
      <c r="B822" s="237"/>
      <c r="C822" s="237"/>
      <c r="D822" s="237"/>
      <c r="E822" s="237"/>
      <c r="F822" s="237"/>
      <c r="G822" s="237"/>
      <c r="H822" s="237"/>
      <c r="I822" s="237"/>
      <c r="J822" s="237"/>
      <c r="K822" s="237"/>
      <c r="L822" s="237"/>
      <c r="M822" s="237"/>
      <c r="N822" s="237"/>
      <c r="O822" s="237"/>
      <c r="P822" s="237"/>
      <c r="Q822" s="237"/>
      <c r="R822" s="237"/>
      <c r="S822" s="237"/>
      <c r="T822" s="237"/>
      <c r="U822" s="237"/>
      <c r="V822" s="237"/>
      <c r="W822" s="237"/>
      <c r="X822" s="237"/>
      <c r="Y822" s="237"/>
      <c r="Z822" s="237"/>
    </row>
    <row r="823" ht="14.25" customHeight="1" spans="1:26">
      <c r="A823" s="237"/>
      <c r="B823" s="237"/>
      <c r="C823" s="237"/>
      <c r="D823" s="237"/>
      <c r="E823" s="237"/>
      <c r="F823" s="237"/>
      <c r="G823" s="237"/>
      <c r="H823" s="237"/>
      <c r="I823" s="237"/>
      <c r="J823" s="237"/>
      <c r="K823" s="237"/>
      <c r="L823" s="237"/>
      <c r="M823" s="237"/>
      <c r="N823" s="237"/>
      <c r="O823" s="237"/>
      <c r="P823" s="237"/>
      <c r="Q823" s="237"/>
      <c r="R823" s="237"/>
      <c r="S823" s="237"/>
      <c r="T823" s="237"/>
      <c r="U823" s="237"/>
      <c r="V823" s="237"/>
      <c r="W823" s="237"/>
      <c r="X823" s="237"/>
      <c r="Y823" s="237"/>
      <c r="Z823" s="237"/>
    </row>
    <row r="824" ht="14.25" customHeight="1" spans="1:26">
      <c r="A824" s="237"/>
      <c r="B824" s="237"/>
      <c r="C824" s="237"/>
      <c r="D824" s="237"/>
      <c r="E824" s="237"/>
      <c r="F824" s="237"/>
      <c r="G824" s="237"/>
      <c r="H824" s="237"/>
      <c r="I824" s="237"/>
      <c r="J824" s="237"/>
      <c r="K824" s="237"/>
      <c r="L824" s="237"/>
      <c r="M824" s="237"/>
      <c r="N824" s="237"/>
      <c r="O824" s="237"/>
      <c r="P824" s="237"/>
      <c r="Q824" s="237"/>
      <c r="R824" s="237"/>
      <c r="S824" s="237"/>
      <c r="T824" s="237"/>
      <c r="U824" s="237"/>
      <c r="V824" s="237"/>
      <c r="W824" s="237"/>
      <c r="X824" s="237"/>
      <c r="Y824" s="237"/>
      <c r="Z824" s="237"/>
    </row>
    <row r="825" ht="14.25" customHeight="1" spans="1:26">
      <c r="A825" s="237"/>
      <c r="B825" s="237"/>
      <c r="C825" s="237"/>
      <c r="D825" s="237"/>
      <c r="E825" s="237"/>
      <c r="F825" s="237"/>
      <c r="G825" s="237"/>
      <c r="H825" s="237"/>
      <c r="I825" s="237"/>
      <c r="J825" s="237"/>
      <c r="K825" s="237"/>
      <c r="L825" s="237"/>
      <c r="M825" s="237"/>
      <c r="N825" s="237"/>
      <c r="O825" s="237"/>
      <c r="P825" s="237"/>
      <c r="Q825" s="237"/>
      <c r="R825" s="237"/>
      <c r="S825" s="237"/>
      <c r="T825" s="237"/>
      <c r="U825" s="237"/>
      <c r="V825" s="237"/>
      <c r="W825" s="237"/>
      <c r="X825" s="237"/>
      <c r="Y825" s="237"/>
      <c r="Z825" s="237"/>
    </row>
    <row r="826" ht="14.25" customHeight="1" spans="1:26">
      <c r="A826" s="237"/>
      <c r="B826" s="237"/>
      <c r="C826" s="237"/>
      <c r="D826" s="237"/>
      <c r="E826" s="237"/>
      <c r="F826" s="237"/>
      <c r="G826" s="237"/>
      <c r="H826" s="237"/>
      <c r="I826" s="237"/>
      <c r="J826" s="237"/>
      <c r="K826" s="237"/>
      <c r="L826" s="237"/>
      <c r="M826" s="237"/>
      <c r="N826" s="237"/>
      <c r="O826" s="237"/>
      <c r="P826" s="237"/>
      <c r="Q826" s="237"/>
      <c r="R826" s="237"/>
      <c r="S826" s="237"/>
      <c r="T826" s="237"/>
      <c r="U826" s="237"/>
      <c r="V826" s="237"/>
      <c r="W826" s="237"/>
      <c r="X826" s="237"/>
      <c r="Y826" s="237"/>
      <c r="Z826" s="237"/>
    </row>
    <row r="827" ht="14.25" customHeight="1" spans="1:26">
      <c r="A827" s="237"/>
      <c r="B827" s="237"/>
      <c r="C827" s="237"/>
      <c r="D827" s="237"/>
      <c r="E827" s="237"/>
      <c r="F827" s="237"/>
      <c r="G827" s="237"/>
      <c r="H827" s="237"/>
      <c r="I827" s="237"/>
      <c r="J827" s="237"/>
      <c r="K827" s="237"/>
      <c r="L827" s="237"/>
      <c r="M827" s="237"/>
      <c r="N827" s="237"/>
      <c r="O827" s="237"/>
      <c r="P827" s="237"/>
      <c r="Q827" s="237"/>
      <c r="R827" s="237"/>
      <c r="S827" s="237"/>
      <c r="T827" s="237"/>
      <c r="U827" s="237"/>
      <c r="V827" s="237"/>
      <c r="W827" s="237"/>
      <c r="X827" s="237"/>
      <c r="Y827" s="237"/>
      <c r="Z827" s="237"/>
    </row>
    <row r="828" ht="14.25" customHeight="1" spans="1:26">
      <c r="A828" s="237"/>
      <c r="B828" s="237"/>
      <c r="C828" s="237"/>
      <c r="D828" s="237"/>
      <c r="E828" s="237"/>
      <c r="F828" s="237"/>
      <c r="G828" s="237"/>
      <c r="H828" s="237"/>
      <c r="I828" s="237"/>
      <c r="J828" s="237"/>
      <c r="K828" s="237"/>
      <c r="L828" s="237"/>
      <c r="M828" s="237"/>
      <c r="N828" s="237"/>
      <c r="O828" s="237"/>
      <c r="P828" s="237"/>
      <c r="Q828" s="237"/>
      <c r="R828" s="237"/>
      <c r="S828" s="237"/>
      <c r="T828" s="237"/>
      <c r="U828" s="237"/>
      <c r="V828" s="237"/>
      <c r="W828" s="237"/>
      <c r="X828" s="237"/>
      <c r="Y828" s="237"/>
      <c r="Z828" s="237"/>
    </row>
    <row r="829" ht="14.25" customHeight="1" spans="1:26">
      <c r="A829" s="237"/>
      <c r="B829" s="237"/>
      <c r="C829" s="237"/>
      <c r="D829" s="237"/>
      <c r="E829" s="237"/>
      <c r="F829" s="237"/>
      <c r="G829" s="237"/>
      <c r="H829" s="237"/>
      <c r="I829" s="237"/>
      <c r="J829" s="237"/>
      <c r="K829" s="237"/>
      <c r="L829" s="237"/>
      <c r="M829" s="237"/>
      <c r="N829" s="237"/>
      <c r="O829" s="237"/>
      <c r="P829" s="237"/>
      <c r="Q829" s="237"/>
      <c r="R829" s="237"/>
      <c r="S829" s="237"/>
      <c r="T829" s="237"/>
      <c r="U829" s="237"/>
      <c r="V829" s="237"/>
      <c r="W829" s="237"/>
      <c r="X829" s="237"/>
      <c r="Y829" s="237"/>
      <c r="Z829" s="237"/>
    </row>
    <row r="830" ht="14.25" customHeight="1" spans="1:26">
      <c r="A830" s="237"/>
      <c r="B830" s="237"/>
      <c r="C830" s="237"/>
      <c r="D830" s="237"/>
      <c r="E830" s="237"/>
      <c r="F830" s="237"/>
      <c r="G830" s="237"/>
      <c r="H830" s="237"/>
      <c r="I830" s="237"/>
      <c r="J830" s="237"/>
      <c r="K830" s="237"/>
      <c r="L830" s="237"/>
      <c r="M830" s="237"/>
      <c r="N830" s="237"/>
      <c r="O830" s="237"/>
      <c r="P830" s="237"/>
      <c r="Q830" s="237"/>
      <c r="R830" s="237"/>
      <c r="S830" s="237"/>
      <c r="T830" s="237"/>
      <c r="U830" s="237"/>
      <c r="V830" s="237"/>
      <c r="W830" s="237"/>
      <c r="X830" s="237"/>
      <c r="Y830" s="237"/>
      <c r="Z830" s="237"/>
    </row>
    <row r="831" ht="14.25" customHeight="1" spans="1:26">
      <c r="A831" s="237"/>
      <c r="B831" s="237"/>
      <c r="C831" s="237"/>
      <c r="D831" s="237"/>
      <c r="E831" s="237"/>
      <c r="F831" s="237"/>
      <c r="G831" s="237"/>
      <c r="H831" s="237"/>
      <c r="I831" s="237"/>
      <c r="J831" s="237"/>
      <c r="K831" s="237"/>
      <c r="L831" s="237"/>
      <c r="M831" s="237"/>
      <c r="N831" s="237"/>
      <c r="O831" s="237"/>
      <c r="P831" s="237"/>
      <c r="Q831" s="237"/>
      <c r="R831" s="237"/>
      <c r="S831" s="237"/>
      <c r="T831" s="237"/>
      <c r="U831" s="237"/>
      <c r="V831" s="237"/>
      <c r="W831" s="237"/>
      <c r="X831" s="237"/>
      <c r="Y831" s="237"/>
      <c r="Z831" s="237"/>
    </row>
    <row r="832" ht="14.25" customHeight="1" spans="1:26">
      <c r="A832" s="237"/>
      <c r="B832" s="237"/>
      <c r="C832" s="237"/>
      <c r="D832" s="237"/>
      <c r="E832" s="237"/>
      <c r="F832" s="237"/>
      <c r="G832" s="237"/>
      <c r="H832" s="237"/>
      <c r="I832" s="237"/>
      <c r="J832" s="237"/>
      <c r="K832" s="237"/>
      <c r="L832" s="237"/>
      <c r="M832" s="237"/>
      <c r="N832" s="237"/>
      <c r="O832" s="237"/>
      <c r="P832" s="237"/>
      <c r="Q832" s="237"/>
      <c r="R832" s="237"/>
      <c r="S832" s="237"/>
      <c r="T832" s="237"/>
      <c r="U832" s="237"/>
      <c r="V832" s="237"/>
      <c r="W832" s="237"/>
      <c r="X832" s="237"/>
      <c r="Y832" s="237"/>
      <c r="Z832" s="237"/>
    </row>
    <row r="833" ht="14.25" customHeight="1" spans="1:26">
      <c r="A833" s="237"/>
      <c r="B833" s="237"/>
      <c r="C833" s="237"/>
      <c r="D833" s="237"/>
      <c r="E833" s="237"/>
      <c r="F833" s="237"/>
      <c r="G833" s="237"/>
      <c r="H833" s="237"/>
      <c r="I833" s="237"/>
      <c r="J833" s="237"/>
      <c r="K833" s="237"/>
      <c r="L833" s="237"/>
      <c r="M833" s="237"/>
      <c r="N833" s="237"/>
      <c r="O833" s="237"/>
      <c r="P833" s="237"/>
      <c r="Q833" s="237"/>
      <c r="R833" s="237"/>
      <c r="S833" s="237"/>
      <c r="T833" s="237"/>
      <c r="U833" s="237"/>
      <c r="V833" s="237"/>
      <c r="W833" s="237"/>
      <c r="X833" s="237"/>
      <c r="Y833" s="237"/>
      <c r="Z833" s="237"/>
    </row>
    <row r="834" ht="14.25" customHeight="1" spans="1:26">
      <c r="A834" s="237"/>
      <c r="B834" s="237"/>
      <c r="C834" s="237"/>
      <c r="D834" s="237"/>
      <c r="E834" s="237"/>
      <c r="F834" s="237"/>
      <c r="G834" s="237"/>
      <c r="H834" s="237"/>
      <c r="I834" s="237"/>
      <c r="J834" s="237"/>
      <c r="K834" s="237"/>
      <c r="L834" s="237"/>
      <c r="M834" s="237"/>
      <c r="N834" s="237"/>
      <c r="O834" s="237"/>
      <c r="P834" s="237"/>
      <c r="Q834" s="237"/>
      <c r="R834" s="237"/>
      <c r="S834" s="237"/>
      <c r="T834" s="237"/>
      <c r="U834" s="237"/>
      <c r="V834" s="237"/>
      <c r="W834" s="237"/>
      <c r="X834" s="237"/>
      <c r="Y834" s="237"/>
      <c r="Z834" s="237"/>
    </row>
    <row r="835" ht="14.25" customHeight="1" spans="1:26">
      <c r="A835" s="237"/>
      <c r="B835" s="237"/>
      <c r="C835" s="237"/>
      <c r="D835" s="237"/>
      <c r="E835" s="237"/>
      <c r="F835" s="237"/>
      <c r="G835" s="237"/>
      <c r="H835" s="237"/>
      <c r="I835" s="237"/>
      <c r="J835" s="237"/>
      <c r="K835" s="237"/>
      <c r="L835" s="237"/>
      <c r="M835" s="237"/>
      <c r="N835" s="237"/>
      <c r="O835" s="237"/>
      <c r="P835" s="237"/>
      <c r="Q835" s="237"/>
      <c r="R835" s="237"/>
      <c r="S835" s="237"/>
      <c r="T835" s="237"/>
      <c r="U835" s="237"/>
      <c r="V835" s="237"/>
      <c r="W835" s="237"/>
      <c r="X835" s="237"/>
      <c r="Y835" s="237"/>
      <c r="Z835" s="237"/>
    </row>
    <row r="836" ht="14.25" customHeight="1" spans="1:26">
      <c r="A836" s="237"/>
      <c r="B836" s="237"/>
      <c r="C836" s="237"/>
      <c r="D836" s="237"/>
      <c r="E836" s="237"/>
      <c r="F836" s="237"/>
      <c r="G836" s="237"/>
      <c r="H836" s="237"/>
      <c r="I836" s="237"/>
      <c r="J836" s="237"/>
      <c r="K836" s="237"/>
      <c r="L836" s="237"/>
      <c r="M836" s="237"/>
      <c r="N836" s="237"/>
      <c r="O836" s="237"/>
      <c r="P836" s="237"/>
      <c r="Q836" s="237"/>
      <c r="R836" s="237"/>
      <c r="S836" s="237"/>
      <c r="T836" s="237"/>
      <c r="U836" s="237"/>
      <c r="V836" s="237"/>
      <c r="W836" s="237"/>
      <c r="X836" s="237"/>
      <c r="Y836" s="237"/>
      <c r="Z836" s="237"/>
    </row>
    <row r="837" ht="14.25" customHeight="1" spans="1:26">
      <c r="A837" s="237"/>
      <c r="B837" s="237"/>
      <c r="C837" s="237"/>
      <c r="D837" s="237"/>
      <c r="E837" s="237"/>
      <c r="F837" s="237"/>
      <c r="G837" s="237"/>
      <c r="H837" s="237"/>
      <c r="I837" s="237"/>
      <c r="J837" s="237"/>
      <c r="K837" s="237"/>
      <c r="L837" s="237"/>
      <c r="M837" s="237"/>
      <c r="N837" s="237"/>
      <c r="O837" s="237"/>
      <c r="P837" s="237"/>
      <c r="Q837" s="237"/>
      <c r="R837" s="237"/>
      <c r="S837" s="237"/>
      <c r="T837" s="237"/>
      <c r="U837" s="237"/>
      <c r="V837" s="237"/>
      <c r="W837" s="237"/>
      <c r="X837" s="237"/>
      <c r="Y837" s="237"/>
      <c r="Z837" s="237"/>
    </row>
    <row r="838" ht="14.25" customHeight="1" spans="1:26">
      <c r="A838" s="237"/>
      <c r="B838" s="237"/>
      <c r="C838" s="237"/>
      <c r="D838" s="237"/>
      <c r="E838" s="237"/>
      <c r="F838" s="237"/>
      <c r="G838" s="237"/>
      <c r="H838" s="237"/>
      <c r="I838" s="237"/>
      <c r="J838" s="237"/>
      <c r="K838" s="237"/>
      <c r="L838" s="237"/>
      <c r="M838" s="237"/>
      <c r="N838" s="237"/>
      <c r="O838" s="237"/>
      <c r="P838" s="237"/>
      <c r="Q838" s="237"/>
      <c r="R838" s="237"/>
      <c r="S838" s="237"/>
      <c r="T838" s="237"/>
      <c r="U838" s="237"/>
      <c r="V838" s="237"/>
      <c r="W838" s="237"/>
      <c r="X838" s="237"/>
      <c r="Y838" s="237"/>
      <c r="Z838" s="237"/>
    </row>
    <row r="839" ht="14.25" customHeight="1" spans="1:26">
      <c r="A839" s="237"/>
      <c r="B839" s="237"/>
      <c r="C839" s="237"/>
      <c r="D839" s="237"/>
      <c r="E839" s="237"/>
      <c r="F839" s="237"/>
      <c r="G839" s="237"/>
      <c r="H839" s="237"/>
      <c r="I839" s="237"/>
      <c r="J839" s="237"/>
      <c r="K839" s="237"/>
      <c r="L839" s="237"/>
      <c r="M839" s="237"/>
      <c r="N839" s="237"/>
      <c r="O839" s="237"/>
      <c r="P839" s="237"/>
      <c r="Q839" s="237"/>
      <c r="R839" s="237"/>
      <c r="S839" s="237"/>
      <c r="T839" s="237"/>
      <c r="U839" s="237"/>
      <c r="V839" s="237"/>
      <c r="W839" s="237"/>
      <c r="X839" s="237"/>
      <c r="Y839" s="237"/>
      <c r="Z839" s="237"/>
    </row>
    <row r="840" ht="14.25" customHeight="1" spans="1:26">
      <c r="A840" s="237"/>
      <c r="B840" s="237"/>
      <c r="C840" s="237"/>
      <c r="D840" s="237"/>
      <c r="E840" s="237"/>
      <c r="F840" s="237"/>
      <c r="G840" s="237"/>
      <c r="H840" s="237"/>
      <c r="I840" s="237"/>
      <c r="J840" s="237"/>
      <c r="K840" s="237"/>
      <c r="L840" s="237"/>
      <c r="M840" s="237"/>
      <c r="N840" s="237"/>
      <c r="O840" s="237"/>
      <c r="P840" s="237"/>
      <c r="Q840" s="237"/>
      <c r="R840" s="237"/>
      <c r="S840" s="237"/>
      <c r="T840" s="237"/>
      <c r="U840" s="237"/>
      <c r="V840" s="237"/>
      <c r="W840" s="237"/>
      <c r="X840" s="237"/>
      <c r="Y840" s="237"/>
      <c r="Z840" s="237"/>
    </row>
    <row r="841" ht="14.25" customHeight="1" spans="1:26">
      <c r="A841" s="237"/>
      <c r="B841" s="237"/>
      <c r="C841" s="237"/>
      <c r="D841" s="237"/>
      <c r="E841" s="237"/>
      <c r="F841" s="237"/>
      <c r="G841" s="237"/>
      <c r="H841" s="237"/>
      <c r="I841" s="237"/>
      <c r="J841" s="237"/>
      <c r="K841" s="237"/>
      <c r="L841" s="237"/>
      <c r="M841" s="237"/>
      <c r="N841" s="237"/>
      <c r="O841" s="237"/>
      <c r="P841" s="237"/>
      <c r="Q841" s="237"/>
      <c r="R841" s="237"/>
      <c r="S841" s="237"/>
      <c r="T841" s="237"/>
      <c r="U841" s="237"/>
      <c r="V841" s="237"/>
      <c r="W841" s="237"/>
      <c r="X841" s="237"/>
      <c r="Y841" s="237"/>
      <c r="Z841" s="237"/>
    </row>
    <row r="842" ht="14.25" customHeight="1" spans="1:26">
      <c r="A842" s="237"/>
      <c r="B842" s="237"/>
      <c r="C842" s="237"/>
      <c r="D842" s="237"/>
      <c r="E842" s="237"/>
      <c r="F842" s="237"/>
      <c r="G842" s="237"/>
      <c r="H842" s="237"/>
      <c r="I842" s="237"/>
      <c r="J842" s="237"/>
      <c r="K842" s="237"/>
      <c r="L842" s="237"/>
      <c r="M842" s="237"/>
      <c r="N842" s="237"/>
      <c r="O842" s="237"/>
      <c r="P842" s="237"/>
      <c r="Q842" s="237"/>
      <c r="R842" s="237"/>
      <c r="S842" s="237"/>
      <c r="T842" s="237"/>
      <c r="U842" s="237"/>
      <c r="V842" s="237"/>
      <c r="W842" s="237"/>
      <c r="X842" s="237"/>
      <c r="Y842" s="237"/>
      <c r="Z842" s="237"/>
    </row>
    <row r="843" ht="14.25" customHeight="1" spans="1:26">
      <c r="A843" s="237"/>
      <c r="B843" s="237"/>
      <c r="C843" s="237"/>
      <c r="D843" s="237"/>
      <c r="E843" s="237"/>
      <c r="F843" s="237"/>
      <c r="G843" s="237"/>
      <c r="H843" s="237"/>
      <c r="I843" s="237"/>
      <c r="J843" s="237"/>
      <c r="K843" s="237"/>
      <c r="L843" s="237"/>
      <c r="M843" s="237"/>
      <c r="N843" s="237"/>
      <c r="O843" s="237"/>
      <c r="P843" s="237"/>
      <c r="Q843" s="237"/>
      <c r="R843" s="237"/>
      <c r="S843" s="237"/>
      <c r="T843" s="237"/>
      <c r="U843" s="237"/>
      <c r="V843" s="237"/>
      <c r="W843" s="237"/>
      <c r="X843" s="237"/>
      <c r="Y843" s="237"/>
      <c r="Z843" s="237"/>
    </row>
    <row r="844" ht="14.25" customHeight="1" spans="1:26">
      <c r="A844" s="237"/>
      <c r="B844" s="237"/>
      <c r="C844" s="237"/>
      <c r="D844" s="237"/>
      <c r="E844" s="237"/>
      <c r="F844" s="237"/>
      <c r="G844" s="237"/>
      <c r="H844" s="237"/>
      <c r="I844" s="237"/>
      <c r="J844" s="237"/>
      <c r="K844" s="237"/>
      <c r="L844" s="237"/>
      <c r="M844" s="237"/>
      <c r="N844" s="237"/>
      <c r="O844" s="237"/>
      <c r="P844" s="237"/>
      <c r="Q844" s="237"/>
      <c r="R844" s="237"/>
      <c r="S844" s="237"/>
      <c r="T844" s="237"/>
      <c r="U844" s="237"/>
      <c r="V844" s="237"/>
      <c r="W844" s="237"/>
      <c r="X844" s="237"/>
      <c r="Y844" s="237"/>
      <c r="Z844" s="237"/>
    </row>
    <row r="845" ht="14.25" customHeight="1" spans="1:26">
      <c r="A845" s="237"/>
      <c r="B845" s="237"/>
      <c r="C845" s="237"/>
      <c r="D845" s="237"/>
      <c r="E845" s="237"/>
      <c r="F845" s="237"/>
      <c r="G845" s="237"/>
      <c r="H845" s="237"/>
      <c r="I845" s="237"/>
      <c r="J845" s="237"/>
      <c r="K845" s="237"/>
      <c r="L845" s="237"/>
      <c r="M845" s="237"/>
      <c r="N845" s="237"/>
      <c r="O845" s="237"/>
      <c r="P845" s="237"/>
      <c r="Q845" s="237"/>
      <c r="R845" s="237"/>
      <c r="S845" s="237"/>
      <c r="T845" s="237"/>
      <c r="U845" s="237"/>
      <c r="V845" s="237"/>
      <c r="W845" s="237"/>
      <c r="X845" s="237"/>
      <c r="Y845" s="237"/>
      <c r="Z845" s="237"/>
    </row>
    <row r="846" ht="14.25" customHeight="1" spans="1:26">
      <c r="A846" s="237"/>
      <c r="B846" s="237"/>
      <c r="C846" s="237"/>
      <c r="D846" s="237"/>
      <c r="E846" s="237"/>
      <c r="F846" s="237"/>
      <c r="G846" s="237"/>
      <c r="H846" s="237"/>
      <c r="I846" s="237"/>
      <c r="J846" s="237"/>
      <c r="K846" s="237"/>
      <c r="L846" s="237"/>
      <c r="M846" s="237"/>
      <c r="N846" s="237"/>
      <c r="O846" s="237"/>
      <c r="P846" s="237"/>
      <c r="Q846" s="237"/>
      <c r="R846" s="237"/>
      <c r="S846" s="237"/>
      <c r="T846" s="237"/>
      <c r="U846" s="237"/>
      <c r="V846" s="237"/>
      <c r="W846" s="237"/>
      <c r="X846" s="237"/>
      <c r="Y846" s="237"/>
      <c r="Z846" s="237"/>
    </row>
    <row r="847" ht="14.25" customHeight="1" spans="1:26">
      <c r="A847" s="237"/>
      <c r="B847" s="237"/>
      <c r="C847" s="237"/>
      <c r="D847" s="237"/>
      <c r="E847" s="237"/>
      <c r="F847" s="237"/>
      <c r="G847" s="237"/>
      <c r="H847" s="237"/>
      <c r="I847" s="237"/>
      <c r="J847" s="237"/>
      <c r="K847" s="237"/>
      <c r="L847" s="237"/>
      <c r="M847" s="237"/>
      <c r="N847" s="237"/>
      <c r="O847" s="237"/>
      <c r="P847" s="237"/>
      <c r="Q847" s="237"/>
      <c r="R847" s="237"/>
      <c r="S847" s="237"/>
      <c r="T847" s="237"/>
      <c r="U847" s="237"/>
      <c r="V847" s="237"/>
      <c r="W847" s="237"/>
      <c r="X847" s="237"/>
      <c r="Y847" s="237"/>
      <c r="Z847" s="237"/>
    </row>
    <row r="848" ht="14.25" customHeight="1" spans="1:26">
      <c r="A848" s="237"/>
      <c r="B848" s="237"/>
      <c r="C848" s="237"/>
      <c r="D848" s="237"/>
      <c r="E848" s="237"/>
      <c r="F848" s="237"/>
      <c r="G848" s="237"/>
      <c r="H848" s="237"/>
      <c r="I848" s="237"/>
      <c r="J848" s="237"/>
      <c r="K848" s="237"/>
      <c r="L848" s="237"/>
      <c r="M848" s="237"/>
      <c r="N848" s="237"/>
      <c r="O848" s="237"/>
      <c r="P848" s="237"/>
      <c r="Q848" s="237"/>
      <c r="R848" s="237"/>
      <c r="S848" s="237"/>
      <c r="T848" s="237"/>
      <c r="U848" s="237"/>
      <c r="V848" s="237"/>
      <c r="W848" s="237"/>
      <c r="X848" s="237"/>
      <c r="Y848" s="237"/>
      <c r="Z848" s="237"/>
    </row>
    <row r="849" ht="14.25" customHeight="1" spans="1:26">
      <c r="A849" s="237"/>
      <c r="B849" s="237"/>
      <c r="C849" s="237"/>
      <c r="D849" s="237"/>
      <c r="E849" s="237"/>
      <c r="F849" s="237"/>
      <c r="G849" s="237"/>
      <c r="H849" s="237"/>
      <c r="I849" s="237"/>
      <c r="J849" s="237"/>
      <c r="K849" s="237"/>
      <c r="L849" s="237"/>
      <c r="M849" s="237"/>
      <c r="N849" s="237"/>
      <c r="O849" s="237"/>
      <c r="P849" s="237"/>
      <c r="Q849" s="237"/>
      <c r="R849" s="237"/>
      <c r="S849" s="237"/>
      <c r="T849" s="237"/>
      <c r="U849" s="237"/>
      <c r="V849" s="237"/>
      <c r="W849" s="237"/>
      <c r="X849" s="237"/>
      <c r="Y849" s="237"/>
      <c r="Z849" s="237"/>
    </row>
    <row r="850" ht="14.25" customHeight="1" spans="1:26">
      <c r="A850" s="237"/>
      <c r="B850" s="237"/>
      <c r="C850" s="237"/>
      <c r="D850" s="237"/>
      <c r="E850" s="237"/>
      <c r="F850" s="237"/>
      <c r="G850" s="237"/>
      <c r="H850" s="237"/>
      <c r="I850" s="237"/>
      <c r="J850" s="237"/>
      <c r="K850" s="237"/>
      <c r="L850" s="237"/>
      <c r="M850" s="237"/>
      <c r="N850" s="237"/>
      <c r="O850" s="237"/>
      <c r="P850" s="237"/>
      <c r="Q850" s="237"/>
      <c r="R850" s="237"/>
      <c r="S850" s="237"/>
      <c r="T850" s="237"/>
      <c r="U850" s="237"/>
      <c r="V850" s="237"/>
      <c r="W850" s="237"/>
      <c r="X850" s="237"/>
      <c r="Y850" s="237"/>
      <c r="Z850" s="237"/>
    </row>
    <row r="851" ht="14.25" customHeight="1" spans="1:26">
      <c r="A851" s="237"/>
      <c r="B851" s="237"/>
      <c r="C851" s="237"/>
      <c r="D851" s="237"/>
      <c r="E851" s="237"/>
      <c r="F851" s="237"/>
      <c r="G851" s="237"/>
      <c r="H851" s="237"/>
      <c r="I851" s="237"/>
      <c r="J851" s="237"/>
      <c r="K851" s="237"/>
      <c r="L851" s="237"/>
      <c r="M851" s="237"/>
      <c r="N851" s="237"/>
      <c r="O851" s="237"/>
      <c r="P851" s="237"/>
      <c r="Q851" s="237"/>
      <c r="R851" s="237"/>
      <c r="S851" s="237"/>
      <c r="T851" s="237"/>
      <c r="U851" s="237"/>
      <c r="V851" s="237"/>
      <c r="W851" s="237"/>
      <c r="X851" s="237"/>
      <c r="Y851" s="237"/>
      <c r="Z851" s="237"/>
    </row>
    <row r="852" ht="14.25" customHeight="1" spans="1:26">
      <c r="A852" s="237"/>
      <c r="B852" s="237"/>
      <c r="C852" s="237"/>
      <c r="D852" s="237"/>
      <c r="E852" s="237"/>
      <c r="F852" s="237"/>
      <c r="G852" s="237"/>
      <c r="H852" s="237"/>
      <c r="I852" s="237"/>
      <c r="J852" s="237"/>
      <c r="K852" s="237"/>
      <c r="L852" s="237"/>
      <c r="M852" s="237"/>
      <c r="N852" s="237"/>
      <c r="O852" s="237"/>
      <c r="P852" s="237"/>
      <c r="Q852" s="237"/>
      <c r="R852" s="237"/>
      <c r="S852" s="237"/>
      <c r="T852" s="237"/>
      <c r="U852" s="237"/>
      <c r="V852" s="237"/>
      <c r="W852" s="237"/>
      <c r="X852" s="237"/>
      <c r="Y852" s="237"/>
      <c r="Z852" s="237"/>
    </row>
    <row r="853" ht="14.25" customHeight="1" spans="1:26">
      <c r="A853" s="237"/>
      <c r="B853" s="237"/>
      <c r="C853" s="237"/>
      <c r="D853" s="237"/>
      <c r="E853" s="237"/>
      <c r="F853" s="237"/>
      <c r="G853" s="237"/>
      <c r="H853" s="237"/>
      <c r="I853" s="237"/>
      <c r="J853" s="237"/>
      <c r="K853" s="237"/>
      <c r="L853" s="237"/>
      <c r="M853" s="237"/>
      <c r="N853" s="237"/>
      <c r="O853" s="237"/>
      <c r="P853" s="237"/>
      <c r="Q853" s="237"/>
      <c r="R853" s="237"/>
      <c r="S853" s="237"/>
      <c r="T853" s="237"/>
      <c r="U853" s="237"/>
      <c r="V853" s="237"/>
      <c r="W853" s="237"/>
      <c r="X853" s="237"/>
      <c r="Y853" s="237"/>
      <c r="Z853" s="237"/>
    </row>
    <row r="854" ht="14.25" customHeight="1" spans="1:26">
      <c r="A854" s="237"/>
      <c r="B854" s="237"/>
      <c r="C854" s="237"/>
      <c r="D854" s="237"/>
      <c r="E854" s="237"/>
      <c r="F854" s="237"/>
      <c r="G854" s="237"/>
      <c r="H854" s="237"/>
      <c r="I854" s="237"/>
      <c r="J854" s="237"/>
      <c r="K854" s="237"/>
      <c r="L854" s="237"/>
      <c r="M854" s="237"/>
      <c r="N854" s="237"/>
      <c r="O854" s="237"/>
      <c r="P854" s="237"/>
      <c r="Q854" s="237"/>
      <c r="R854" s="237"/>
      <c r="S854" s="237"/>
      <c r="T854" s="237"/>
      <c r="U854" s="237"/>
      <c r="V854" s="237"/>
      <c r="W854" s="237"/>
      <c r="X854" s="237"/>
      <c r="Y854" s="237"/>
      <c r="Z854" s="237"/>
    </row>
    <row r="855" ht="14.25" customHeight="1" spans="1:26">
      <c r="A855" s="237"/>
      <c r="B855" s="237"/>
      <c r="C855" s="237"/>
      <c r="D855" s="237"/>
      <c r="E855" s="237"/>
      <c r="F855" s="237"/>
      <c r="G855" s="237"/>
      <c r="H855" s="237"/>
      <c r="I855" s="237"/>
      <c r="J855" s="237"/>
      <c r="K855" s="237"/>
      <c r="L855" s="237"/>
      <c r="M855" s="237"/>
      <c r="N855" s="237"/>
      <c r="O855" s="237"/>
      <c r="P855" s="237"/>
      <c r="Q855" s="237"/>
      <c r="R855" s="237"/>
      <c r="S855" s="237"/>
      <c r="T855" s="237"/>
      <c r="U855" s="237"/>
      <c r="V855" s="237"/>
      <c r="W855" s="237"/>
      <c r="X855" s="237"/>
      <c r="Y855" s="237"/>
      <c r="Z855" s="237"/>
    </row>
    <row r="856" ht="14.25" customHeight="1" spans="1:26">
      <c r="A856" s="237"/>
      <c r="B856" s="237"/>
      <c r="C856" s="237"/>
      <c r="D856" s="237"/>
      <c r="E856" s="237"/>
      <c r="F856" s="237"/>
      <c r="G856" s="237"/>
      <c r="H856" s="237"/>
      <c r="I856" s="237"/>
      <c r="J856" s="237"/>
      <c r="K856" s="237"/>
      <c r="L856" s="237"/>
      <c r="M856" s="237"/>
      <c r="N856" s="237"/>
      <c r="O856" s="237"/>
      <c r="P856" s="237"/>
      <c r="Q856" s="237"/>
      <c r="R856" s="237"/>
      <c r="S856" s="237"/>
      <c r="T856" s="237"/>
      <c r="U856" s="237"/>
      <c r="V856" s="237"/>
      <c r="W856" s="237"/>
      <c r="X856" s="237"/>
      <c r="Y856" s="237"/>
      <c r="Z856" s="237"/>
    </row>
    <row r="857" ht="14.25" customHeight="1" spans="1:26">
      <c r="A857" s="237"/>
      <c r="B857" s="237"/>
      <c r="C857" s="237"/>
      <c r="D857" s="237"/>
      <c r="E857" s="237"/>
      <c r="F857" s="237"/>
      <c r="G857" s="237"/>
      <c r="H857" s="237"/>
      <c r="I857" s="237"/>
      <c r="J857" s="237"/>
      <c r="K857" s="237"/>
      <c r="L857" s="237"/>
      <c r="M857" s="237"/>
      <c r="N857" s="237"/>
      <c r="O857" s="237"/>
      <c r="P857" s="237"/>
      <c r="Q857" s="237"/>
      <c r="R857" s="237"/>
      <c r="S857" s="237"/>
      <c r="T857" s="237"/>
      <c r="U857" s="237"/>
      <c r="V857" s="237"/>
      <c r="W857" s="237"/>
      <c r="X857" s="237"/>
      <c r="Y857" s="237"/>
      <c r="Z857" s="237"/>
    </row>
    <row r="858" ht="14.25" customHeight="1" spans="1:26">
      <c r="A858" s="237"/>
      <c r="B858" s="237"/>
      <c r="C858" s="237"/>
      <c r="D858" s="237"/>
      <c r="E858" s="237"/>
      <c r="F858" s="237"/>
      <c r="G858" s="237"/>
      <c r="H858" s="237"/>
      <c r="I858" s="237"/>
      <c r="J858" s="237"/>
      <c r="K858" s="237"/>
      <c r="L858" s="237"/>
      <c r="M858" s="237"/>
      <c r="N858" s="237"/>
      <c r="O858" s="237"/>
      <c r="P858" s="237"/>
      <c r="Q858" s="237"/>
      <c r="R858" s="237"/>
      <c r="S858" s="237"/>
      <c r="T858" s="237"/>
      <c r="U858" s="237"/>
      <c r="V858" s="237"/>
      <c r="W858" s="237"/>
      <c r="X858" s="237"/>
      <c r="Y858" s="237"/>
      <c r="Z858" s="237"/>
    </row>
    <row r="859" ht="14.25" customHeight="1" spans="1:26">
      <c r="A859" s="237"/>
      <c r="B859" s="237"/>
      <c r="C859" s="237"/>
      <c r="D859" s="237"/>
      <c r="E859" s="237"/>
      <c r="F859" s="237"/>
      <c r="G859" s="237"/>
      <c r="H859" s="237"/>
      <c r="I859" s="237"/>
      <c r="J859" s="237"/>
      <c r="K859" s="237"/>
      <c r="L859" s="237"/>
      <c r="M859" s="237"/>
      <c r="N859" s="237"/>
      <c r="O859" s="237"/>
      <c r="P859" s="237"/>
      <c r="Q859" s="237"/>
      <c r="R859" s="237"/>
      <c r="S859" s="237"/>
      <c r="T859" s="237"/>
      <c r="U859" s="237"/>
      <c r="V859" s="237"/>
      <c r="W859" s="237"/>
      <c r="X859" s="237"/>
      <c r="Y859" s="237"/>
      <c r="Z859" s="237"/>
    </row>
    <row r="860" ht="14.25" customHeight="1" spans="1:26">
      <c r="A860" s="237"/>
      <c r="B860" s="237"/>
      <c r="C860" s="237"/>
      <c r="D860" s="237"/>
      <c r="E860" s="237"/>
      <c r="F860" s="237"/>
      <c r="G860" s="237"/>
      <c r="H860" s="237"/>
      <c r="I860" s="237"/>
      <c r="J860" s="237"/>
      <c r="K860" s="237"/>
      <c r="L860" s="237"/>
      <c r="M860" s="237"/>
      <c r="N860" s="237"/>
      <c r="O860" s="237"/>
      <c r="P860" s="237"/>
      <c r="Q860" s="237"/>
      <c r="R860" s="237"/>
      <c r="S860" s="237"/>
      <c r="T860" s="237"/>
      <c r="U860" s="237"/>
      <c r="V860" s="237"/>
      <c r="W860" s="237"/>
      <c r="X860" s="237"/>
      <c r="Y860" s="237"/>
      <c r="Z860" s="237"/>
    </row>
    <row r="861" ht="14.25" customHeight="1" spans="1:26">
      <c r="A861" s="237"/>
      <c r="B861" s="237"/>
      <c r="C861" s="237"/>
      <c r="D861" s="237"/>
      <c r="E861" s="237"/>
      <c r="F861" s="237"/>
      <c r="G861" s="237"/>
      <c r="H861" s="237"/>
      <c r="I861" s="237"/>
      <c r="J861" s="237"/>
      <c r="K861" s="237"/>
      <c r="L861" s="237"/>
      <c r="M861" s="237"/>
      <c r="N861" s="237"/>
      <c r="O861" s="237"/>
      <c r="P861" s="237"/>
      <c r="Q861" s="237"/>
      <c r="R861" s="237"/>
      <c r="S861" s="237"/>
      <c r="T861" s="237"/>
      <c r="U861" s="237"/>
      <c r="V861" s="237"/>
      <c r="W861" s="237"/>
      <c r="X861" s="237"/>
      <c r="Y861" s="237"/>
      <c r="Z861" s="237"/>
    </row>
    <row r="862" ht="14.25" customHeight="1" spans="1:26">
      <c r="A862" s="237"/>
      <c r="B862" s="237"/>
      <c r="C862" s="237"/>
      <c r="D862" s="237"/>
      <c r="E862" s="237"/>
      <c r="F862" s="237"/>
      <c r="G862" s="237"/>
      <c r="H862" s="237"/>
      <c r="I862" s="237"/>
      <c r="J862" s="237"/>
      <c r="K862" s="237"/>
      <c r="L862" s="237"/>
      <c r="M862" s="237"/>
      <c r="N862" s="237"/>
      <c r="O862" s="237"/>
      <c r="P862" s="237"/>
      <c r="Q862" s="237"/>
      <c r="R862" s="237"/>
      <c r="S862" s="237"/>
      <c r="T862" s="237"/>
      <c r="U862" s="237"/>
      <c r="V862" s="237"/>
      <c r="W862" s="237"/>
      <c r="X862" s="237"/>
      <c r="Y862" s="237"/>
      <c r="Z862" s="237"/>
    </row>
    <row r="863" ht="14.25" customHeight="1" spans="1:26">
      <c r="A863" s="237"/>
      <c r="B863" s="237"/>
      <c r="C863" s="237"/>
      <c r="D863" s="237"/>
      <c r="E863" s="237"/>
      <c r="F863" s="237"/>
      <c r="G863" s="237"/>
      <c r="H863" s="237"/>
      <c r="I863" s="237"/>
      <c r="J863" s="237"/>
      <c r="K863" s="237"/>
      <c r="L863" s="237"/>
      <c r="M863" s="237"/>
      <c r="N863" s="237"/>
      <c r="O863" s="237"/>
      <c r="P863" s="237"/>
      <c r="Q863" s="237"/>
      <c r="R863" s="237"/>
      <c r="S863" s="237"/>
      <c r="T863" s="237"/>
      <c r="U863" s="237"/>
      <c r="V863" s="237"/>
      <c r="W863" s="237"/>
      <c r="X863" s="237"/>
      <c r="Y863" s="237"/>
      <c r="Z863" s="237"/>
    </row>
    <row r="864" ht="14.25" customHeight="1" spans="1:26">
      <c r="A864" s="237"/>
      <c r="B864" s="237"/>
      <c r="C864" s="237"/>
      <c r="D864" s="237"/>
      <c r="E864" s="237"/>
      <c r="F864" s="237"/>
      <c r="G864" s="237"/>
      <c r="H864" s="237"/>
      <c r="I864" s="237"/>
      <c r="J864" s="237"/>
      <c r="K864" s="237"/>
      <c r="L864" s="237"/>
      <c r="M864" s="237"/>
      <c r="N864" s="237"/>
      <c r="O864" s="237"/>
      <c r="P864" s="237"/>
      <c r="Q864" s="237"/>
      <c r="R864" s="237"/>
      <c r="S864" s="237"/>
      <c r="T864" s="237"/>
      <c r="U864" s="237"/>
      <c r="V864" s="237"/>
      <c r="W864" s="237"/>
      <c r="X864" s="237"/>
      <c r="Y864" s="237"/>
      <c r="Z864" s="237"/>
    </row>
    <row r="865" ht="14.25" customHeight="1" spans="1:26">
      <c r="A865" s="237"/>
      <c r="B865" s="237"/>
      <c r="C865" s="237"/>
      <c r="D865" s="237"/>
      <c r="E865" s="237"/>
      <c r="F865" s="237"/>
      <c r="G865" s="237"/>
      <c r="H865" s="237"/>
      <c r="I865" s="237"/>
      <c r="J865" s="237"/>
      <c r="K865" s="237"/>
      <c r="L865" s="237"/>
      <c r="M865" s="237"/>
      <c r="N865" s="237"/>
      <c r="O865" s="237"/>
      <c r="P865" s="237"/>
      <c r="Q865" s="237"/>
      <c r="R865" s="237"/>
      <c r="S865" s="237"/>
      <c r="T865" s="237"/>
      <c r="U865" s="237"/>
      <c r="V865" s="237"/>
      <c r="W865" s="237"/>
      <c r="X865" s="237"/>
      <c r="Y865" s="237"/>
      <c r="Z865" s="237"/>
    </row>
    <row r="866" ht="14.25" customHeight="1" spans="1:26">
      <c r="A866" s="237"/>
      <c r="B866" s="237"/>
      <c r="C866" s="237"/>
      <c r="D866" s="237"/>
      <c r="E866" s="237"/>
      <c r="F866" s="237"/>
      <c r="G866" s="237"/>
      <c r="H866" s="237"/>
      <c r="I866" s="237"/>
      <c r="J866" s="237"/>
      <c r="K866" s="237"/>
      <c r="L866" s="237"/>
      <c r="M866" s="237"/>
      <c r="N866" s="237"/>
      <c r="O866" s="237"/>
      <c r="P866" s="237"/>
      <c r="Q866" s="237"/>
      <c r="R866" s="237"/>
      <c r="S866" s="237"/>
      <c r="T866" s="237"/>
      <c r="U866" s="237"/>
      <c r="V866" s="237"/>
      <c r="W866" s="237"/>
      <c r="X866" s="237"/>
      <c r="Y866" s="237"/>
      <c r="Z866" s="237"/>
    </row>
    <row r="867" ht="14.25" customHeight="1" spans="1:26">
      <c r="A867" s="237"/>
      <c r="B867" s="237"/>
      <c r="C867" s="237"/>
      <c r="D867" s="237"/>
      <c r="E867" s="237"/>
      <c r="F867" s="237"/>
      <c r="G867" s="237"/>
      <c r="H867" s="237"/>
      <c r="I867" s="237"/>
      <c r="J867" s="237"/>
      <c r="K867" s="237"/>
      <c r="L867" s="237"/>
      <c r="M867" s="237"/>
      <c r="N867" s="237"/>
      <c r="O867" s="237"/>
      <c r="P867" s="237"/>
      <c r="Q867" s="237"/>
      <c r="R867" s="237"/>
      <c r="S867" s="237"/>
      <c r="T867" s="237"/>
      <c r="U867" s="237"/>
      <c r="V867" s="237"/>
      <c r="W867" s="237"/>
      <c r="X867" s="237"/>
      <c r="Y867" s="237"/>
      <c r="Z867" s="237"/>
    </row>
    <row r="868" ht="14.25" customHeight="1" spans="1:26">
      <c r="A868" s="237"/>
      <c r="B868" s="237"/>
      <c r="C868" s="237"/>
      <c r="D868" s="237"/>
      <c r="E868" s="237"/>
      <c r="F868" s="237"/>
      <c r="G868" s="237"/>
      <c r="H868" s="237"/>
      <c r="I868" s="237"/>
      <c r="J868" s="237"/>
      <c r="K868" s="237"/>
      <c r="L868" s="237"/>
      <c r="M868" s="237"/>
      <c r="N868" s="237"/>
      <c r="O868" s="237"/>
      <c r="P868" s="237"/>
      <c r="Q868" s="237"/>
      <c r="R868" s="237"/>
      <c r="S868" s="237"/>
      <c r="T868" s="237"/>
      <c r="U868" s="237"/>
      <c r="V868" s="237"/>
      <c r="W868" s="237"/>
      <c r="X868" s="237"/>
      <c r="Y868" s="237"/>
      <c r="Z868" s="237"/>
    </row>
    <row r="869" ht="14.25" customHeight="1" spans="1:26">
      <c r="A869" s="237"/>
      <c r="B869" s="237"/>
      <c r="C869" s="237"/>
      <c r="D869" s="237"/>
      <c r="E869" s="237"/>
      <c r="F869" s="237"/>
      <c r="G869" s="237"/>
      <c r="H869" s="237"/>
      <c r="I869" s="237"/>
      <c r="J869" s="237"/>
      <c r="K869" s="237"/>
      <c r="L869" s="237"/>
      <c r="M869" s="237"/>
      <c r="N869" s="237"/>
      <c r="O869" s="237"/>
      <c r="P869" s="237"/>
      <c r="Q869" s="237"/>
      <c r="R869" s="237"/>
      <c r="S869" s="237"/>
      <c r="T869" s="237"/>
      <c r="U869" s="237"/>
      <c r="V869" s="237"/>
      <c r="W869" s="237"/>
      <c r="X869" s="237"/>
      <c r="Y869" s="237"/>
      <c r="Z869" s="237"/>
    </row>
    <row r="870" ht="14.25" customHeight="1" spans="1:26">
      <c r="A870" s="237"/>
      <c r="B870" s="237"/>
      <c r="C870" s="237"/>
      <c r="D870" s="237"/>
      <c r="E870" s="237"/>
      <c r="F870" s="237"/>
      <c r="G870" s="237"/>
      <c r="H870" s="237"/>
      <c r="I870" s="237"/>
      <c r="J870" s="237"/>
      <c r="K870" s="237"/>
      <c r="L870" s="237"/>
      <c r="M870" s="237"/>
      <c r="N870" s="237"/>
      <c r="O870" s="237"/>
      <c r="P870" s="237"/>
      <c r="Q870" s="237"/>
      <c r="R870" s="237"/>
      <c r="S870" s="237"/>
      <c r="T870" s="237"/>
      <c r="U870" s="237"/>
      <c r="V870" s="237"/>
      <c r="W870" s="237"/>
      <c r="X870" s="237"/>
      <c r="Y870" s="237"/>
      <c r="Z870" s="237"/>
    </row>
    <row r="871" ht="14.25" customHeight="1" spans="1:26">
      <c r="A871" s="237"/>
      <c r="B871" s="237"/>
      <c r="C871" s="237"/>
      <c r="D871" s="237"/>
      <c r="E871" s="237"/>
      <c r="F871" s="237"/>
      <c r="G871" s="237"/>
      <c r="H871" s="237"/>
      <c r="I871" s="237"/>
      <c r="J871" s="237"/>
      <c r="K871" s="237"/>
      <c r="L871" s="237"/>
      <c r="M871" s="237"/>
      <c r="N871" s="237"/>
      <c r="O871" s="237"/>
      <c r="P871" s="237"/>
      <c r="Q871" s="237"/>
      <c r="R871" s="237"/>
      <c r="S871" s="237"/>
      <c r="T871" s="237"/>
      <c r="U871" s="237"/>
      <c r="V871" s="237"/>
      <c r="W871" s="237"/>
      <c r="X871" s="237"/>
      <c r="Y871" s="237"/>
      <c r="Z871" s="237"/>
    </row>
    <row r="872" ht="14.25" customHeight="1" spans="1:26">
      <c r="A872" s="237"/>
      <c r="B872" s="237"/>
      <c r="C872" s="237"/>
      <c r="D872" s="237"/>
      <c r="E872" s="237"/>
      <c r="F872" s="237"/>
      <c r="G872" s="237"/>
      <c r="H872" s="237"/>
      <c r="I872" s="237"/>
      <c r="J872" s="237"/>
      <c r="K872" s="237"/>
      <c r="L872" s="237"/>
      <c r="M872" s="237"/>
      <c r="N872" s="237"/>
      <c r="O872" s="237"/>
      <c r="P872" s="237"/>
      <c r="Q872" s="237"/>
      <c r="R872" s="237"/>
      <c r="S872" s="237"/>
      <c r="T872" s="237"/>
      <c r="U872" s="237"/>
      <c r="V872" s="237"/>
      <c r="W872" s="237"/>
      <c r="X872" s="237"/>
      <c r="Y872" s="237"/>
      <c r="Z872" s="237"/>
    </row>
    <row r="873" ht="14.25" customHeight="1" spans="1:26">
      <c r="A873" s="237"/>
      <c r="B873" s="237"/>
      <c r="C873" s="237"/>
      <c r="D873" s="237"/>
      <c r="E873" s="237"/>
      <c r="F873" s="237"/>
      <c r="G873" s="237"/>
      <c r="H873" s="237"/>
      <c r="I873" s="237"/>
      <c r="J873" s="237"/>
      <c r="K873" s="237"/>
      <c r="L873" s="237"/>
      <c r="M873" s="237"/>
      <c r="N873" s="237"/>
      <c r="O873" s="237"/>
      <c r="P873" s="237"/>
      <c r="Q873" s="237"/>
      <c r="R873" s="237"/>
      <c r="S873" s="237"/>
      <c r="T873" s="237"/>
      <c r="U873" s="237"/>
      <c r="V873" s="237"/>
      <c r="W873" s="237"/>
      <c r="X873" s="237"/>
      <c r="Y873" s="237"/>
      <c r="Z873" s="237"/>
    </row>
    <row r="874" ht="14.25" customHeight="1" spans="1:26">
      <c r="A874" s="237"/>
      <c r="B874" s="237"/>
      <c r="C874" s="237"/>
      <c r="D874" s="237"/>
      <c r="E874" s="237"/>
      <c r="F874" s="237"/>
      <c r="G874" s="237"/>
      <c r="H874" s="237"/>
      <c r="I874" s="237"/>
      <c r="J874" s="237"/>
      <c r="K874" s="237"/>
      <c r="L874" s="237"/>
      <c r="M874" s="237"/>
      <c r="N874" s="237"/>
      <c r="O874" s="237"/>
      <c r="P874" s="237"/>
      <c r="Q874" s="237"/>
      <c r="R874" s="237"/>
      <c r="S874" s="237"/>
      <c r="T874" s="237"/>
      <c r="U874" s="237"/>
      <c r="V874" s="237"/>
      <c r="W874" s="237"/>
      <c r="X874" s="237"/>
      <c r="Y874" s="237"/>
      <c r="Z874" s="237"/>
    </row>
    <row r="875" ht="14.25" customHeight="1" spans="1:26">
      <c r="A875" s="237"/>
      <c r="B875" s="237"/>
      <c r="C875" s="237"/>
      <c r="D875" s="237"/>
      <c r="E875" s="237"/>
      <c r="F875" s="237"/>
      <c r="G875" s="237"/>
      <c r="H875" s="237"/>
      <c r="I875" s="237"/>
      <c r="J875" s="237"/>
      <c r="K875" s="237"/>
      <c r="L875" s="237"/>
      <c r="M875" s="237"/>
      <c r="N875" s="237"/>
      <c r="O875" s="237"/>
      <c r="P875" s="237"/>
      <c r="Q875" s="237"/>
      <c r="R875" s="237"/>
      <c r="S875" s="237"/>
      <c r="T875" s="237"/>
      <c r="U875" s="237"/>
      <c r="V875" s="237"/>
      <c r="W875" s="237"/>
      <c r="X875" s="237"/>
      <c r="Y875" s="237"/>
      <c r="Z875" s="237"/>
    </row>
    <row r="876" ht="14.25" customHeight="1" spans="1:26">
      <c r="A876" s="237"/>
      <c r="B876" s="237"/>
      <c r="C876" s="237"/>
      <c r="D876" s="237"/>
      <c r="E876" s="237"/>
      <c r="F876" s="237"/>
      <c r="G876" s="237"/>
      <c r="H876" s="237"/>
      <c r="I876" s="237"/>
      <c r="J876" s="237"/>
      <c r="K876" s="237"/>
      <c r="L876" s="237"/>
      <c r="M876" s="237"/>
      <c r="N876" s="237"/>
      <c r="O876" s="237"/>
      <c r="P876" s="237"/>
      <c r="Q876" s="237"/>
      <c r="R876" s="237"/>
      <c r="S876" s="237"/>
      <c r="T876" s="237"/>
      <c r="U876" s="237"/>
      <c r="V876" s="237"/>
      <c r="W876" s="237"/>
      <c r="X876" s="237"/>
      <c r="Y876" s="237"/>
      <c r="Z876" s="237"/>
    </row>
    <row r="877" ht="14.25" customHeight="1" spans="1:26">
      <c r="A877" s="237"/>
      <c r="B877" s="237"/>
      <c r="C877" s="237"/>
      <c r="D877" s="237"/>
      <c r="E877" s="237"/>
      <c r="F877" s="237"/>
      <c r="G877" s="237"/>
      <c r="H877" s="237"/>
      <c r="I877" s="237"/>
      <c r="J877" s="237"/>
      <c r="K877" s="237"/>
      <c r="L877" s="237"/>
      <c r="M877" s="237"/>
      <c r="N877" s="237"/>
      <c r="O877" s="237"/>
      <c r="P877" s="237"/>
      <c r="Q877" s="237"/>
      <c r="R877" s="237"/>
      <c r="S877" s="237"/>
      <c r="T877" s="237"/>
      <c r="U877" s="237"/>
      <c r="V877" s="237"/>
      <c r="W877" s="237"/>
      <c r="X877" s="237"/>
      <c r="Y877" s="237"/>
      <c r="Z877" s="237"/>
    </row>
    <row r="878" ht="14.25" customHeight="1" spans="1:26">
      <c r="A878" s="237"/>
      <c r="B878" s="237"/>
      <c r="C878" s="237"/>
      <c r="D878" s="237"/>
      <c r="E878" s="237"/>
      <c r="F878" s="237"/>
      <c r="G878" s="237"/>
      <c r="H878" s="237"/>
      <c r="I878" s="237"/>
      <c r="J878" s="237"/>
      <c r="K878" s="237"/>
      <c r="L878" s="237"/>
      <c r="M878" s="237"/>
      <c r="N878" s="237"/>
      <c r="O878" s="237"/>
      <c r="P878" s="237"/>
      <c r="Q878" s="237"/>
      <c r="R878" s="237"/>
      <c r="S878" s="237"/>
      <c r="T878" s="237"/>
      <c r="U878" s="237"/>
      <c r="V878" s="237"/>
      <c r="W878" s="237"/>
      <c r="X878" s="237"/>
      <c r="Y878" s="237"/>
      <c r="Z878" s="237"/>
    </row>
    <row r="879" ht="14.25" customHeight="1" spans="1:26">
      <c r="A879" s="237"/>
      <c r="B879" s="237"/>
      <c r="C879" s="237"/>
      <c r="D879" s="237"/>
      <c r="E879" s="237"/>
      <c r="F879" s="237"/>
      <c r="G879" s="237"/>
      <c r="H879" s="237"/>
      <c r="I879" s="237"/>
      <c r="J879" s="237"/>
      <c r="K879" s="237"/>
      <c r="L879" s="237"/>
      <c r="M879" s="237"/>
      <c r="N879" s="237"/>
      <c r="O879" s="237"/>
      <c r="P879" s="237"/>
      <c r="Q879" s="237"/>
      <c r="R879" s="237"/>
      <c r="S879" s="237"/>
      <c r="T879" s="237"/>
      <c r="U879" s="237"/>
      <c r="V879" s="237"/>
      <c r="W879" s="237"/>
      <c r="X879" s="237"/>
      <c r="Y879" s="237"/>
      <c r="Z879" s="237"/>
    </row>
    <row r="880" ht="14.25" customHeight="1" spans="1:26">
      <c r="A880" s="237"/>
      <c r="B880" s="237"/>
      <c r="C880" s="237"/>
      <c r="D880" s="237"/>
      <c r="E880" s="237"/>
      <c r="F880" s="237"/>
      <c r="G880" s="237"/>
      <c r="H880" s="237"/>
      <c r="I880" s="237"/>
      <c r="J880" s="237"/>
      <c r="K880" s="237"/>
      <c r="L880" s="237"/>
      <c r="M880" s="237"/>
      <c r="N880" s="237"/>
      <c r="O880" s="237"/>
      <c r="P880" s="237"/>
      <c r="Q880" s="237"/>
      <c r="R880" s="237"/>
      <c r="S880" s="237"/>
      <c r="T880" s="237"/>
      <c r="U880" s="237"/>
      <c r="V880" s="237"/>
      <c r="W880" s="237"/>
      <c r="X880" s="237"/>
      <c r="Y880" s="237"/>
      <c r="Z880" s="237"/>
    </row>
    <row r="881" ht="14.25" customHeight="1" spans="1:26">
      <c r="A881" s="237"/>
      <c r="B881" s="237"/>
      <c r="C881" s="237"/>
      <c r="D881" s="237"/>
      <c r="E881" s="237"/>
      <c r="F881" s="237"/>
      <c r="G881" s="237"/>
      <c r="H881" s="237"/>
      <c r="I881" s="237"/>
      <c r="J881" s="237"/>
      <c r="K881" s="237"/>
      <c r="L881" s="237"/>
      <c r="M881" s="237"/>
      <c r="N881" s="237"/>
      <c r="O881" s="237"/>
      <c r="P881" s="237"/>
      <c r="Q881" s="237"/>
      <c r="R881" s="237"/>
      <c r="S881" s="237"/>
      <c r="T881" s="237"/>
      <c r="U881" s="237"/>
      <c r="V881" s="237"/>
      <c r="W881" s="237"/>
      <c r="X881" s="237"/>
      <c r="Y881" s="237"/>
      <c r="Z881" s="237"/>
    </row>
    <row r="882" ht="14.25" customHeight="1" spans="1:26">
      <c r="A882" s="237"/>
      <c r="B882" s="237"/>
      <c r="C882" s="237"/>
      <c r="D882" s="237"/>
      <c r="E882" s="237"/>
      <c r="F882" s="237"/>
      <c r="G882" s="237"/>
      <c r="H882" s="237"/>
      <c r="I882" s="237"/>
      <c r="J882" s="237"/>
      <c r="K882" s="237"/>
      <c r="L882" s="237"/>
      <c r="M882" s="237"/>
      <c r="N882" s="237"/>
      <c r="O882" s="237"/>
      <c r="P882" s="237"/>
      <c r="Q882" s="237"/>
      <c r="R882" s="237"/>
      <c r="S882" s="237"/>
      <c r="T882" s="237"/>
      <c r="U882" s="237"/>
      <c r="V882" s="237"/>
      <c r="W882" s="237"/>
      <c r="X882" s="237"/>
      <c r="Y882" s="237"/>
      <c r="Z882" s="237"/>
    </row>
    <row r="883" ht="14.25" customHeight="1" spans="1:26">
      <c r="A883" s="237"/>
      <c r="B883" s="237"/>
      <c r="C883" s="237"/>
      <c r="D883" s="237"/>
      <c r="E883" s="237"/>
      <c r="F883" s="237"/>
      <c r="G883" s="237"/>
      <c r="H883" s="237"/>
      <c r="I883" s="237"/>
      <c r="J883" s="237"/>
      <c r="K883" s="237"/>
      <c r="L883" s="237"/>
      <c r="M883" s="237"/>
      <c r="N883" s="237"/>
      <c r="O883" s="237"/>
      <c r="P883" s="237"/>
      <c r="Q883" s="237"/>
      <c r="R883" s="237"/>
      <c r="S883" s="237"/>
      <c r="T883" s="237"/>
      <c r="U883" s="237"/>
      <c r="V883" s="237"/>
      <c r="W883" s="237"/>
      <c r="X883" s="237"/>
      <c r="Y883" s="237"/>
      <c r="Z883" s="237"/>
    </row>
    <row r="884" ht="14.25" customHeight="1" spans="1:26">
      <c r="A884" s="237"/>
      <c r="B884" s="237"/>
      <c r="C884" s="237"/>
      <c r="D884" s="237"/>
      <c r="E884" s="237"/>
      <c r="F884" s="237"/>
      <c r="G884" s="237"/>
      <c r="H884" s="237"/>
      <c r="I884" s="237"/>
      <c r="J884" s="237"/>
      <c r="K884" s="237"/>
      <c r="L884" s="237"/>
      <c r="M884" s="237"/>
      <c r="N884" s="237"/>
      <c r="O884" s="237"/>
      <c r="P884" s="237"/>
      <c r="Q884" s="237"/>
      <c r="R884" s="237"/>
      <c r="S884" s="237"/>
      <c r="T884" s="237"/>
      <c r="U884" s="237"/>
      <c r="V884" s="237"/>
      <c r="W884" s="237"/>
      <c r="X884" s="237"/>
      <c r="Y884" s="237"/>
      <c r="Z884" s="237"/>
    </row>
    <row r="885" ht="14.25" customHeight="1" spans="1:26">
      <c r="A885" s="237"/>
      <c r="B885" s="237"/>
      <c r="C885" s="237"/>
      <c r="D885" s="237"/>
      <c r="E885" s="237"/>
      <c r="F885" s="237"/>
      <c r="G885" s="237"/>
      <c r="H885" s="237"/>
      <c r="I885" s="237"/>
      <c r="J885" s="237"/>
      <c r="K885" s="237"/>
      <c r="L885" s="237"/>
      <c r="M885" s="237"/>
      <c r="N885" s="237"/>
      <c r="O885" s="237"/>
      <c r="P885" s="237"/>
      <c r="Q885" s="237"/>
      <c r="R885" s="237"/>
      <c r="S885" s="237"/>
      <c r="T885" s="237"/>
      <c r="U885" s="237"/>
      <c r="V885" s="237"/>
      <c r="W885" s="237"/>
      <c r="X885" s="237"/>
      <c r="Y885" s="237"/>
      <c r="Z885" s="237"/>
    </row>
    <row r="886" ht="14.25" customHeight="1" spans="1:26">
      <c r="A886" s="237"/>
      <c r="B886" s="237"/>
      <c r="C886" s="237"/>
      <c r="D886" s="237"/>
      <c r="E886" s="237"/>
      <c r="F886" s="237"/>
      <c r="G886" s="237"/>
      <c r="H886" s="237"/>
      <c r="I886" s="237"/>
      <c r="J886" s="237"/>
      <c r="K886" s="237"/>
      <c r="L886" s="237"/>
      <c r="M886" s="237"/>
      <c r="N886" s="237"/>
      <c r="O886" s="237"/>
      <c r="P886" s="237"/>
      <c r="Q886" s="237"/>
      <c r="R886" s="237"/>
      <c r="S886" s="237"/>
      <c r="T886" s="237"/>
      <c r="U886" s="237"/>
      <c r="V886" s="237"/>
      <c r="W886" s="237"/>
      <c r="X886" s="237"/>
      <c r="Y886" s="237"/>
      <c r="Z886" s="237"/>
    </row>
    <row r="887" ht="14.25" customHeight="1" spans="1:26">
      <c r="A887" s="237"/>
      <c r="B887" s="237"/>
      <c r="C887" s="237"/>
      <c r="D887" s="237"/>
      <c r="E887" s="237"/>
      <c r="F887" s="237"/>
      <c r="G887" s="237"/>
      <c r="H887" s="237"/>
      <c r="I887" s="237"/>
      <c r="J887" s="237"/>
      <c r="K887" s="237"/>
      <c r="L887" s="237"/>
      <c r="M887" s="237"/>
      <c r="N887" s="237"/>
      <c r="O887" s="237"/>
      <c r="P887" s="237"/>
      <c r="Q887" s="237"/>
      <c r="R887" s="237"/>
      <c r="S887" s="237"/>
      <c r="T887" s="237"/>
      <c r="U887" s="237"/>
      <c r="V887" s="237"/>
      <c r="W887" s="237"/>
      <c r="X887" s="237"/>
      <c r="Y887" s="237"/>
      <c r="Z887" s="237"/>
    </row>
    <row r="888" ht="14.25" customHeight="1" spans="1:26">
      <c r="A888" s="237"/>
      <c r="B888" s="237"/>
      <c r="C888" s="237"/>
      <c r="D888" s="237"/>
      <c r="E888" s="237"/>
      <c r="F888" s="237"/>
      <c r="G888" s="237"/>
      <c r="H888" s="237"/>
      <c r="I888" s="237"/>
      <c r="J888" s="237"/>
      <c r="K888" s="237"/>
      <c r="L888" s="237"/>
      <c r="M888" s="237"/>
      <c r="N888" s="237"/>
      <c r="O888" s="237"/>
      <c r="P888" s="237"/>
      <c r="Q888" s="237"/>
      <c r="R888" s="237"/>
      <c r="S888" s="237"/>
      <c r="T888" s="237"/>
      <c r="U888" s="237"/>
      <c r="V888" s="237"/>
      <c r="W888" s="237"/>
      <c r="X888" s="237"/>
      <c r="Y888" s="237"/>
      <c r="Z888" s="237"/>
    </row>
    <row r="889" ht="14.25" customHeight="1" spans="1:26">
      <c r="A889" s="237"/>
      <c r="B889" s="237"/>
      <c r="C889" s="237"/>
      <c r="D889" s="237"/>
      <c r="E889" s="237"/>
      <c r="F889" s="237"/>
      <c r="G889" s="237"/>
      <c r="H889" s="237"/>
      <c r="I889" s="237"/>
      <c r="J889" s="237"/>
      <c r="K889" s="237"/>
      <c r="L889" s="237"/>
      <c r="M889" s="237"/>
      <c r="N889" s="237"/>
      <c r="O889" s="237"/>
      <c r="P889" s="237"/>
      <c r="Q889" s="237"/>
      <c r="R889" s="237"/>
      <c r="S889" s="237"/>
      <c r="T889" s="237"/>
      <c r="U889" s="237"/>
      <c r="V889" s="237"/>
      <c r="W889" s="237"/>
      <c r="X889" s="237"/>
      <c r="Y889" s="237"/>
      <c r="Z889" s="237"/>
    </row>
    <row r="890" ht="14.25" customHeight="1" spans="1:26">
      <c r="A890" s="237"/>
      <c r="B890" s="237"/>
      <c r="C890" s="237"/>
      <c r="D890" s="237"/>
      <c r="E890" s="237"/>
      <c r="F890" s="237"/>
      <c r="G890" s="237"/>
      <c r="H890" s="237"/>
      <c r="I890" s="237"/>
      <c r="J890" s="237"/>
      <c r="K890" s="237"/>
      <c r="L890" s="237"/>
      <c r="M890" s="237"/>
      <c r="N890" s="237"/>
      <c r="O890" s="237"/>
      <c r="P890" s="237"/>
      <c r="Q890" s="237"/>
      <c r="R890" s="237"/>
      <c r="S890" s="237"/>
      <c r="T890" s="237"/>
      <c r="U890" s="237"/>
      <c r="V890" s="237"/>
      <c r="W890" s="237"/>
      <c r="X890" s="237"/>
      <c r="Y890" s="237"/>
      <c r="Z890" s="237"/>
    </row>
    <row r="891" ht="14.25" customHeight="1" spans="1:26">
      <c r="A891" s="237"/>
      <c r="B891" s="237"/>
      <c r="C891" s="237"/>
      <c r="D891" s="237"/>
      <c r="E891" s="237"/>
      <c r="F891" s="237"/>
      <c r="G891" s="237"/>
      <c r="H891" s="237"/>
      <c r="I891" s="237"/>
      <c r="J891" s="237"/>
      <c r="K891" s="237"/>
      <c r="L891" s="237"/>
      <c r="M891" s="237"/>
      <c r="N891" s="237"/>
      <c r="O891" s="237"/>
      <c r="P891" s="237"/>
      <c r="Q891" s="237"/>
      <c r="R891" s="237"/>
      <c r="S891" s="237"/>
      <c r="T891" s="237"/>
      <c r="U891" s="237"/>
      <c r="V891" s="237"/>
      <c r="W891" s="237"/>
      <c r="X891" s="237"/>
      <c r="Y891" s="237"/>
      <c r="Z891" s="237"/>
    </row>
    <row r="892" ht="14.25" customHeight="1" spans="1:26">
      <c r="A892" s="237"/>
      <c r="B892" s="237"/>
      <c r="C892" s="237"/>
      <c r="D892" s="237"/>
      <c r="E892" s="237"/>
      <c r="F892" s="237"/>
      <c r="G892" s="237"/>
      <c r="H892" s="237"/>
      <c r="I892" s="237"/>
      <c r="J892" s="237"/>
      <c r="K892" s="237"/>
      <c r="L892" s="237"/>
      <c r="M892" s="237"/>
      <c r="N892" s="237"/>
      <c r="O892" s="237"/>
      <c r="P892" s="237"/>
      <c r="Q892" s="237"/>
      <c r="R892" s="237"/>
      <c r="S892" s="237"/>
      <c r="T892" s="237"/>
      <c r="U892" s="237"/>
      <c r="V892" s="237"/>
      <c r="W892" s="237"/>
      <c r="X892" s="237"/>
      <c r="Y892" s="237"/>
      <c r="Z892" s="237"/>
    </row>
    <row r="893" ht="14.25" customHeight="1" spans="1:26">
      <c r="A893" s="237"/>
      <c r="B893" s="237"/>
      <c r="C893" s="237"/>
      <c r="D893" s="237"/>
      <c r="E893" s="237"/>
      <c r="F893" s="237"/>
      <c r="G893" s="237"/>
      <c r="H893" s="237"/>
      <c r="I893" s="237"/>
      <c r="J893" s="237"/>
      <c r="K893" s="237"/>
      <c r="L893" s="237"/>
      <c r="M893" s="237"/>
      <c r="N893" s="237"/>
      <c r="O893" s="237"/>
      <c r="P893" s="237"/>
      <c r="Q893" s="237"/>
      <c r="R893" s="237"/>
      <c r="S893" s="237"/>
      <c r="T893" s="237"/>
      <c r="U893" s="237"/>
      <c r="V893" s="237"/>
      <c r="W893" s="237"/>
      <c r="X893" s="237"/>
      <c r="Y893" s="237"/>
      <c r="Z893" s="237"/>
    </row>
    <row r="894" ht="14.25" customHeight="1" spans="1:26">
      <c r="A894" s="237"/>
      <c r="B894" s="237"/>
      <c r="C894" s="237"/>
      <c r="D894" s="237"/>
      <c r="E894" s="237"/>
      <c r="F894" s="237"/>
      <c r="G894" s="237"/>
      <c r="H894" s="237"/>
      <c r="I894" s="237"/>
      <c r="J894" s="237"/>
      <c r="K894" s="237"/>
      <c r="L894" s="237"/>
      <c r="M894" s="237"/>
      <c r="N894" s="237"/>
      <c r="O894" s="237"/>
      <c r="P894" s="237"/>
      <c r="Q894" s="237"/>
      <c r="R894" s="237"/>
      <c r="S894" s="237"/>
      <c r="T894" s="237"/>
      <c r="U894" s="237"/>
      <c r="V894" s="237"/>
      <c r="W894" s="237"/>
      <c r="X894" s="237"/>
      <c r="Y894" s="237"/>
      <c r="Z894" s="237"/>
    </row>
    <row r="895" ht="14.25" customHeight="1" spans="1:26">
      <c r="A895" s="237"/>
      <c r="B895" s="237"/>
      <c r="C895" s="237"/>
      <c r="D895" s="237"/>
      <c r="E895" s="237"/>
      <c r="F895" s="237"/>
      <c r="G895" s="237"/>
      <c r="H895" s="237"/>
      <c r="I895" s="237"/>
      <c r="J895" s="237"/>
      <c r="K895" s="237"/>
      <c r="L895" s="237"/>
      <c r="M895" s="237"/>
      <c r="N895" s="237"/>
      <c r="O895" s="237"/>
      <c r="P895" s="237"/>
      <c r="Q895" s="237"/>
      <c r="R895" s="237"/>
      <c r="S895" s="237"/>
      <c r="T895" s="237"/>
      <c r="U895" s="237"/>
      <c r="V895" s="237"/>
      <c r="W895" s="237"/>
      <c r="X895" s="237"/>
      <c r="Y895" s="237"/>
      <c r="Z895" s="237"/>
    </row>
    <row r="896" ht="14.25" customHeight="1" spans="1:26">
      <c r="A896" s="237"/>
      <c r="B896" s="237"/>
      <c r="C896" s="237"/>
      <c r="D896" s="237"/>
      <c r="E896" s="237"/>
      <c r="F896" s="237"/>
      <c r="G896" s="237"/>
      <c r="H896" s="237"/>
      <c r="I896" s="237"/>
      <c r="J896" s="237"/>
      <c r="K896" s="237"/>
      <c r="L896" s="237"/>
      <c r="M896" s="237"/>
      <c r="N896" s="237"/>
      <c r="O896" s="237"/>
      <c r="P896" s="237"/>
      <c r="Q896" s="237"/>
      <c r="R896" s="237"/>
      <c r="S896" s="237"/>
      <c r="T896" s="237"/>
      <c r="U896" s="237"/>
      <c r="V896" s="237"/>
      <c r="W896" s="237"/>
      <c r="X896" s="237"/>
      <c r="Y896" s="237"/>
      <c r="Z896" s="237"/>
    </row>
    <row r="897" ht="14.25" customHeight="1" spans="1:26">
      <c r="A897" s="237"/>
      <c r="B897" s="237"/>
      <c r="C897" s="237"/>
      <c r="D897" s="237"/>
      <c r="E897" s="237"/>
      <c r="F897" s="237"/>
      <c r="G897" s="237"/>
      <c r="H897" s="237"/>
      <c r="I897" s="237"/>
      <c r="J897" s="237"/>
      <c r="K897" s="237"/>
      <c r="L897" s="237"/>
      <c r="M897" s="237"/>
      <c r="N897" s="237"/>
      <c r="O897" s="237"/>
      <c r="P897" s="237"/>
      <c r="Q897" s="237"/>
      <c r="R897" s="237"/>
      <c r="S897" s="237"/>
      <c r="T897" s="237"/>
      <c r="U897" s="237"/>
      <c r="V897" s="237"/>
      <c r="W897" s="237"/>
      <c r="X897" s="237"/>
      <c r="Y897" s="237"/>
      <c r="Z897" s="237"/>
    </row>
    <row r="898" ht="14.25" customHeight="1" spans="1:26">
      <c r="A898" s="237"/>
      <c r="B898" s="237"/>
      <c r="C898" s="237"/>
      <c r="D898" s="237"/>
      <c r="E898" s="237"/>
      <c r="F898" s="237"/>
      <c r="G898" s="237"/>
      <c r="H898" s="237"/>
      <c r="I898" s="237"/>
      <c r="J898" s="237"/>
      <c r="K898" s="237"/>
      <c r="L898" s="237"/>
      <c r="M898" s="237"/>
      <c r="N898" s="237"/>
      <c r="O898" s="237"/>
      <c r="P898" s="237"/>
      <c r="Q898" s="237"/>
      <c r="R898" s="237"/>
      <c r="S898" s="237"/>
      <c r="T898" s="237"/>
      <c r="U898" s="237"/>
      <c r="V898" s="237"/>
      <c r="W898" s="237"/>
      <c r="X898" s="237"/>
      <c r="Y898" s="237"/>
      <c r="Z898" s="237"/>
    </row>
    <row r="899" ht="14.25" customHeight="1" spans="1:26">
      <c r="A899" s="237"/>
      <c r="B899" s="237"/>
      <c r="C899" s="237"/>
      <c r="D899" s="237"/>
      <c r="E899" s="237"/>
      <c r="F899" s="237"/>
      <c r="G899" s="237"/>
      <c r="H899" s="237"/>
      <c r="I899" s="237"/>
      <c r="J899" s="237"/>
      <c r="K899" s="237"/>
      <c r="L899" s="237"/>
      <c r="M899" s="237"/>
      <c r="N899" s="237"/>
      <c r="O899" s="237"/>
      <c r="P899" s="237"/>
      <c r="Q899" s="237"/>
      <c r="R899" s="237"/>
      <c r="S899" s="237"/>
      <c r="T899" s="237"/>
      <c r="U899" s="237"/>
      <c r="V899" s="237"/>
      <c r="W899" s="237"/>
      <c r="X899" s="237"/>
      <c r="Y899" s="237"/>
      <c r="Z899" s="237"/>
    </row>
    <row r="900" ht="14.25" customHeight="1" spans="1:26">
      <c r="A900" s="237"/>
      <c r="B900" s="237"/>
      <c r="C900" s="237"/>
      <c r="D900" s="237"/>
      <c r="E900" s="237"/>
      <c r="F900" s="237"/>
      <c r="G900" s="237"/>
      <c r="H900" s="237"/>
      <c r="I900" s="237"/>
      <c r="J900" s="237"/>
      <c r="K900" s="237"/>
      <c r="L900" s="237"/>
      <c r="M900" s="237"/>
      <c r="N900" s="237"/>
      <c r="O900" s="237"/>
      <c r="P900" s="237"/>
      <c r="Q900" s="237"/>
      <c r="R900" s="237"/>
      <c r="S900" s="237"/>
      <c r="T900" s="237"/>
      <c r="U900" s="237"/>
      <c r="V900" s="237"/>
      <c r="W900" s="237"/>
      <c r="X900" s="237"/>
      <c r="Y900" s="237"/>
      <c r="Z900" s="237"/>
    </row>
    <row r="901" ht="14.25" customHeight="1" spans="1:26">
      <c r="A901" s="237"/>
      <c r="B901" s="237"/>
      <c r="C901" s="237"/>
      <c r="D901" s="237"/>
      <c r="E901" s="237"/>
      <c r="F901" s="237"/>
      <c r="G901" s="237"/>
      <c r="H901" s="237"/>
      <c r="I901" s="237"/>
      <c r="J901" s="237"/>
      <c r="K901" s="237"/>
      <c r="L901" s="237"/>
      <c r="M901" s="237"/>
      <c r="N901" s="237"/>
      <c r="O901" s="237"/>
      <c r="P901" s="237"/>
      <c r="Q901" s="237"/>
      <c r="R901" s="237"/>
      <c r="S901" s="237"/>
      <c r="T901" s="237"/>
      <c r="U901" s="237"/>
      <c r="V901" s="237"/>
      <c r="W901" s="237"/>
      <c r="X901" s="237"/>
      <c r="Y901" s="237"/>
      <c r="Z901" s="237"/>
    </row>
    <row r="902" ht="14.25" customHeight="1" spans="1:26">
      <c r="A902" s="237"/>
      <c r="B902" s="237"/>
      <c r="C902" s="237"/>
      <c r="D902" s="237"/>
      <c r="E902" s="237"/>
      <c r="F902" s="237"/>
      <c r="G902" s="237"/>
      <c r="H902" s="237"/>
      <c r="I902" s="237"/>
      <c r="J902" s="237"/>
      <c r="K902" s="237"/>
      <c r="L902" s="237"/>
      <c r="M902" s="237"/>
      <c r="N902" s="237"/>
      <c r="O902" s="237"/>
      <c r="P902" s="237"/>
      <c r="Q902" s="237"/>
      <c r="R902" s="237"/>
      <c r="S902" s="237"/>
      <c r="T902" s="237"/>
      <c r="U902" s="237"/>
      <c r="V902" s="237"/>
      <c r="W902" s="237"/>
      <c r="X902" s="237"/>
      <c r="Y902" s="237"/>
      <c r="Z902" s="237"/>
    </row>
    <row r="903" ht="14.25" customHeight="1" spans="1:26">
      <c r="A903" s="237"/>
      <c r="B903" s="237"/>
      <c r="C903" s="237"/>
      <c r="D903" s="237"/>
      <c r="E903" s="237"/>
      <c r="F903" s="237"/>
      <c r="G903" s="237"/>
      <c r="H903" s="237"/>
      <c r="I903" s="237"/>
      <c r="J903" s="237"/>
      <c r="K903" s="237"/>
      <c r="L903" s="237"/>
      <c r="M903" s="237"/>
      <c r="N903" s="237"/>
      <c r="O903" s="237"/>
      <c r="P903" s="237"/>
      <c r="Q903" s="237"/>
      <c r="R903" s="237"/>
      <c r="S903" s="237"/>
      <c r="T903" s="237"/>
      <c r="U903" s="237"/>
      <c r="V903" s="237"/>
      <c r="W903" s="237"/>
      <c r="X903" s="237"/>
      <c r="Y903" s="237"/>
      <c r="Z903" s="237"/>
    </row>
    <row r="904" ht="14.25" customHeight="1" spans="1:26">
      <c r="A904" s="237"/>
      <c r="B904" s="237"/>
      <c r="C904" s="237"/>
      <c r="D904" s="237"/>
      <c r="E904" s="237"/>
      <c r="F904" s="237"/>
      <c r="G904" s="237"/>
      <c r="H904" s="237"/>
      <c r="I904" s="237"/>
      <c r="J904" s="237"/>
      <c r="K904" s="237"/>
      <c r="L904" s="237"/>
      <c r="M904" s="237"/>
      <c r="N904" s="237"/>
      <c r="O904" s="237"/>
      <c r="P904" s="237"/>
      <c r="Q904" s="237"/>
      <c r="R904" s="237"/>
      <c r="S904" s="237"/>
      <c r="T904" s="237"/>
      <c r="U904" s="237"/>
      <c r="V904" s="237"/>
      <c r="W904" s="237"/>
      <c r="X904" s="237"/>
      <c r="Y904" s="237"/>
      <c r="Z904" s="237"/>
    </row>
    <row r="905" ht="14.25" customHeight="1" spans="1:26">
      <c r="A905" s="237"/>
      <c r="B905" s="237"/>
      <c r="C905" s="237"/>
      <c r="D905" s="237"/>
      <c r="E905" s="237"/>
      <c r="F905" s="237"/>
      <c r="G905" s="237"/>
      <c r="H905" s="237"/>
      <c r="I905" s="237"/>
      <c r="J905" s="237"/>
      <c r="K905" s="237"/>
      <c r="L905" s="237"/>
      <c r="M905" s="237"/>
      <c r="N905" s="237"/>
      <c r="O905" s="237"/>
      <c r="P905" s="237"/>
      <c r="Q905" s="237"/>
      <c r="R905" s="237"/>
      <c r="S905" s="237"/>
      <c r="T905" s="237"/>
      <c r="U905" s="237"/>
      <c r="V905" s="237"/>
      <c r="W905" s="237"/>
      <c r="X905" s="237"/>
      <c r="Y905" s="237"/>
      <c r="Z905" s="237"/>
    </row>
    <row r="906" ht="14.25" customHeight="1" spans="1:26">
      <c r="A906" s="237"/>
      <c r="B906" s="237"/>
      <c r="C906" s="237"/>
      <c r="D906" s="237"/>
      <c r="E906" s="237"/>
      <c r="F906" s="237"/>
      <c r="G906" s="237"/>
      <c r="H906" s="237"/>
      <c r="I906" s="237"/>
      <c r="J906" s="237"/>
      <c r="K906" s="237"/>
      <c r="L906" s="237"/>
      <c r="M906" s="237"/>
      <c r="N906" s="237"/>
      <c r="O906" s="237"/>
      <c r="P906" s="237"/>
      <c r="Q906" s="237"/>
      <c r="R906" s="237"/>
      <c r="S906" s="237"/>
      <c r="T906" s="237"/>
      <c r="U906" s="237"/>
      <c r="V906" s="237"/>
      <c r="W906" s="237"/>
      <c r="X906" s="237"/>
      <c r="Y906" s="237"/>
      <c r="Z906" s="237"/>
    </row>
    <row r="907" ht="14.25" customHeight="1" spans="1:26">
      <c r="A907" s="237"/>
      <c r="B907" s="237"/>
      <c r="C907" s="237"/>
      <c r="D907" s="237"/>
      <c r="E907" s="237"/>
      <c r="F907" s="237"/>
      <c r="G907" s="237"/>
      <c r="H907" s="237"/>
      <c r="I907" s="237"/>
      <c r="J907" s="237"/>
      <c r="K907" s="237"/>
      <c r="L907" s="237"/>
      <c r="M907" s="237"/>
      <c r="N907" s="237"/>
      <c r="O907" s="237"/>
      <c r="P907" s="237"/>
      <c r="Q907" s="237"/>
      <c r="R907" s="237"/>
      <c r="S907" s="237"/>
      <c r="T907" s="237"/>
      <c r="U907" s="237"/>
      <c r="V907" s="237"/>
      <c r="W907" s="237"/>
      <c r="X907" s="237"/>
      <c r="Y907" s="237"/>
      <c r="Z907" s="237"/>
    </row>
    <row r="908" ht="14.25" customHeight="1" spans="1:26">
      <c r="A908" s="237"/>
      <c r="B908" s="237"/>
      <c r="C908" s="237"/>
      <c r="D908" s="237"/>
      <c r="E908" s="237"/>
      <c r="F908" s="237"/>
      <c r="G908" s="237"/>
      <c r="H908" s="237"/>
      <c r="I908" s="237"/>
      <c r="J908" s="237"/>
      <c r="K908" s="237"/>
      <c r="L908" s="237"/>
      <c r="M908" s="237"/>
      <c r="N908" s="237"/>
      <c r="O908" s="237"/>
      <c r="P908" s="237"/>
      <c r="Q908" s="237"/>
      <c r="R908" s="237"/>
      <c r="S908" s="237"/>
      <c r="T908" s="237"/>
      <c r="U908" s="237"/>
      <c r="V908" s="237"/>
      <c r="W908" s="237"/>
      <c r="X908" s="237"/>
      <c r="Y908" s="237"/>
      <c r="Z908" s="237"/>
    </row>
    <row r="909" ht="14.25" customHeight="1" spans="1:26">
      <c r="A909" s="237"/>
      <c r="B909" s="237"/>
      <c r="C909" s="237"/>
      <c r="D909" s="237"/>
      <c r="E909" s="237"/>
      <c r="F909" s="237"/>
      <c r="G909" s="237"/>
      <c r="H909" s="237"/>
      <c r="I909" s="237"/>
      <c r="J909" s="237"/>
      <c r="K909" s="237"/>
      <c r="L909" s="237"/>
      <c r="M909" s="237"/>
      <c r="N909" s="237"/>
      <c r="O909" s="237"/>
      <c r="P909" s="237"/>
      <c r="Q909" s="237"/>
      <c r="R909" s="237"/>
      <c r="S909" s="237"/>
      <c r="T909" s="237"/>
      <c r="U909" s="237"/>
      <c r="V909" s="237"/>
      <c r="W909" s="237"/>
      <c r="X909" s="237"/>
      <c r="Y909" s="237"/>
      <c r="Z909" s="237"/>
    </row>
    <row r="910" ht="14.25" customHeight="1" spans="1:26">
      <c r="A910" s="237"/>
      <c r="B910" s="237"/>
      <c r="C910" s="237"/>
      <c r="D910" s="237"/>
      <c r="E910" s="237"/>
      <c r="F910" s="237"/>
      <c r="G910" s="237"/>
      <c r="H910" s="237"/>
      <c r="I910" s="237"/>
      <c r="J910" s="237"/>
      <c r="K910" s="237"/>
      <c r="L910" s="237"/>
      <c r="M910" s="237"/>
      <c r="N910" s="237"/>
      <c r="O910" s="237"/>
      <c r="P910" s="237"/>
      <c r="Q910" s="237"/>
      <c r="R910" s="237"/>
      <c r="S910" s="237"/>
      <c r="T910" s="237"/>
      <c r="U910" s="237"/>
      <c r="V910" s="237"/>
      <c r="W910" s="237"/>
      <c r="X910" s="237"/>
      <c r="Y910" s="237"/>
      <c r="Z910" s="237"/>
    </row>
    <row r="911" ht="14.25" customHeight="1" spans="1:26">
      <c r="A911" s="237"/>
      <c r="B911" s="237"/>
      <c r="C911" s="237"/>
      <c r="D911" s="237"/>
      <c r="E911" s="237"/>
      <c r="F911" s="237"/>
      <c r="G911" s="237"/>
      <c r="H911" s="237"/>
      <c r="I911" s="237"/>
      <c r="J911" s="237"/>
      <c r="K911" s="237"/>
      <c r="L911" s="237"/>
      <c r="M911" s="237"/>
      <c r="N911" s="237"/>
      <c r="O911" s="237"/>
      <c r="P911" s="237"/>
      <c r="Q911" s="237"/>
      <c r="R911" s="237"/>
      <c r="S911" s="237"/>
      <c r="T911" s="237"/>
      <c r="U911" s="237"/>
      <c r="V911" s="237"/>
      <c r="W911" s="237"/>
      <c r="X911" s="237"/>
      <c r="Y911" s="237"/>
      <c r="Z911" s="237"/>
    </row>
    <row r="912" ht="14.25" customHeight="1" spans="1:26">
      <c r="A912" s="237"/>
      <c r="B912" s="237"/>
      <c r="C912" s="237"/>
      <c r="D912" s="237"/>
      <c r="E912" s="237"/>
      <c r="F912" s="237"/>
      <c r="G912" s="237"/>
      <c r="H912" s="237"/>
      <c r="I912" s="237"/>
      <c r="J912" s="237"/>
      <c r="K912" s="237"/>
      <c r="L912" s="237"/>
      <c r="M912" s="237"/>
      <c r="N912" s="237"/>
      <c r="O912" s="237"/>
      <c r="P912" s="237"/>
      <c r="Q912" s="237"/>
      <c r="R912" s="237"/>
      <c r="S912" s="237"/>
      <c r="T912" s="237"/>
      <c r="U912" s="237"/>
      <c r="V912" s="237"/>
      <c r="W912" s="237"/>
      <c r="X912" s="237"/>
      <c r="Y912" s="237"/>
      <c r="Z912" s="237"/>
    </row>
    <row r="913" ht="14.25" customHeight="1" spans="1:26">
      <c r="A913" s="237"/>
      <c r="B913" s="237"/>
      <c r="C913" s="237"/>
      <c r="D913" s="237"/>
      <c r="E913" s="237"/>
      <c r="F913" s="237"/>
      <c r="G913" s="237"/>
      <c r="H913" s="237"/>
      <c r="I913" s="237"/>
      <c r="J913" s="237"/>
      <c r="K913" s="237"/>
      <c r="L913" s="237"/>
      <c r="M913" s="237"/>
      <c r="N913" s="237"/>
      <c r="O913" s="237"/>
      <c r="P913" s="237"/>
      <c r="Q913" s="237"/>
      <c r="R913" s="237"/>
      <c r="S913" s="237"/>
      <c r="T913" s="237"/>
      <c r="U913" s="237"/>
      <c r="V913" s="237"/>
      <c r="W913" s="237"/>
      <c r="X913" s="237"/>
      <c r="Y913" s="237"/>
      <c r="Z913" s="237"/>
    </row>
    <row r="914" ht="14.25" customHeight="1" spans="1:26">
      <c r="A914" s="237"/>
      <c r="B914" s="237"/>
      <c r="C914" s="237"/>
      <c r="D914" s="237"/>
      <c r="E914" s="237"/>
      <c r="F914" s="237"/>
      <c r="G914" s="237"/>
      <c r="H914" s="237"/>
      <c r="I914" s="237"/>
      <c r="J914" s="237"/>
      <c r="K914" s="237"/>
      <c r="L914" s="237"/>
      <c r="M914" s="237"/>
      <c r="N914" s="237"/>
      <c r="O914" s="237"/>
      <c r="P914" s="237"/>
      <c r="Q914" s="237"/>
      <c r="R914" s="237"/>
      <c r="S914" s="237"/>
      <c r="T914" s="237"/>
      <c r="U914" s="237"/>
      <c r="V914" s="237"/>
      <c r="W914" s="237"/>
      <c r="X914" s="237"/>
      <c r="Y914" s="237"/>
      <c r="Z914" s="237"/>
    </row>
    <row r="915" ht="14.25" customHeight="1" spans="1:26">
      <c r="A915" s="237"/>
      <c r="B915" s="237"/>
      <c r="C915" s="237"/>
      <c r="D915" s="237"/>
      <c r="E915" s="237"/>
      <c r="F915" s="237"/>
      <c r="G915" s="237"/>
      <c r="H915" s="237"/>
      <c r="I915" s="237"/>
      <c r="J915" s="237"/>
      <c r="K915" s="237"/>
      <c r="L915" s="237"/>
      <c r="M915" s="237"/>
      <c r="N915" s="237"/>
      <c r="O915" s="237"/>
      <c r="P915" s="237"/>
      <c r="Q915" s="237"/>
      <c r="R915" s="237"/>
      <c r="S915" s="237"/>
      <c r="T915" s="237"/>
      <c r="U915" s="237"/>
      <c r="V915" s="237"/>
      <c r="W915" s="237"/>
      <c r="X915" s="237"/>
      <c r="Y915" s="237"/>
      <c r="Z915" s="237"/>
    </row>
    <row r="916" ht="14.25" customHeight="1" spans="1:26">
      <c r="A916" s="237"/>
      <c r="B916" s="237"/>
      <c r="C916" s="237"/>
      <c r="D916" s="237"/>
      <c r="E916" s="237"/>
      <c r="F916" s="237"/>
      <c r="G916" s="237"/>
      <c r="H916" s="237"/>
      <c r="I916" s="237"/>
      <c r="J916" s="237"/>
      <c r="K916" s="237"/>
      <c r="L916" s="237"/>
      <c r="M916" s="237"/>
      <c r="N916" s="237"/>
      <c r="O916" s="237"/>
      <c r="P916" s="237"/>
      <c r="Q916" s="237"/>
      <c r="R916" s="237"/>
      <c r="S916" s="237"/>
      <c r="T916" s="237"/>
      <c r="U916" s="237"/>
      <c r="V916" s="237"/>
      <c r="W916" s="237"/>
      <c r="X916" s="237"/>
      <c r="Y916" s="237"/>
      <c r="Z916" s="237"/>
    </row>
    <row r="917" ht="14.25" customHeight="1" spans="1:26">
      <c r="A917" s="237"/>
      <c r="B917" s="237"/>
      <c r="C917" s="237"/>
      <c r="D917" s="237"/>
      <c r="E917" s="237"/>
      <c r="F917" s="237"/>
      <c r="G917" s="237"/>
      <c r="H917" s="237"/>
      <c r="I917" s="237"/>
      <c r="J917" s="237"/>
      <c r="K917" s="237"/>
      <c r="L917" s="237"/>
      <c r="M917" s="237"/>
      <c r="N917" s="237"/>
      <c r="O917" s="237"/>
      <c r="P917" s="237"/>
      <c r="Q917" s="237"/>
      <c r="R917" s="237"/>
      <c r="S917" s="237"/>
      <c r="T917" s="237"/>
      <c r="U917" s="237"/>
      <c r="V917" s="237"/>
      <c r="W917" s="237"/>
      <c r="X917" s="237"/>
      <c r="Y917" s="237"/>
      <c r="Z917" s="237"/>
    </row>
    <row r="918" ht="14.25" customHeight="1" spans="1:26">
      <c r="A918" s="237"/>
      <c r="B918" s="237"/>
      <c r="C918" s="237"/>
      <c r="D918" s="237"/>
      <c r="E918" s="237"/>
      <c r="F918" s="237"/>
      <c r="G918" s="237"/>
      <c r="H918" s="237"/>
      <c r="I918" s="237"/>
      <c r="J918" s="237"/>
      <c r="K918" s="237"/>
      <c r="L918" s="237"/>
      <c r="M918" s="237"/>
      <c r="N918" s="237"/>
      <c r="O918" s="237"/>
      <c r="P918" s="237"/>
      <c r="Q918" s="237"/>
      <c r="R918" s="237"/>
      <c r="S918" s="237"/>
      <c r="T918" s="237"/>
      <c r="U918" s="237"/>
      <c r="V918" s="237"/>
      <c r="W918" s="237"/>
      <c r="X918" s="237"/>
      <c r="Y918" s="237"/>
      <c r="Z918" s="237"/>
    </row>
    <row r="919" ht="14.25" customHeight="1" spans="1:26">
      <c r="A919" s="237"/>
      <c r="B919" s="237"/>
      <c r="C919" s="237"/>
      <c r="D919" s="237"/>
      <c r="E919" s="237"/>
      <c r="F919" s="237"/>
      <c r="G919" s="237"/>
      <c r="H919" s="237"/>
      <c r="I919" s="237"/>
      <c r="J919" s="237"/>
      <c r="K919" s="237"/>
      <c r="L919" s="237"/>
      <c r="M919" s="237"/>
      <c r="N919" s="237"/>
      <c r="O919" s="237"/>
      <c r="P919" s="237"/>
      <c r="Q919" s="237"/>
      <c r="R919" s="237"/>
      <c r="S919" s="237"/>
      <c r="T919" s="237"/>
      <c r="U919" s="237"/>
      <c r="V919" s="237"/>
      <c r="W919" s="237"/>
      <c r="X919" s="237"/>
      <c r="Y919" s="237"/>
      <c r="Z919" s="237"/>
    </row>
    <row r="920" ht="14.25" customHeight="1" spans="1:26">
      <c r="A920" s="237"/>
      <c r="B920" s="237"/>
      <c r="C920" s="237"/>
      <c r="D920" s="237"/>
      <c r="E920" s="237"/>
      <c r="F920" s="237"/>
      <c r="G920" s="237"/>
      <c r="H920" s="237"/>
      <c r="I920" s="237"/>
      <c r="J920" s="237"/>
      <c r="K920" s="237"/>
      <c r="L920" s="237"/>
      <c r="M920" s="237"/>
      <c r="N920" s="237"/>
      <c r="O920" s="237"/>
      <c r="P920" s="237"/>
      <c r="Q920" s="237"/>
      <c r="R920" s="237"/>
      <c r="S920" s="237"/>
      <c r="T920" s="237"/>
      <c r="U920" s="237"/>
      <c r="V920" s="237"/>
      <c r="W920" s="237"/>
      <c r="X920" s="237"/>
      <c r="Y920" s="237"/>
      <c r="Z920" s="237"/>
    </row>
    <row r="921" ht="14.25" customHeight="1" spans="1:26">
      <c r="A921" s="237"/>
      <c r="B921" s="237"/>
      <c r="C921" s="237"/>
      <c r="D921" s="237"/>
      <c r="E921" s="237"/>
      <c r="F921" s="237"/>
      <c r="G921" s="237"/>
      <c r="H921" s="237"/>
      <c r="I921" s="237"/>
      <c r="J921" s="237"/>
      <c r="K921" s="237"/>
      <c r="L921" s="237"/>
      <c r="M921" s="237"/>
      <c r="N921" s="237"/>
      <c r="O921" s="237"/>
      <c r="P921" s="237"/>
      <c r="Q921" s="237"/>
      <c r="R921" s="237"/>
      <c r="S921" s="237"/>
      <c r="T921" s="237"/>
      <c r="U921" s="237"/>
      <c r="V921" s="237"/>
      <c r="W921" s="237"/>
      <c r="X921" s="237"/>
      <c r="Y921" s="237"/>
      <c r="Z921" s="237"/>
    </row>
    <row r="922" ht="14.25" customHeight="1" spans="1:26">
      <c r="A922" s="237"/>
      <c r="B922" s="237"/>
      <c r="C922" s="237"/>
      <c r="D922" s="237"/>
      <c r="E922" s="237"/>
      <c r="F922" s="237"/>
      <c r="G922" s="237"/>
      <c r="H922" s="237"/>
      <c r="I922" s="237"/>
      <c r="J922" s="237"/>
      <c r="K922" s="237"/>
      <c r="L922" s="237"/>
      <c r="M922" s="237"/>
      <c r="N922" s="237"/>
      <c r="O922" s="237"/>
      <c r="P922" s="237"/>
      <c r="Q922" s="237"/>
      <c r="R922" s="237"/>
      <c r="S922" s="237"/>
      <c r="T922" s="237"/>
      <c r="U922" s="237"/>
      <c r="V922" s="237"/>
      <c r="W922" s="237"/>
      <c r="X922" s="237"/>
      <c r="Y922" s="237"/>
      <c r="Z922" s="237"/>
    </row>
    <row r="923" ht="14.25" customHeight="1" spans="1:26">
      <c r="A923" s="237"/>
      <c r="B923" s="237"/>
      <c r="C923" s="237"/>
      <c r="D923" s="237"/>
      <c r="E923" s="237"/>
      <c r="F923" s="237"/>
      <c r="G923" s="237"/>
      <c r="H923" s="237"/>
      <c r="I923" s="237"/>
      <c r="J923" s="237"/>
      <c r="K923" s="237"/>
      <c r="L923" s="237"/>
      <c r="M923" s="237"/>
      <c r="N923" s="237"/>
      <c r="O923" s="237"/>
      <c r="P923" s="237"/>
      <c r="Q923" s="237"/>
      <c r="R923" s="237"/>
      <c r="S923" s="237"/>
      <c r="T923" s="237"/>
      <c r="U923" s="237"/>
      <c r="V923" s="237"/>
      <c r="W923" s="237"/>
      <c r="X923" s="237"/>
      <c r="Y923" s="237"/>
      <c r="Z923" s="237"/>
    </row>
    <row r="924" ht="14.25" customHeight="1" spans="1:26">
      <c r="A924" s="237"/>
      <c r="B924" s="237"/>
      <c r="C924" s="237"/>
      <c r="D924" s="237"/>
      <c r="E924" s="237"/>
      <c r="F924" s="237"/>
      <c r="G924" s="237"/>
      <c r="H924" s="237"/>
      <c r="I924" s="237"/>
      <c r="J924" s="237"/>
      <c r="K924" s="237"/>
      <c r="L924" s="237"/>
      <c r="M924" s="237"/>
      <c r="N924" s="237"/>
      <c r="O924" s="237"/>
      <c r="P924" s="237"/>
      <c r="Q924" s="237"/>
      <c r="R924" s="237"/>
      <c r="S924" s="237"/>
      <c r="T924" s="237"/>
      <c r="U924" s="237"/>
      <c r="V924" s="237"/>
      <c r="W924" s="237"/>
      <c r="X924" s="237"/>
      <c r="Y924" s="237"/>
      <c r="Z924" s="237"/>
    </row>
    <row r="925" ht="14.25" customHeight="1" spans="1:26">
      <c r="A925" s="237"/>
      <c r="B925" s="237"/>
      <c r="C925" s="237"/>
      <c r="D925" s="237"/>
      <c r="E925" s="237"/>
      <c r="F925" s="237"/>
      <c r="G925" s="237"/>
      <c r="H925" s="237"/>
      <c r="I925" s="237"/>
      <c r="J925" s="237"/>
      <c r="K925" s="237"/>
      <c r="L925" s="237"/>
      <c r="M925" s="237"/>
      <c r="N925" s="237"/>
      <c r="O925" s="237"/>
      <c r="P925" s="237"/>
      <c r="Q925" s="237"/>
      <c r="R925" s="237"/>
      <c r="S925" s="237"/>
      <c r="T925" s="237"/>
      <c r="U925" s="237"/>
      <c r="V925" s="237"/>
      <c r="W925" s="237"/>
      <c r="X925" s="237"/>
      <c r="Y925" s="237"/>
      <c r="Z925" s="237"/>
    </row>
    <row r="926" ht="14.25" customHeight="1" spans="1:26">
      <c r="A926" s="237"/>
      <c r="B926" s="237"/>
      <c r="C926" s="237"/>
      <c r="D926" s="237"/>
      <c r="E926" s="237"/>
      <c r="F926" s="237"/>
      <c r="G926" s="237"/>
      <c r="H926" s="237"/>
      <c r="I926" s="237"/>
      <c r="J926" s="237"/>
      <c r="K926" s="237"/>
      <c r="L926" s="237"/>
      <c r="M926" s="237"/>
      <c r="N926" s="237"/>
      <c r="O926" s="237"/>
      <c r="P926" s="237"/>
      <c r="Q926" s="237"/>
      <c r="R926" s="237"/>
      <c r="S926" s="237"/>
      <c r="T926" s="237"/>
      <c r="U926" s="237"/>
      <c r="V926" s="237"/>
      <c r="W926" s="237"/>
      <c r="X926" s="237"/>
      <c r="Y926" s="237"/>
      <c r="Z926" s="237"/>
    </row>
    <row r="927" ht="14.25" customHeight="1" spans="1:26">
      <c r="A927" s="237"/>
      <c r="B927" s="237"/>
      <c r="C927" s="237"/>
      <c r="D927" s="237"/>
      <c r="E927" s="237"/>
      <c r="F927" s="237"/>
      <c r="G927" s="237"/>
      <c r="H927" s="237"/>
      <c r="I927" s="237"/>
      <c r="J927" s="237"/>
      <c r="K927" s="237"/>
      <c r="L927" s="237"/>
      <c r="M927" s="237"/>
      <c r="N927" s="237"/>
      <c r="O927" s="237"/>
      <c r="P927" s="237"/>
      <c r="Q927" s="237"/>
      <c r="R927" s="237"/>
      <c r="S927" s="237"/>
      <c r="T927" s="237"/>
      <c r="U927" s="237"/>
      <c r="V927" s="237"/>
      <c r="W927" s="237"/>
      <c r="X927" s="237"/>
      <c r="Y927" s="237"/>
      <c r="Z927" s="237"/>
    </row>
    <row r="928" ht="14.25" customHeight="1" spans="1:26">
      <c r="A928" s="237"/>
      <c r="B928" s="237"/>
      <c r="C928" s="237"/>
      <c r="D928" s="237"/>
      <c r="E928" s="237"/>
      <c r="F928" s="237"/>
      <c r="G928" s="237"/>
      <c r="H928" s="237"/>
      <c r="I928" s="237"/>
      <c r="J928" s="237"/>
      <c r="K928" s="237"/>
      <c r="L928" s="237"/>
      <c r="M928" s="237"/>
      <c r="N928" s="237"/>
      <c r="O928" s="237"/>
      <c r="P928" s="237"/>
      <c r="Q928" s="237"/>
      <c r="R928" s="237"/>
      <c r="S928" s="237"/>
      <c r="T928" s="237"/>
      <c r="U928" s="237"/>
      <c r="V928" s="237"/>
      <c r="W928" s="237"/>
      <c r="X928" s="237"/>
      <c r="Y928" s="237"/>
      <c r="Z928" s="237"/>
    </row>
    <row r="929" ht="14.25" customHeight="1" spans="1:26">
      <c r="A929" s="237"/>
      <c r="B929" s="237"/>
      <c r="C929" s="237"/>
      <c r="D929" s="237"/>
      <c r="E929" s="237"/>
      <c r="F929" s="237"/>
      <c r="G929" s="237"/>
      <c r="H929" s="237"/>
      <c r="I929" s="237"/>
      <c r="J929" s="237"/>
      <c r="K929" s="237"/>
      <c r="L929" s="237"/>
      <c r="M929" s="237"/>
      <c r="N929" s="237"/>
      <c r="O929" s="237"/>
      <c r="P929" s="237"/>
      <c r="Q929" s="237"/>
      <c r="R929" s="237"/>
      <c r="S929" s="237"/>
      <c r="T929" s="237"/>
      <c r="U929" s="237"/>
      <c r="V929" s="237"/>
      <c r="W929" s="237"/>
      <c r="X929" s="237"/>
      <c r="Y929" s="237"/>
      <c r="Z929" s="237"/>
    </row>
    <row r="930" ht="14.25" customHeight="1" spans="1:26">
      <c r="A930" s="237"/>
      <c r="B930" s="237"/>
      <c r="C930" s="237"/>
      <c r="D930" s="237"/>
      <c r="E930" s="237"/>
      <c r="F930" s="237"/>
      <c r="G930" s="237"/>
      <c r="H930" s="237"/>
      <c r="I930" s="237"/>
      <c r="J930" s="237"/>
      <c r="K930" s="237"/>
      <c r="L930" s="237"/>
      <c r="M930" s="237"/>
      <c r="N930" s="237"/>
      <c r="O930" s="237"/>
      <c r="P930" s="237"/>
      <c r="Q930" s="237"/>
      <c r="R930" s="237"/>
      <c r="S930" s="237"/>
      <c r="T930" s="237"/>
      <c r="U930" s="237"/>
      <c r="V930" s="237"/>
      <c r="W930" s="237"/>
      <c r="X930" s="237"/>
      <c r="Y930" s="237"/>
      <c r="Z930" s="237"/>
    </row>
    <row r="931" ht="14.25" customHeight="1" spans="1:26">
      <c r="A931" s="237"/>
      <c r="B931" s="237"/>
      <c r="C931" s="237"/>
      <c r="D931" s="237"/>
      <c r="E931" s="237"/>
      <c r="F931" s="237"/>
      <c r="G931" s="237"/>
      <c r="H931" s="237"/>
      <c r="I931" s="237"/>
      <c r="J931" s="237"/>
      <c r="K931" s="237"/>
      <c r="L931" s="237"/>
      <c r="M931" s="237"/>
      <c r="N931" s="237"/>
      <c r="O931" s="237"/>
      <c r="P931" s="237"/>
      <c r="Q931" s="237"/>
      <c r="R931" s="237"/>
      <c r="S931" s="237"/>
      <c r="T931" s="237"/>
      <c r="U931" s="237"/>
      <c r="V931" s="237"/>
      <c r="W931" s="237"/>
      <c r="X931" s="237"/>
      <c r="Y931" s="237"/>
      <c r="Z931" s="237"/>
    </row>
    <row r="932" ht="14.25" customHeight="1" spans="1:26">
      <c r="A932" s="237"/>
      <c r="B932" s="237"/>
      <c r="C932" s="237"/>
      <c r="D932" s="237"/>
      <c r="E932" s="237"/>
      <c r="F932" s="237"/>
      <c r="G932" s="237"/>
      <c r="H932" s="237"/>
      <c r="I932" s="237"/>
      <c r="J932" s="237"/>
      <c r="K932" s="237"/>
      <c r="L932" s="237"/>
      <c r="M932" s="237"/>
      <c r="N932" s="237"/>
      <c r="O932" s="237"/>
      <c r="P932" s="237"/>
      <c r="Q932" s="237"/>
      <c r="R932" s="237"/>
      <c r="S932" s="237"/>
      <c r="T932" s="237"/>
      <c r="U932" s="237"/>
      <c r="V932" s="237"/>
      <c r="W932" s="237"/>
      <c r="X932" s="237"/>
      <c r="Y932" s="237"/>
      <c r="Z932" s="237"/>
    </row>
    <row r="933" ht="14.25" customHeight="1" spans="1:26">
      <c r="A933" s="237"/>
      <c r="B933" s="237"/>
      <c r="C933" s="237"/>
      <c r="D933" s="237"/>
      <c r="E933" s="237"/>
      <c r="F933" s="237"/>
      <c r="G933" s="237"/>
      <c r="H933" s="237"/>
      <c r="I933" s="237"/>
      <c r="J933" s="237"/>
      <c r="K933" s="237"/>
      <c r="L933" s="237"/>
      <c r="M933" s="237"/>
      <c r="N933" s="237"/>
      <c r="O933" s="237"/>
      <c r="P933" s="237"/>
      <c r="Q933" s="237"/>
      <c r="R933" s="237"/>
      <c r="S933" s="237"/>
      <c r="T933" s="237"/>
      <c r="U933" s="237"/>
      <c r="V933" s="237"/>
      <c r="W933" s="237"/>
      <c r="X933" s="237"/>
      <c r="Y933" s="237"/>
      <c r="Z933" s="237"/>
    </row>
    <row r="934" ht="14.25" customHeight="1" spans="1:26">
      <c r="A934" s="237"/>
      <c r="B934" s="237"/>
      <c r="C934" s="237"/>
      <c r="D934" s="237"/>
      <c r="E934" s="237"/>
      <c r="F934" s="237"/>
      <c r="G934" s="237"/>
      <c r="H934" s="237"/>
      <c r="I934" s="237"/>
      <c r="J934" s="237"/>
      <c r="K934" s="237"/>
      <c r="L934" s="237"/>
      <c r="M934" s="237"/>
      <c r="N934" s="237"/>
      <c r="O934" s="237"/>
      <c r="P934" s="237"/>
      <c r="Q934" s="237"/>
      <c r="R934" s="237"/>
      <c r="S934" s="237"/>
      <c r="T934" s="237"/>
      <c r="U934" s="237"/>
      <c r="V934" s="237"/>
      <c r="W934" s="237"/>
      <c r="X934" s="237"/>
      <c r="Y934" s="237"/>
      <c r="Z934" s="237"/>
    </row>
    <row r="935" ht="14.25" customHeight="1" spans="1:26">
      <c r="A935" s="237"/>
      <c r="B935" s="237"/>
      <c r="C935" s="237"/>
      <c r="D935" s="237"/>
      <c r="E935" s="237"/>
      <c r="F935" s="237"/>
      <c r="G935" s="237"/>
      <c r="H935" s="237"/>
      <c r="I935" s="237"/>
      <c r="J935" s="237"/>
      <c r="K935" s="237"/>
      <c r="L935" s="237"/>
      <c r="M935" s="237"/>
      <c r="N935" s="237"/>
      <c r="O935" s="237"/>
      <c r="P935" s="237"/>
      <c r="Q935" s="237"/>
      <c r="R935" s="237"/>
      <c r="S935" s="237"/>
      <c r="T935" s="237"/>
      <c r="U935" s="237"/>
      <c r="V935" s="237"/>
      <c r="W935" s="237"/>
      <c r="X935" s="237"/>
      <c r="Y935" s="237"/>
      <c r="Z935" s="237"/>
    </row>
    <row r="936" ht="14.25" customHeight="1" spans="1:26">
      <c r="A936" s="237"/>
      <c r="B936" s="237"/>
      <c r="C936" s="237"/>
      <c r="D936" s="237"/>
      <c r="E936" s="237"/>
      <c r="F936" s="237"/>
      <c r="G936" s="237"/>
      <c r="H936" s="237"/>
      <c r="I936" s="237"/>
      <c r="J936" s="237"/>
      <c r="K936" s="237"/>
      <c r="L936" s="237"/>
      <c r="M936" s="237"/>
      <c r="N936" s="237"/>
      <c r="O936" s="237"/>
      <c r="P936" s="237"/>
      <c r="Q936" s="237"/>
      <c r="R936" s="237"/>
      <c r="S936" s="237"/>
      <c r="T936" s="237"/>
      <c r="U936" s="237"/>
      <c r="V936" s="237"/>
      <c r="W936" s="237"/>
      <c r="X936" s="237"/>
      <c r="Y936" s="237"/>
      <c r="Z936" s="237"/>
    </row>
    <row r="937" ht="14.25" customHeight="1" spans="1:26">
      <c r="A937" s="237"/>
      <c r="B937" s="237"/>
      <c r="C937" s="237"/>
      <c r="D937" s="237"/>
      <c r="E937" s="237"/>
      <c r="F937" s="237"/>
      <c r="G937" s="237"/>
      <c r="H937" s="237"/>
      <c r="I937" s="237"/>
      <c r="J937" s="237"/>
      <c r="K937" s="237"/>
      <c r="L937" s="237"/>
      <c r="M937" s="237"/>
      <c r="N937" s="237"/>
      <c r="O937" s="237"/>
      <c r="P937" s="237"/>
      <c r="Q937" s="237"/>
      <c r="R937" s="237"/>
      <c r="S937" s="237"/>
      <c r="T937" s="237"/>
      <c r="U937" s="237"/>
      <c r="V937" s="237"/>
      <c r="W937" s="237"/>
      <c r="X937" s="237"/>
      <c r="Y937" s="237"/>
      <c r="Z937" s="237"/>
    </row>
    <row r="938" ht="14.25" customHeight="1" spans="1:26">
      <c r="A938" s="237"/>
      <c r="B938" s="237"/>
      <c r="C938" s="237"/>
      <c r="D938" s="237"/>
      <c r="E938" s="237"/>
      <c r="F938" s="237"/>
      <c r="G938" s="237"/>
      <c r="H938" s="237"/>
      <c r="I938" s="237"/>
      <c r="J938" s="237"/>
      <c r="K938" s="237"/>
      <c r="L938" s="237"/>
      <c r="M938" s="237"/>
      <c r="N938" s="237"/>
      <c r="O938" s="237"/>
      <c r="P938" s="237"/>
      <c r="Q938" s="237"/>
      <c r="R938" s="237"/>
      <c r="S938" s="237"/>
      <c r="T938" s="237"/>
      <c r="U938" s="237"/>
      <c r="V938" s="237"/>
      <c r="W938" s="237"/>
      <c r="X938" s="237"/>
      <c r="Y938" s="237"/>
      <c r="Z938" s="237"/>
    </row>
    <row r="939" ht="14.25" customHeight="1" spans="1:26">
      <c r="A939" s="237"/>
      <c r="B939" s="237"/>
      <c r="C939" s="237"/>
      <c r="D939" s="237"/>
      <c r="E939" s="237"/>
      <c r="F939" s="237"/>
      <c r="G939" s="237"/>
      <c r="H939" s="237"/>
      <c r="I939" s="237"/>
      <c r="J939" s="237"/>
      <c r="K939" s="237"/>
      <c r="L939" s="237"/>
      <c r="M939" s="237"/>
      <c r="N939" s="237"/>
      <c r="O939" s="237"/>
      <c r="P939" s="237"/>
      <c r="Q939" s="237"/>
      <c r="R939" s="237"/>
      <c r="S939" s="237"/>
      <c r="T939" s="237"/>
      <c r="U939" s="237"/>
      <c r="V939" s="237"/>
      <c r="W939" s="237"/>
      <c r="X939" s="237"/>
      <c r="Y939" s="237"/>
      <c r="Z939" s="237"/>
    </row>
    <row r="940" ht="14.25" customHeight="1" spans="1:26">
      <c r="A940" s="237"/>
      <c r="B940" s="237"/>
      <c r="C940" s="237"/>
      <c r="D940" s="237"/>
      <c r="E940" s="237"/>
      <c r="F940" s="237"/>
      <c r="G940" s="237"/>
      <c r="H940" s="237"/>
      <c r="I940" s="237"/>
      <c r="J940" s="237"/>
      <c r="K940" s="237"/>
      <c r="L940" s="237"/>
      <c r="M940" s="237"/>
      <c r="N940" s="237"/>
      <c r="O940" s="237"/>
      <c r="P940" s="237"/>
      <c r="Q940" s="237"/>
      <c r="R940" s="237"/>
      <c r="S940" s="237"/>
      <c r="T940" s="237"/>
      <c r="U940" s="237"/>
      <c r="V940" s="237"/>
      <c r="W940" s="237"/>
      <c r="X940" s="237"/>
      <c r="Y940" s="237"/>
      <c r="Z940" s="237"/>
    </row>
    <row r="941" ht="14.25" customHeight="1" spans="1:26">
      <c r="A941" s="237"/>
      <c r="B941" s="237"/>
      <c r="C941" s="237"/>
      <c r="D941" s="237"/>
      <c r="E941" s="237"/>
      <c r="F941" s="237"/>
      <c r="G941" s="237"/>
      <c r="H941" s="237"/>
      <c r="I941" s="237"/>
      <c r="J941" s="237"/>
      <c r="K941" s="237"/>
      <c r="L941" s="237"/>
      <c r="M941" s="237"/>
      <c r="N941" s="237"/>
      <c r="O941" s="237"/>
      <c r="P941" s="237"/>
      <c r="Q941" s="237"/>
      <c r="R941" s="237"/>
      <c r="S941" s="237"/>
      <c r="T941" s="237"/>
      <c r="U941" s="237"/>
      <c r="V941" s="237"/>
      <c r="W941" s="237"/>
      <c r="X941" s="237"/>
      <c r="Y941" s="237"/>
      <c r="Z941" s="237"/>
    </row>
    <row r="942" ht="14.25" customHeight="1" spans="1:26">
      <c r="A942" s="237"/>
      <c r="B942" s="237"/>
      <c r="C942" s="237"/>
      <c r="D942" s="237"/>
      <c r="E942" s="237"/>
      <c r="F942" s="237"/>
      <c r="G942" s="237"/>
      <c r="H942" s="237"/>
      <c r="I942" s="237"/>
      <c r="J942" s="237"/>
      <c r="K942" s="237"/>
      <c r="L942" s="237"/>
      <c r="M942" s="237"/>
      <c r="N942" s="237"/>
      <c r="O942" s="237"/>
      <c r="P942" s="237"/>
      <c r="Q942" s="237"/>
      <c r="R942" s="237"/>
      <c r="S942" s="237"/>
      <c r="T942" s="237"/>
      <c r="U942" s="237"/>
      <c r="V942" s="237"/>
      <c r="W942" s="237"/>
      <c r="X942" s="237"/>
      <c r="Y942" s="237"/>
      <c r="Z942" s="237"/>
    </row>
    <row r="943" ht="14.25" customHeight="1" spans="1:26">
      <c r="A943" s="237"/>
      <c r="B943" s="237"/>
      <c r="C943" s="237"/>
      <c r="D943" s="237"/>
      <c r="E943" s="237"/>
      <c r="F943" s="237"/>
      <c r="G943" s="237"/>
      <c r="H943" s="237"/>
      <c r="I943" s="237"/>
      <c r="J943" s="237"/>
      <c r="K943" s="237"/>
      <c r="L943" s="237"/>
      <c r="M943" s="237"/>
      <c r="N943" s="237"/>
      <c r="O943" s="237"/>
      <c r="P943" s="237"/>
      <c r="Q943" s="237"/>
      <c r="R943" s="237"/>
      <c r="S943" s="237"/>
      <c r="T943" s="237"/>
      <c r="U943" s="237"/>
      <c r="V943" s="237"/>
      <c r="W943" s="237"/>
      <c r="X943" s="237"/>
      <c r="Y943" s="237"/>
      <c r="Z943" s="237"/>
    </row>
    <row r="944" ht="14.25" customHeight="1" spans="1:26">
      <c r="A944" s="237"/>
      <c r="B944" s="237"/>
      <c r="C944" s="237"/>
      <c r="D944" s="237"/>
      <c r="E944" s="237"/>
      <c r="F944" s="237"/>
      <c r="G944" s="237"/>
      <c r="H944" s="237"/>
      <c r="I944" s="237"/>
      <c r="J944" s="237"/>
      <c r="K944" s="237"/>
      <c r="L944" s="237"/>
      <c r="M944" s="237"/>
      <c r="N944" s="237"/>
      <c r="O944" s="237"/>
      <c r="P944" s="237"/>
      <c r="Q944" s="237"/>
      <c r="R944" s="237"/>
      <c r="S944" s="237"/>
      <c r="T944" s="237"/>
      <c r="U944" s="237"/>
      <c r="V944" s="237"/>
      <c r="W944" s="237"/>
      <c r="X944" s="237"/>
      <c r="Y944" s="237"/>
      <c r="Z944" s="237"/>
    </row>
    <row r="945" ht="14.25" customHeight="1" spans="1:26">
      <c r="A945" s="237"/>
      <c r="B945" s="237"/>
      <c r="C945" s="237"/>
      <c r="D945" s="237"/>
      <c r="E945" s="237"/>
      <c r="F945" s="237"/>
      <c r="G945" s="237"/>
      <c r="H945" s="237"/>
      <c r="I945" s="237"/>
      <c r="J945" s="237"/>
      <c r="K945" s="237"/>
      <c r="L945" s="237"/>
      <c r="M945" s="237"/>
      <c r="N945" s="237"/>
      <c r="O945" s="237"/>
      <c r="P945" s="237"/>
      <c r="Q945" s="237"/>
      <c r="R945" s="237"/>
      <c r="S945" s="237"/>
      <c r="T945" s="237"/>
      <c r="U945" s="237"/>
      <c r="V945" s="237"/>
      <c r="W945" s="237"/>
      <c r="X945" s="237"/>
      <c r="Y945" s="237"/>
      <c r="Z945" s="237"/>
    </row>
    <row r="946" ht="14.25" customHeight="1" spans="1:26">
      <c r="A946" s="237"/>
      <c r="B946" s="237"/>
      <c r="C946" s="237"/>
      <c r="D946" s="237"/>
      <c r="E946" s="237"/>
      <c r="F946" s="237"/>
      <c r="G946" s="237"/>
      <c r="H946" s="237"/>
      <c r="I946" s="237"/>
      <c r="J946" s="237"/>
      <c r="K946" s="237"/>
      <c r="L946" s="237"/>
      <c r="M946" s="237"/>
      <c r="N946" s="237"/>
      <c r="O946" s="237"/>
      <c r="P946" s="237"/>
      <c r="Q946" s="237"/>
      <c r="R946" s="237"/>
      <c r="S946" s="237"/>
      <c r="T946" s="237"/>
      <c r="U946" s="237"/>
      <c r="V946" s="237"/>
      <c r="W946" s="237"/>
      <c r="X946" s="237"/>
      <c r="Y946" s="237"/>
      <c r="Z946" s="237"/>
    </row>
    <row r="947" ht="14.25" customHeight="1" spans="1:26">
      <c r="A947" s="237"/>
      <c r="B947" s="237"/>
      <c r="C947" s="237"/>
      <c r="D947" s="237"/>
      <c r="E947" s="237"/>
      <c r="F947" s="237"/>
      <c r="G947" s="237"/>
      <c r="H947" s="237"/>
      <c r="I947" s="237"/>
      <c r="J947" s="237"/>
      <c r="K947" s="237"/>
      <c r="L947" s="237"/>
      <c r="M947" s="237"/>
      <c r="N947" s="237"/>
      <c r="O947" s="237"/>
      <c r="P947" s="237"/>
      <c r="Q947" s="237"/>
      <c r="R947" s="237"/>
      <c r="S947" s="237"/>
      <c r="T947" s="237"/>
      <c r="U947" s="237"/>
      <c r="V947" s="237"/>
      <c r="W947" s="237"/>
      <c r="X947" s="237"/>
      <c r="Y947" s="237"/>
      <c r="Z947" s="237"/>
    </row>
    <row r="948" ht="14.25" customHeight="1" spans="1:26">
      <c r="A948" s="237"/>
      <c r="B948" s="237"/>
      <c r="C948" s="237"/>
      <c r="D948" s="237"/>
      <c r="E948" s="237"/>
      <c r="F948" s="237"/>
      <c r="G948" s="237"/>
      <c r="H948" s="237"/>
      <c r="I948" s="237"/>
      <c r="J948" s="237"/>
      <c r="K948" s="237"/>
      <c r="L948" s="237"/>
      <c r="M948" s="237"/>
      <c r="N948" s="237"/>
      <c r="O948" s="237"/>
      <c r="P948" s="237"/>
      <c r="Q948" s="237"/>
      <c r="R948" s="237"/>
      <c r="S948" s="237"/>
      <c r="T948" s="237"/>
      <c r="U948" s="237"/>
      <c r="V948" s="237"/>
      <c r="W948" s="237"/>
      <c r="X948" s="237"/>
      <c r="Y948" s="237"/>
      <c r="Z948" s="237"/>
    </row>
    <row r="949" ht="14.25" customHeight="1" spans="1:26">
      <c r="A949" s="237"/>
      <c r="B949" s="237"/>
      <c r="C949" s="237"/>
      <c r="D949" s="237"/>
      <c r="E949" s="237"/>
      <c r="F949" s="237"/>
      <c r="G949" s="237"/>
      <c r="H949" s="237"/>
      <c r="I949" s="237"/>
      <c r="J949" s="237"/>
      <c r="K949" s="237"/>
      <c r="L949" s="237"/>
      <c r="M949" s="237"/>
      <c r="N949" s="237"/>
      <c r="O949" s="237"/>
      <c r="P949" s="237"/>
      <c r="Q949" s="237"/>
      <c r="R949" s="237"/>
      <c r="S949" s="237"/>
      <c r="T949" s="237"/>
      <c r="U949" s="237"/>
      <c r="V949" s="237"/>
      <c r="W949" s="237"/>
      <c r="X949" s="237"/>
      <c r="Y949" s="237"/>
      <c r="Z949" s="237"/>
    </row>
    <row r="950" ht="14.25" customHeight="1" spans="1:26">
      <c r="A950" s="237"/>
      <c r="B950" s="237"/>
      <c r="C950" s="237"/>
      <c r="D950" s="237"/>
      <c r="E950" s="237"/>
      <c r="F950" s="237"/>
      <c r="G950" s="237"/>
      <c r="H950" s="237"/>
      <c r="I950" s="237"/>
      <c r="J950" s="237"/>
      <c r="K950" s="237"/>
      <c r="L950" s="237"/>
      <c r="M950" s="237"/>
      <c r="N950" s="237"/>
      <c r="O950" s="237"/>
      <c r="P950" s="237"/>
      <c r="Q950" s="237"/>
      <c r="R950" s="237"/>
      <c r="S950" s="237"/>
      <c r="T950" s="237"/>
      <c r="U950" s="237"/>
      <c r="V950" s="237"/>
      <c r="W950" s="237"/>
      <c r="X950" s="237"/>
      <c r="Y950" s="237"/>
      <c r="Z950" s="237"/>
    </row>
    <row r="951" ht="14.25" customHeight="1" spans="1:26">
      <c r="A951" s="237"/>
      <c r="B951" s="237"/>
      <c r="C951" s="237"/>
      <c r="D951" s="237"/>
      <c r="E951" s="237"/>
      <c r="F951" s="237"/>
      <c r="G951" s="237"/>
      <c r="H951" s="237"/>
      <c r="I951" s="237"/>
      <c r="J951" s="237"/>
      <c r="K951" s="237"/>
      <c r="L951" s="237"/>
      <c r="M951" s="237"/>
      <c r="N951" s="237"/>
      <c r="O951" s="237"/>
      <c r="P951" s="237"/>
      <c r="Q951" s="237"/>
      <c r="R951" s="237"/>
      <c r="S951" s="237"/>
      <c r="T951" s="237"/>
      <c r="U951" s="237"/>
      <c r="V951" s="237"/>
      <c r="W951" s="237"/>
      <c r="X951" s="237"/>
      <c r="Y951" s="237"/>
      <c r="Z951" s="237"/>
    </row>
    <row r="952" ht="14.25" customHeight="1" spans="1:26">
      <c r="A952" s="237"/>
      <c r="B952" s="237"/>
      <c r="C952" s="237"/>
      <c r="D952" s="237"/>
      <c r="E952" s="237"/>
      <c r="F952" s="237"/>
      <c r="G952" s="237"/>
      <c r="H952" s="237"/>
      <c r="I952" s="237"/>
      <c r="J952" s="237"/>
      <c r="K952" s="237"/>
      <c r="L952" s="237"/>
      <c r="M952" s="237"/>
      <c r="N952" s="237"/>
      <c r="O952" s="237"/>
      <c r="P952" s="237"/>
      <c r="Q952" s="237"/>
      <c r="R952" s="237"/>
      <c r="S952" s="237"/>
      <c r="T952" s="237"/>
      <c r="U952" s="237"/>
      <c r="V952" s="237"/>
      <c r="W952" s="237"/>
      <c r="X952" s="237"/>
      <c r="Y952" s="237"/>
      <c r="Z952" s="237"/>
    </row>
    <row r="953" ht="14.25" customHeight="1" spans="1:26">
      <c r="A953" s="237"/>
      <c r="B953" s="237"/>
      <c r="C953" s="237"/>
      <c r="D953" s="237"/>
      <c r="E953" s="237"/>
      <c r="F953" s="237"/>
      <c r="G953" s="237"/>
      <c r="H953" s="237"/>
      <c r="I953" s="237"/>
      <c r="J953" s="237"/>
      <c r="K953" s="237"/>
      <c r="L953" s="237"/>
      <c r="M953" s="237"/>
      <c r="N953" s="237"/>
      <c r="O953" s="237"/>
      <c r="P953" s="237"/>
      <c r="Q953" s="237"/>
      <c r="R953" s="237"/>
      <c r="S953" s="237"/>
      <c r="T953" s="237"/>
      <c r="U953" s="237"/>
      <c r="V953" s="237"/>
      <c r="W953" s="237"/>
      <c r="X953" s="237"/>
      <c r="Y953" s="237"/>
      <c r="Z953" s="237"/>
    </row>
    <row r="954" ht="14.25" customHeight="1" spans="1:26">
      <c r="A954" s="237"/>
      <c r="B954" s="237"/>
      <c r="C954" s="237"/>
      <c r="D954" s="237"/>
      <c r="E954" s="237"/>
      <c r="F954" s="237"/>
      <c r="G954" s="237"/>
      <c r="H954" s="237"/>
      <c r="I954" s="237"/>
      <c r="J954" s="237"/>
      <c r="K954" s="237"/>
      <c r="L954" s="237"/>
      <c r="M954" s="237"/>
      <c r="N954" s="237"/>
      <c r="O954" s="237"/>
      <c r="P954" s="237"/>
      <c r="Q954" s="237"/>
      <c r="R954" s="237"/>
      <c r="S954" s="237"/>
      <c r="T954" s="237"/>
      <c r="U954" s="237"/>
      <c r="V954" s="237"/>
      <c r="W954" s="237"/>
      <c r="X954" s="237"/>
      <c r="Y954" s="237"/>
      <c r="Z954" s="237"/>
    </row>
    <row r="955" ht="14.25" customHeight="1" spans="1:26">
      <c r="A955" s="237"/>
      <c r="B955" s="237"/>
      <c r="C955" s="237"/>
      <c r="D955" s="237"/>
      <c r="E955" s="237"/>
      <c r="F955" s="237"/>
      <c r="G955" s="237"/>
      <c r="H955" s="237"/>
      <c r="I955" s="237"/>
      <c r="J955" s="237"/>
      <c r="K955" s="237"/>
      <c r="L955" s="237"/>
      <c r="M955" s="237"/>
      <c r="N955" s="237"/>
      <c r="O955" s="237"/>
      <c r="P955" s="237"/>
      <c r="Q955" s="237"/>
      <c r="R955" s="237"/>
      <c r="S955" s="237"/>
      <c r="T955" s="237"/>
      <c r="U955" s="237"/>
      <c r="V955" s="237"/>
      <c r="W955" s="237"/>
      <c r="X955" s="237"/>
      <c r="Y955" s="237"/>
      <c r="Z955" s="237"/>
    </row>
    <row r="956" ht="14.25" customHeight="1" spans="1:26">
      <c r="A956" s="237"/>
      <c r="B956" s="237"/>
      <c r="C956" s="237"/>
      <c r="D956" s="237"/>
      <c r="E956" s="237"/>
      <c r="F956" s="237"/>
      <c r="G956" s="237"/>
      <c r="H956" s="237"/>
      <c r="I956" s="237"/>
      <c r="J956" s="237"/>
      <c r="K956" s="237"/>
      <c r="L956" s="237"/>
      <c r="M956" s="237"/>
      <c r="N956" s="237"/>
      <c r="O956" s="237"/>
      <c r="P956" s="237"/>
      <c r="Q956" s="237"/>
      <c r="R956" s="237"/>
      <c r="S956" s="237"/>
      <c r="T956" s="237"/>
      <c r="U956" s="237"/>
      <c r="V956" s="237"/>
      <c r="W956" s="237"/>
      <c r="X956" s="237"/>
      <c r="Y956" s="237"/>
      <c r="Z956" s="237"/>
    </row>
    <row r="957" ht="14.25" customHeight="1" spans="1:26">
      <c r="A957" s="237"/>
      <c r="B957" s="237"/>
      <c r="C957" s="237"/>
      <c r="D957" s="237"/>
      <c r="E957" s="237"/>
      <c r="F957" s="237"/>
      <c r="G957" s="237"/>
      <c r="H957" s="237"/>
      <c r="I957" s="237"/>
      <c r="J957" s="237"/>
      <c r="K957" s="237"/>
      <c r="L957" s="237"/>
      <c r="M957" s="237"/>
      <c r="N957" s="237"/>
      <c r="O957" s="237"/>
      <c r="P957" s="237"/>
      <c r="Q957" s="237"/>
      <c r="R957" s="237"/>
      <c r="S957" s="237"/>
      <c r="T957" s="237"/>
      <c r="U957" s="237"/>
      <c r="V957" s="237"/>
      <c r="W957" s="237"/>
      <c r="X957" s="237"/>
      <c r="Y957" s="237"/>
      <c r="Z957" s="237"/>
    </row>
    <row r="958" ht="14.25" customHeight="1" spans="1:26">
      <c r="A958" s="237"/>
      <c r="B958" s="237"/>
      <c r="C958" s="237"/>
      <c r="D958" s="237"/>
      <c r="E958" s="237"/>
      <c r="F958" s="237"/>
      <c r="G958" s="237"/>
      <c r="H958" s="237"/>
      <c r="I958" s="237"/>
      <c r="J958" s="237"/>
      <c r="K958" s="237"/>
      <c r="L958" s="237"/>
      <c r="M958" s="237"/>
      <c r="N958" s="237"/>
      <c r="O958" s="237"/>
      <c r="P958" s="237"/>
      <c r="Q958" s="237"/>
      <c r="R958" s="237"/>
      <c r="S958" s="237"/>
      <c r="T958" s="237"/>
      <c r="U958" s="237"/>
      <c r="V958" s="237"/>
      <c r="W958" s="237"/>
      <c r="X958" s="237"/>
      <c r="Y958" s="237"/>
      <c r="Z958" s="237"/>
    </row>
    <row r="959" ht="14.25" customHeight="1" spans="1:26">
      <c r="A959" s="237"/>
      <c r="B959" s="237"/>
      <c r="C959" s="237"/>
      <c r="D959" s="237"/>
      <c r="E959" s="237"/>
      <c r="F959" s="237"/>
      <c r="G959" s="237"/>
      <c r="H959" s="237"/>
      <c r="I959" s="237"/>
      <c r="J959" s="237"/>
      <c r="K959" s="237"/>
      <c r="L959" s="237"/>
      <c r="M959" s="237"/>
      <c r="N959" s="237"/>
      <c r="O959" s="237"/>
      <c r="P959" s="237"/>
      <c r="Q959" s="237"/>
      <c r="R959" s="237"/>
      <c r="S959" s="237"/>
      <c r="T959" s="237"/>
      <c r="U959" s="237"/>
      <c r="V959" s="237"/>
      <c r="W959" s="237"/>
      <c r="X959" s="237"/>
      <c r="Y959" s="237"/>
      <c r="Z959" s="237"/>
    </row>
    <row r="960" ht="14.25" customHeight="1" spans="1:26">
      <c r="A960" s="237"/>
      <c r="B960" s="237"/>
      <c r="C960" s="237"/>
      <c r="D960" s="237"/>
      <c r="E960" s="237"/>
      <c r="F960" s="237"/>
      <c r="G960" s="237"/>
      <c r="H960" s="237"/>
      <c r="I960" s="237"/>
      <c r="J960" s="237"/>
      <c r="K960" s="237"/>
      <c r="L960" s="237"/>
      <c r="M960" s="237"/>
      <c r="N960" s="237"/>
      <c r="O960" s="237"/>
      <c r="P960" s="237"/>
      <c r="Q960" s="237"/>
      <c r="R960" s="237"/>
      <c r="S960" s="237"/>
      <c r="T960" s="237"/>
      <c r="U960" s="237"/>
      <c r="V960" s="237"/>
      <c r="W960" s="237"/>
      <c r="X960" s="237"/>
      <c r="Y960" s="237"/>
      <c r="Z960" s="237"/>
    </row>
    <row r="961" ht="14.25" customHeight="1" spans="1:26">
      <c r="A961" s="237"/>
      <c r="B961" s="237"/>
      <c r="C961" s="237"/>
      <c r="D961" s="237"/>
      <c r="E961" s="237"/>
      <c r="F961" s="237"/>
      <c r="G961" s="237"/>
      <c r="H961" s="237"/>
      <c r="I961" s="237"/>
      <c r="J961" s="237"/>
      <c r="K961" s="237"/>
      <c r="L961" s="237"/>
      <c r="M961" s="237"/>
      <c r="N961" s="237"/>
      <c r="O961" s="237"/>
      <c r="P961" s="237"/>
      <c r="Q961" s="237"/>
      <c r="R961" s="237"/>
      <c r="S961" s="237"/>
      <c r="T961" s="237"/>
      <c r="U961" s="237"/>
      <c r="V961" s="237"/>
      <c r="W961" s="237"/>
      <c r="X961" s="237"/>
      <c r="Y961" s="237"/>
      <c r="Z961" s="237"/>
    </row>
    <row r="962" ht="14.25" customHeight="1" spans="1:26">
      <c r="A962" s="237"/>
      <c r="B962" s="237"/>
      <c r="C962" s="237"/>
      <c r="D962" s="237"/>
      <c r="E962" s="237"/>
      <c r="F962" s="237"/>
      <c r="G962" s="237"/>
      <c r="H962" s="237"/>
      <c r="I962" s="237"/>
      <c r="J962" s="237"/>
      <c r="K962" s="237"/>
      <c r="L962" s="237"/>
      <c r="M962" s="237"/>
      <c r="N962" s="237"/>
      <c r="O962" s="237"/>
      <c r="P962" s="237"/>
      <c r="Q962" s="237"/>
      <c r="R962" s="237"/>
      <c r="S962" s="237"/>
      <c r="T962" s="237"/>
      <c r="U962" s="237"/>
      <c r="V962" s="237"/>
      <c r="W962" s="237"/>
      <c r="X962" s="237"/>
      <c r="Y962" s="237"/>
      <c r="Z962" s="237"/>
    </row>
    <row r="963" ht="14.25" customHeight="1" spans="1:26">
      <c r="A963" s="237"/>
      <c r="B963" s="237"/>
      <c r="C963" s="237"/>
      <c r="D963" s="237"/>
      <c r="E963" s="237"/>
      <c r="F963" s="237"/>
      <c r="G963" s="237"/>
      <c r="H963" s="237"/>
      <c r="I963" s="237"/>
      <c r="J963" s="237"/>
      <c r="K963" s="237"/>
      <c r="L963" s="237"/>
      <c r="M963" s="237"/>
      <c r="N963" s="237"/>
      <c r="O963" s="237"/>
      <c r="P963" s="237"/>
      <c r="Q963" s="237"/>
      <c r="R963" s="237"/>
      <c r="S963" s="237"/>
      <c r="T963" s="237"/>
      <c r="U963" s="237"/>
      <c r="V963" s="237"/>
      <c r="W963" s="237"/>
      <c r="X963" s="237"/>
      <c r="Y963" s="237"/>
      <c r="Z963" s="237"/>
    </row>
    <row r="964" ht="14.25" customHeight="1" spans="1:26">
      <c r="A964" s="237"/>
      <c r="B964" s="237"/>
      <c r="C964" s="237"/>
      <c r="D964" s="237"/>
      <c r="E964" s="237"/>
      <c r="F964" s="237"/>
      <c r="G964" s="237"/>
      <c r="H964" s="237"/>
      <c r="I964" s="237"/>
      <c r="J964" s="237"/>
      <c r="K964" s="237"/>
      <c r="L964" s="237"/>
      <c r="M964" s="237"/>
      <c r="N964" s="237"/>
      <c r="O964" s="237"/>
      <c r="P964" s="237"/>
      <c r="Q964" s="237"/>
      <c r="R964" s="237"/>
      <c r="S964" s="237"/>
      <c r="T964" s="237"/>
      <c r="U964" s="237"/>
      <c r="V964" s="237"/>
      <c r="W964" s="237"/>
      <c r="X964" s="237"/>
      <c r="Y964" s="237"/>
      <c r="Z964" s="237"/>
    </row>
    <row r="965" ht="14.25" customHeight="1" spans="1:26">
      <c r="A965" s="237"/>
      <c r="B965" s="237"/>
      <c r="C965" s="237"/>
      <c r="D965" s="237"/>
      <c r="E965" s="237"/>
      <c r="F965" s="237"/>
      <c r="G965" s="237"/>
      <c r="H965" s="237"/>
      <c r="I965" s="237"/>
      <c r="J965" s="237"/>
      <c r="K965" s="237"/>
      <c r="L965" s="237"/>
      <c r="M965" s="237"/>
      <c r="N965" s="237"/>
      <c r="O965" s="237"/>
      <c r="P965" s="237"/>
      <c r="Q965" s="237"/>
      <c r="R965" s="237"/>
      <c r="S965" s="237"/>
      <c r="T965" s="237"/>
      <c r="U965" s="237"/>
      <c r="V965" s="237"/>
      <c r="W965" s="237"/>
      <c r="X965" s="237"/>
      <c r="Y965" s="237"/>
      <c r="Z965" s="237"/>
    </row>
    <row r="966" ht="14.25" customHeight="1" spans="1:26">
      <c r="A966" s="237"/>
      <c r="B966" s="237"/>
      <c r="C966" s="237"/>
      <c r="D966" s="237"/>
      <c r="E966" s="237"/>
      <c r="F966" s="237"/>
      <c r="G966" s="237"/>
      <c r="H966" s="237"/>
      <c r="I966" s="237"/>
      <c r="J966" s="237"/>
      <c r="K966" s="237"/>
      <c r="L966" s="237"/>
      <c r="M966" s="237"/>
      <c r="N966" s="237"/>
      <c r="O966" s="237"/>
      <c r="P966" s="237"/>
      <c r="Q966" s="237"/>
      <c r="R966" s="237"/>
      <c r="S966" s="237"/>
      <c r="T966" s="237"/>
      <c r="U966" s="237"/>
      <c r="V966" s="237"/>
      <c r="W966" s="237"/>
      <c r="X966" s="237"/>
      <c r="Y966" s="237"/>
      <c r="Z966" s="237"/>
    </row>
    <row r="967" ht="14.25" customHeight="1" spans="1:26">
      <c r="A967" s="237"/>
      <c r="B967" s="237"/>
      <c r="C967" s="237"/>
      <c r="D967" s="237"/>
      <c r="E967" s="237"/>
      <c r="F967" s="237"/>
      <c r="G967" s="237"/>
      <c r="H967" s="237"/>
      <c r="I967" s="237"/>
      <c r="J967" s="237"/>
      <c r="K967" s="237"/>
      <c r="L967" s="237"/>
      <c r="M967" s="237"/>
      <c r="N967" s="237"/>
      <c r="O967" s="237"/>
      <c r="P967" s="237"/>
      <c r="Q967" s="237"/>
      <c r="R967" s="237"/>
      <c r="S967" s="237"/>
      <c r="T967" s="237"/>
      <c r="U967" s="237"/>
      <c r="V967" s="237"/>
      <c r="W967" s="237"/>
      <c r="X967" s="237"/>
      <c r="Y967" s="237"/>
      <c r="Z967" s="237"/>
    </row>
    <row r="968" ht="14.25" customHeight="1" spans="1:26">
      <c r="A968" s="237"/>
      <c r="B968" s="237"/>
      <c r="C968" s="237"/>
      <c r="D968" s="237"/>
      <c r="E968" s="237"/>
      <c r="F968" s="237"/>
      <c r="G968" s="237"/>
      <c r="H968" s="237"/>
      <c r="I968" s="237"/>
      <c r="J968" s="237"/>
      <c r="K968" s="237"/>
      <c r="L968" s="237"/>
      <c r="M968" s="237"/>
      <c r="N968" s="237"/>
      <c r="O968" s="237"/>
      <c r="P968" s="237"/>
      <c r="Q968" s="237"/>
      <c r="R968" s="237"/>
      <c r="S968" s="237"/>
      <c r="T968" s="237"/>
      <c r="U968" s="237"/>
      <c r="V968" s="237"/>
      <c r="W968" s="237"/>
      <c r="X968" s="237"/>
      <c r="Y968" s="237"/>
      <c r="Z968" s="237"/>
    </row>
    <row r="969" ht="14.25" customHeight="1" spans="1:26">
      <c r="A969" s="237"/>
      <c r="B969" s="237"/>
      <c r="C969" s="237"/>
      <c r="D969" s="237"/>
      <c r="E969" s="237"/>
      <c r="F969" s="237"/>
      <c r="G969" s="237"/>
      <c r="H969" s="237"/>
      <c r="I969" s="237"/>
      <c r="J969" s="237"/>
      <c r="K969" s="237"/>
      <c r="L969" s="237"/>
      <c r="M969" s="237"/>
      <c r="N969" s="237"/>
      <c r="O969" s="237"/>
      <c r="P969" s="237"/>
      <c r="Q969" s="237"/>
      <c r="R969" s="237"/>
      <c r="S969" s="237"/>
      <c r="T969" s="237"/>
      <c r="U969" s="237"/>
      <c r="V969" s="237"/>
      <c r="W969" s="237"/>
      <c r="X969" s="237"/>
      <c r="Y969" s="237"/>
      <c r="Z969" s="237"/>
    </row>
    <row r="970" ht="14.25" customHeight="1" spans="1:26">
      <c r="A970" s="237"/>
      <c r="B970" s="237"/>
      <c r="C970" s="237"/>
      <c r="D970" s="237"/>
      <c r="E970" s="237"/>
      <c r="F970" s="237"/>
      <c r="G970" s="237"/>
      <c r="H970" s="237"/>
      <c r="I970" s="237"/>
      <c r="J970" s="237"/>
      <c r="K970" s="237"/>
      <c r="L970" s="237"/>
      <c r="M970" s="237"/>
      <c r="N970" s="237"/>
      <c r="O970" s="237"/>
      <c r="P970" s="237"/>
      <c r="Q970" s="237"/>
      <c r="R970" s="237"/>
      <c r="S970" s="237"/>
      <c r="T970" s="237"/>
      <c r="U970" s="237"/>
      <c r="V970" s="237"/>
      <c r="W970" s="237"/>
      <c r="X970" s="237"/>
      <c r="Y970" s="237"/>
      <c r="Z970" s="237"/>
    </row>
    <row r="971" ht="14.25" customHeight="1" spans="1:26">
      <c r="A971" s="237"/>
      <c r="B971" s="237"/>
      <c r="C971" s="237"/>
      <c r="D971" s="237"/>
      <c r="E971" s="237"/>
      <c r="F971" s="237"/>
      <c r="G971" s="237"/>
      <c r="H971" s="237"/>
      <c r="I971" s="237"/>
      <c r="J971" s="237"/>
      <c r="K971" s="237"/>
      <c r="L971" s="237"/>
      <c r="M971" s="237"/>
      <c r="N971" s="237"/>
      <c r="O971" s="237"/>
      <c r="P971" s="237"/>
      <c r="Q971" s="237"/>
      <c r="R971" s="237"/>
      <c r="S971" s="237"/>
      <c r="T971" s="237"/>
      <c r="U971" s="237"/>
      <c r="V971" s="237"/>
      <c r="W971" s="237"/>
      <c r="X971" s="237"/>
      <c r="Y971" s="237"/>
      <c r="Z971" s="237"/>
    </row>
    <row r="972" ht="14.25" customHeight="1" spans="1:26">
      <c r="A972" s="237"/>
      <c r="B972" s="237"/>
      <c r="C972" s="237"/>
      <c r="D972" s="237"/>
      <c r="E972" s="237"/>
      <c r="F972" s="237"/>
      <c r="G972" s="237"/>
      <c r="H972" s="237"/>
      <c r="I972" s="237"/>
      <c r="J972" s="237"/>
      <c r="K972" s="237"/>
      <c r="L972" s="237"/>
      <c r="M972" s="237"/>
      <c r="N972" s="237"/>
      <c r="O972" s="237"/>
      <c r="P972" s="237"/>
      <c r="Q972" s="237"/>
      <c r="R972" s="237"/>
      <c r="S972" s="237"/>
      <c r="T972" s="237"/>
      <c r="U972" s="237"/>
      <c r="V972" s="237"/>
      <c r="W972" s="237"/>
      <c r="X972" s="237"/>
      <c r="Y972" s="237"/>
      <c r="Z972" s="237"/>
    </row>
    <row r="973" ht="14.25" customHeight="1" spans="1:26">
      <c r="A973" s="237"/>
      <c r="B973" s="237"/>
      <c r="C973" s="237"/>
      <c r="D973" s="237"/>
      <c r="E973" s="237"/>
      <c r="F973" s="237"/>
      <c r="G973" s="237"/>
      <c r="H973" s="237"/>
      <c r="I973" s="237"/>
      <c r="J973" s="237"/>
      <c r="K973" s="237"/>
      <c r="L973" s="237"/>
      <c r="M973" s="237"/>
      <c r="N973" s="237"/>
      <c r="O973" s="237"/>
      <c r="P973" s="237"/>
      <c r="Q973" s="237"/>
      <c r="R973" s="237"/>
      <c r="S973" s="237"/>
      <c r="T973" s="237"/>
      <c r="U973" s="237"/>
      <c r="V973" s="237"/>
      <c r="W973" s="237"/>
      <c r="X973" s="237"/>
      <c r="Y973" s="237"/>
      <c r="Z973" s="237"/>
    </row>
    <row r="974" ht="14.25" customHeight="1" spans="1:26">
      <c r="A974" s="237"/>
      <c r="B974" s="237"/>
      <c r="C974" s="237"/>
      <c r="D974" s="237"/>
      <c r="E974" s="237"/>
      <c r="F974" s="237"/>
      <c r="G974" s="237"/>
      <c r="H974" s="237"/>
      <c r="I974" s="237"/>
      <c r="J974" s="237"/>
      <c r="K974" s="237"/>
      <c r="L974" s="237"/>
      <c r="M974" s="237"/>
      <c r="N974" s="237"/>
      <c r="O974" s="237"/>
      <c r="P974" s="237"/>
      <c r="Q974" s="237"/>
      <c r="R974" s="237"/>
      <c r="S974" s="237"/>
      <c r="T974" s="237"/>
      <c r="U974" s="237"/>
      <c r="V974" s="237"/>
      <c r="W974" s="237"/>
      <c r="X974" s="237"/>
      <c r="Y974" s="237"/>
      <c r="Z974" s="237"/>
    </row>
    <row r="975" ht="14.25" customHeight="1" spans="1:26">
      <c r="A975" s="237"/>
      <c r="B975" s="237"/>
      <c r="C975" s="237"/>
      <c r="D975" s="237"/>
      <c r="E975" s="237"/>
      <c r="F975" s="237"/>
      <c r="G975" s="237"/>
      <c r="H975" s="237"/>
      <c r="I975" s="237"/>
      <c r="J975" s="237"/>
      <c r="K975" s="237"/>
      <c r="L975" s="237"/>
      <c r="M975" s="237"/>
      <c r="N975" s="237"/>
      <c r="O975" s="237"/>
      <c r="P975" s="237"/>
      <c r="Q975" s="237"/>
      <c r="R975" s="237"/>
      <c r="S975" s="237"/>
      <c r="T975" s="237"/>
      <c r="U975" s="237"/>
      <c r="V975" s="237"/>
      <c r="W975" s="237"/>
      <c r="X975" s="237"/>
      <c r="Y975" s="237"/>
      <c r="Z975" s="237"/>
    </row>
    <row r="976" ht="14.25" customHeight="1" spans="1:26">
      <c r="A976" s="237"/>
      <c r="B976" s="237"/>
      <c r="C976" s="237"/>
      <c r="D976" s="237"/>
      <c r="E976" s="237"/>
      <c r="F976" s="237"/>
      <c r="G976" s="237"/>
      <c r="H976" s="237"/>
      <c r="I976" s="237"/>
      <c r="J976" s="237"/>
      <c r="K976" s="237"/>
      <c r="L976" s="237"/>
      <c r="M976" s="237"/>
      <c r="N976" s="237"/>
      <c r="O976" s="237"/>
      <c r="P976" s="237"/>
      <c r="Q976" s="237"/>
      <c r="R976" s="237"/>
      <c r="S976" s="237"/>
      <c r="T976" s="237"/>
      <c r="U976" s="237"/>
      <c r="V976" s="237"/>
      <c r="W976" s="237"/>
      <c r="X976" s="237"/>
      <c r="Y976" s="237"/>
      <c r="Z976" s="237"/>
    </row>
    <row r="977" ht="14.25" customHeight="1" spans="1:26">
      <c r="A977" s="237"/>
      <c r="B977" s="237"/>
      <c r="C977" s="237"/>
      <c r="D977" s="237"/>
      <c r="E977" s="237"/>
      <c r="F977" s="237"/>
      <c r="G977" s="237"/>
      <c r="H977" s="237"/>
      <c r="I977" s="237"/>
      <c r="J977" s="237"/>
      <c r="K977" s="237"/>
      <c r="L977" s="237"/>
      <c r="M977" s="237"/>
      <c r="N977" s="237"/>
      <c r="O977" s="237"/>
      <c r="P977" s="237"/>
      <c r="Q977" s="237"/>
      <c r="R977" s="237"/>
      <c r="S977" s="237"/>
      <c r="T977" s="237"/>
      <c r="U977" s="237"/>
      <c r="V977" s="237"/>
      <c r="W977" s="237"/>
      <c r="X977" s="237"/>
      <c r="Y977" s="237"/>
      <c r="Z977" s="237"/>
    </row>
    <row r="978" ht="14.25" customHeight="1" spans="1:26">
      <c r="A978" s="237"/>
      <c r="B978" s="237"/>
      <c r="C978" s="237"/>
      <c r="D978" s="237"/>
      <c r="E978" s="237"/>
      <c r="F978" s="237"/>
      <c r="G978" s="237"/>
      <c r="H978" s="237"/>
      <c r="I978" s="237"/>
      <c r="J978" s="237"/>
      <c r="K978" s="237"/>
      <c r="L978" s="237"/>
      <c r="M978" s="237"/>
      <c r="N978" s="237"/>
      <c r="O978" s="237"/>
      <c r="P978" s="237"/>
      <c r="Q978" s="237"/>
      <c r="R978" s="237"/>
      <c r="S978" s="237"/>
      <c r="T978" s="237"/>
      <c r="U978" s="237"/>
      <c r="V978" s="237"/>
      <c r="W978" s="237"/>
      <c r="X978" s="237"/>
      <c r="Y978" s="237"/>
      <c r="Z978" s="237"/>
    </row>
    <row r="979" ht="14.25" customHeight="1" spans="1:26">
      <c r="A979" s="237"/>
      <c r="B979" s="237"/>
      <c r="C979" s="237"/>
      <c r="D979" s="237"/>
      <c r="E979" s="237"/>
      <c r="F979" s="237"/>
      <c r="G979" s="237"/>
      <c r="H979" s="237"/>
      <c r="I979" s="237"/>
      <c r="J979" s="237"/>
      <c r="K979" s="237"/>
      <c r="L979" s="237"/>
      <c r="M979" s="237"/>
      <c r="N979" s="237"/>
      <c r="O979" s="237"/>
      <c r="P979" s="237"/>
      <c r="Q979" s="237"/>
      <c r="R979" s="237"/>
      <c r="S979" s="237"/>
      <c r="T979" s="237"/>
      <c r="U979" s="237"/>
      <c r="V979" s="237"/>
      <c r="W979" s="237"/>
      <c r="X979" s="237"/>
      <c r="Y979" s="237"/>
      <c r="Z979" s="237"/>
    </row>
    <row r="980" ht="14.25" customHeight="1" spans="1:26">
      <c r="A980" s="237"/>
      <c r="B980" s="237"/>
      <c r="C980" s="237"/>
      <c r="D980" s="237"/>
      <c r="E980" s="237"/>
      <c r="F980" s="237"/>
      <c r="G980" s="237"/>
      <c r="H980" s="237"/>
      <c r="I980" s="237"/>
      <c r="J980" s="237"/>
      <c r="K980" s="237"/>
      <c r="L980" s="237"/>
      <c r="M980" s="237"/>
      <c r="N980" s="237"/>
      <c r="O980" s="237"/>
      <c r="P980" s="237"/>
      <c r="Q980" s="237"/>
      <c r="R980" s="237"/>
      <c r="S980" s="237"/>
      <c r="T980" s="237"/>
      <c r="U980" s="237"/>
      <c r="V980" s="237"/>
      <c r="W980" s="237"/>
      <c r="X980" s="237"/>
      <c r="Y980" s="237"/>
      <c r="Z980" s="237"/>
    </row>
    <row r="981" ht="14.25" customHeight="1" spans="1:26">
      <c r="A981" s="237"/>
      <c r="B981" s="237"/>
      <c r="C981" s="237"/>
      <c r="D981" s="237"/>
      <c r="E981" s="237"/>
      <c r="F981" s="237"/>
      <c r="G981" s="237"/>
      <c r="H981" s="237"/>
      <c r="I981" s="237"/>
      <c r="J981" s="237"/>
      <c r="K981" s="237"/>
      <c r="L981" s="237"/>
      <c r="M981" s="237"/>
      <c r="N981" s="237"/>
      <c r="O981" s="237"/>
      <c r="P981" s="237"/>
      <c r="Q981" s="237"/>
      <c r="R981" s="237"/>
      <c r="S981" s="237"/>
      <c r="T981" s="237"/>
      <c r="U981" s="237"/>
      <c r="V981" s="237"/>
      <c r="W981" s="237"/>
      <c r="X981" s="237"/>
      <c r="Y981" s="237"/>
      <c r="Z981" s="237"/>
    </row>
    <row r="982" ht="14.25" customHeight="1" spans="1:26">
      <c r="A982" s="237"/>
      <c r="B982" s="237"/>
      <c r="C982" s="237"/>
      <c r="D982" s="237"/>
      <c r="E982" s="237"/>
      <c r="F982" s="237"/>
      <c r="G982" s="237"/>
      <c r="H982" s="237"/>
      <c r="I982" s="237"/>
      <c r="J982" s="237"/>
      <c r="K982" s="237"/>
      <c r="L982" s="237"/>
      <c r="M982" s="237"/>
      <c r="N982" s="237"/>
      <c r="O982" s="237"/>
      <c r="P982" s="237"/>
      <c r="Q982" s="237"/>
      <c r="R982" s="237"/>
      <c r="S982" s="237"/>
      <c r="T982" s="237"/>
      <c r="U982" s="237"/>
      <c r="V982" s="237"/>
      <c r="W982" s="237"/>
      <c r="X982" s="237"/>
      <c r="Y982" s="237"/>
      <c r="Z982" s="237"/>
    </row>
    <row r="983" ht="14.25" customHeight="1" spans="1:26">
      <c r="A983" s="237"/>
      <c r="B983" s="237"/>
      <c r="C983" s="237"/>
      <c r="D983" s="237"/>
      <c r="E983" s="237"/>
      <c r="F983" s="237"/>
      <c r="G983" s="237"/>
      <c r="H983" s="237"/>
      <c r="I983" s="237"/>
      <c r="J983" s="237"/>
      <c r="K983" s="237"/>
      <c r="L983" s="237"/>
      <c r="M983" s="237"/>
      <c r="N983" s="237"/>
      <c r="O983" s="237"/>
      <c r="P983" s="237"/>
      <c r="Q983" s="237"/>
      <c r="R983" s="237"/>
      <c r="S983" s="237"/>
      <c r="T983" s="237"/>
      <c r="U983" s="237"/>
      <c r="V983" s="237"/>
      <c r="W983" s="237"/>
      <c r="X983" s="237"/>
      <c r="Y983" s="237"/>
      <c r="Z983" s="237"/>
    </row>
    <row r="984" ht="14.25" customHeight="1" spans="1:26">
      <c r="A984" s="237"/>
      <c r="B984" s="237"/>
      <c r="C984" s="237"/>
      <c r="D984" s="237"/>
      <c r="E984" s="237"/>
      <c r="F984" s="237"/>
      <c r="G984" s="237"/>
      <c r="H984" s="237"/>
      <c r="I984" s="237"/>
      <c r="J984" s="237"/>
      <c r="K984" s="237"/>
      <c r="L984" s="237"/>
      <c r="M984" s="237"/>
      <c r="N984" s="237"/>
      <c r="O984" s="237"/>
      <c r="P984" s="237"/>
      <c r="Q984" s="237"/>
      <c r="R984" s="237"/>
      <c r="S984" s="237"/>
      <c r="T984" s="237"/>
      <c r="U984" s="237"/>
      <c r="V984" s="237"/>
      <c r="W984" s="237"/>
      <c r="X984" s="237"/>
      <c r="Y984" s="237"/>
      <c r="Z984" s="237"/>
    </row>
    <row r="985" ht="14.25" customHeight="1" spans="1:26">
      <c r="A985" s="237"/>
      <c r="B985" s="237"/>
      <c r="C985" s="237"/>
      <c r="D985" s="237"/>
      <c r="E985" s="237"/>
      <c r="F985" s="237"/>
      <c r="G985" s="237"/>
      <c r="H985" s="237"/>
      <c r="I985" s="237"/>
      <c r="J985" s="237"/>
      <c r="K985" s="237"/>
      <c r="L985" s="237"/>
      <c r="M985" s="237"/>
      <c r="N985" s="237"/>
      <c r="O985" s="237"/>
      <c r="P985" s="237"/>
      <c r="Q985" s="237"/>
      <c r="R985" s="237"/>
      <c r="S985" s="237"/>
      <c r="T985" s="237"/>
      <c r="U985" s="237"/>
      <c r="V985" s="237"/>
      <c r="W985" s="237"/>
      <c r="X985" s="237"/>
      <c r="Y985" s="237"/>
      <c r="Z985" s="237"/>
    </row>
    <row r="986" ht="14.25" customHeight="1" spans="1:26">
      <c r="A986" s="237"/>
      <c r="B986" s="237"/>
      <c r="C986" s="237"/>
      <c r="D986" s="237"/>
      <c r="E986" s="237"/>
      <c r="F986" s="237"/>
      <c r="G986" s="237"/>
      <c r="H986" s="237"/>
      <c r="I986" s="237"/>
      <c r="J986" s="237"/>
      <c r="K986" s="237"/>
      <c r="L986" s="237"/>
      <c r="M986" s="237"/>
      <c r="N986" s="237"/>
      <c r="O986" s="237"/>
      <c r="P986" s="237"/>
      <c r="Q986" s="237"/>
      <c r="R986" s="237"/>
      <c r="S986" s="237"/>
      <c r="T986" s="237"/>
      <c r="U986" s="237"/>
      <c r="V986" s="237"/>
      <c r="W986" s="237"/>
      <c r="X986" s="237"/>
      <c r="Y986" s="237"/>
      <c r="Z986" s="237"/>
    </row>
    <row r="987" ht="14.25" customHeight="1" spans="1:26">
      <c r="A987" s="237"/>
      <c r="B987" s="237"/>
      <c r="C987" s="237"/>
      <c r="D987" s="237"/>
      <c r="E987" s="237"/>
      <c r="F987" s="237"/>
      <c r="G987" s="237"/>
      <c r="H987" s="237"/>
      <c r="I987" s="237"/>
      <c r="J987" s="237"/>
      <c r="K987" s="237"/>
      <c r="L987" s="237"/>
      <c r="M987" s="237"/>
      <c r="N987" s="237"/>
      <c r="O987" s="237"/>
      <c r="P987" s="237"/>
      <c r="Q987" s="237"/>
      <c r="R987" s="237"/>
      <c r="S987" s="237"/>
      <c r="T987" s="237"/>
      <c r="U987" s="237"/>
      <c r="V987" s="237"/>
      <c r="W987" s="237"/>
      <c r="X987" s="237"/>
      <c r="Y987" s="237"/>
      <c r="Z987" s="237"/>
    </row>
    <row r="988" ht="14.25" customHeight="1" spans="1:26">
      <c r="A988" s="237"/>
      <c r="B988" s="237"/>
      <c r="C988" s="237"/>
      <c r="D988" s="237"/>
      <c r="E988" s="237"/>
      <c r="F988" s="237"/>
      <c r="G988" s="237"/>
      <c r="H988" s="237"/>
      <c r="I988" s="237"/>
      <c r="J988" s="237"/>
      <c r="K988" s="237"/>
      <c r="L988" s="237"/>
      <c r="M988" s="237"/>
      <c r="N988" s="237"/>
      <c r="O988" s="237"/>
      <c r="P988" s="237"/>
      <c r="Q988" s="237"/>
      <c r="R988" s="237"/>
      <c r="S988" s="237"/>
      <c r="T988" s="237"/>
      <c r="U988" s="237"/>
      <c r="V988" s="237"/>
      <c r="W988" s="237"/>
      <c r="X988" s="237"/>
      <c r="Y988" s="237"/>
      <c r="Z988" s="237"/>
    </row>
    <row r="989" ht="14.25" customHeight="1" spans="1:26">
      <c r="A989" s="237"/>
      <c r="B989" s="237"/>
      <c r="C989" s="237"/>
      <c r="D989" s="237"/>
      <c r="E989" s="237"/>
      <c r="F989" s="237"/>
      <c r="G989" s="237"/>
      <c r="H989" s="237"/>
      <c r="I989" s="237"/>
      <c r="J989" s="237"/>
      <c r="K989" s="237"/>
      <c r="L989" s="237"/>
      <c r="M989" s="237"/>
      <c r="N989" s="237"/>
      <c r="O989" s="237"/>
      <c r="P989" s="237"/>
      <c r="Q989" s="237"/>
      <c r="R989" s="237"/>
      <c r="S989" s="237"/>
      <c r="T989" s="237"/>
      <c r="U989" s="237"/>
      <c r="V989" s="237"/>
      <c r="W989" s="237"/>
      <c r="X989" s="237"/>
      <c r="Y989" s="237"/>
      <c r="Z989" s="237"/>
    </row>
    <row r="990" ht="14.25" customHeight="1" spans="1:26">
      <c r="A990" s="237"/>
      <c r="B990" s="237"/>
      <c r="C990" s="237"/>
      <c r="D990" s="237"/>
      <c r="E990" s="237"/>
      <c r="F990" s="237"/>
      <c r="G990" s="237"/>
      <c r="H990" s="237"/>
      <c r="I990" s="237"/>
      <c r="J990" s="237"/>
      <c r="K990" s="237"/>
      <c r="L990" s="237"/>
      <c r="M990" s="237"/>
      <c r="N990" s="237"/>
      <c r="O990" s="237"/>
      <c r="P990" s="237"/>
      <c r="Q990" s="237"/>
      <c r="R990" s="237"/>
      <c r="S990" s="237"/>
      <c r="T990" s="237"/>
      <c r="U990" s="237"/>
      <c r="V990" s="237"/>
      <c r="W990" s="237"/>
      <c r="X990" s="237"/>
      <c r="Y990" s="237"/>
      <c r="Z990" s="237"/>
    </row>
    <row r="991" ht="14.25" customHeight="1" spans="1:26">
      <c r="A991" s="237"/>
      <c r="B991" s="237"/>
      <c r="C991" s="237"/>
      <c r="D991" s="237"/>
      <c r="E991" s="237"/>
      <c r="F991" s="237"/>
      <c r="G991" s="237"/>
      <c r="H991" s="237"/>
      <c r="I991" s="237"/>
      <c r="J991" s="237"/>
      <c r="K991" s="237"/>
      <c r="L991" s="237"/>
      <c r="M991" s="237"/>
      <c r="N991" s="237"/>
      <c r="O991" s="237"/>
      <c r="P991" s="237"/>
      <c r="Q991" s="237"/>
      <c r="R991" s="237"/>
      <c r="S991" s="237"/>
      <c r="T991" s="237"/>
      <c r="U991" s="237"/>
      <c r="V991" s="237"/>
      <c r="W991" s="237"/>
      <c r="X991" s="237"/>
      <c r="Y991" s="237"/>
      <c r="Z991" s="237"/>
    </row>
    <row r="992" ht="14.25" customHeight="1" spans="1:26">
      <c r="A992" s="237"/>
      <c r="B992" s="237"/>
      <c r="C992" s="237"/>
      <c r="D992" s="237"/>
      <c r="E992" s="237"/>
      <c r="F992" s="237"/>
      <c r="G992" s="237"/>
      <c r="H992" s="237"/>
      <c r="I992" s="237"/>
      <c r="J992" s="237"/>
      <c r="K992" s="237"/>
      <c r="L992" s="237"/>
      <c r="M992" s="237"/>
      <c r="N992" s="237"/>
      <c r="O992" s="237"/>
      <c r="P992" s="237"/>
      <c r="Q992" s="237"/>
      <c r="R992" s="237"/>
      <c r="S992" s="237"/>
      <c r="T992" s="237"/>
      <c r="U992" s="237"/>
      <c r="V992" s="237"/>
      <c r="W992" s="237"/>
      <c r="X992" s="237"/>
      <c r="Y992" s="237"/>
      <c r="Z992" s="237"/>
    </row>
    <row r="993" ht="14.25" customHeight="1" spans="1:26">
      <c r="A993" s="237"/>
      <c r="B993" s="237"/>
      <c r="C993" s="237"/>
      <c r="D993" s="237"/>
      <c r="E993" s="237"/>
      <c r="F993" s="237"/>
      <c r="G993" s="237"/>
      <c r="H993" s="237"/>
      <c r="I993" s="237"/>
      <c r="J993" s="237"/>
      <c r="K993" s="237"/>
      <c r="L993" s="237"/>
      <c r="M993" s="237"/>
      <c r="N993" s="237"/>
      <c r="O993" s="237"/>
      <c r="P993" s="237"/>
      <c r="Q993" s="237"/>
      <c r="R993" s="237"/>
      <c r="S993" s="237"/>
      <c r="T993" s="237"/>
      <c r="U993" s="237"/>
      <c r="V993" s="237"/>
      <c r="W993" s="237"/>
      <c r="X993" s="237"/>
      <c r="Y993" s="237"/>
      <c r="Z993" s="237"/>
    </row>
    <row r="994" ht="14.25" customHeight="1" spans="1:26">
      <c r="A994" s="237"/>
      <c r="B994" s="237"/>
      <c r="C994" s="237"/>
      <c r="D994" s="237"/>
      <c r="E994" s="237"/>
      <c r="F994" s="237"/>
      <c r="G994" s="237"/>
      <c r="H994" s="237"/>
      <c r="I994" s="237"/>
      <c r="J994" s="237"/>
      <c r="K994" s="237"/>
      <c r="L994" s="237"/>
      <c r="M994" s="237"/>
      <c r="N994" s="237"/>
      <c r="O994" s="237"/>
      <c r="P994" s="237"/>
      <c r="Q994" s="237"/>
      <c r="R994" s="237"/>
      <c r="S994" s="237"/>
      <c r="T994" s="237"/>
      <c r="U994" s="237"/>
      <c r="V994" s="237"/>
      <c r="W994" s="237"/>
      <c r="X994" s="237"/>
      <c r="Y994" s="237"/>
      <c r="Z994" s="237"/>
    </row>
    <row r="995" ht="14.25" customHeight="1" spans="1:26">
      <c r="A995" s="237"/>
      <c r="B995" s="237"/>
      <c r="C995" s="237"/>
      <c r="D995" s="237"/>
      <c r="E995" s="237"/>
      <c r="F995" s="237"/>
      <c r="G995" s="237"/>
      <c r="H995" s="237"/>
      <c r="I995" s="237"/>
      <c r="J995" s="237"/>
      <c r="K995" s="237"/>
      <c r="L995" s="237"/>
      <c r="M995" s="237"/>
      <c r="N995" s="237"/>
      <c r="O995" s="237"/>
      <c r="P995" s="237"/>
      <c r="Q995" s="237"/>
      <c r="R995" s="237"/>
      <c r="S995" s="237"/>
      <c r="T995" s="237"/>
      <c r="U995" s="237"/>
      <c r="V995" s="237"/>
      <c r="W995" s="237"/>
      <c r="X995" s="237"/>
      <c r="Y995" s="237"/>
      <c r="Z995" s="237"/>
    </row>
    <row r="996" ht="14.25" customHeight="1" spans="1:26">
      <c r="A996" s="237"/>
      <c r="B996" s="237"/>
      <c r="C996" s="237"/>
      <c r="D996" s="237"/>
      <c r="E996" s="237"/>
      <c r="F996" s="237"/>
      <c r="G996" s="237"/>
      <c r="H996" s="237"/>
      <c r="I996" s="237"/>
      <c r="J996" s="237"/>
      <c r="K996" s="237"/>
      <c r="L996" s="237"/>
      <c r="M996" s="237"/>
      <c r="N996" s="237"/>
      <c r="O996" s="237"/>
      <c r="P996" s="237"/>
      <c r="Q996" s="237"/>
      <c r="R996" s="237"/>
      <c r="S996" s="237"/>
      <c r="T996" s="237"/>
      <c r="U996" s="237"/>
      <c r="V996" s="237"/>
      <c r="W996" s="237"/>
      <c r="X996" s="237"/>
      <c r="Y996" s="237"/>
      <c r="Z996" s="237"/>
    </row>
    <row r="997" ht="14.25" customHeight="1" spans="1:26">
      <c r="A997" s="237"/>
      <c r="B997" s="237"/>
      <c r="C997" s="237"/>
      <c r="D997" s="237"/>
      <c r="E997" s="237"/>
      <c r="F997" s="237"/>
      <c r="G997" s="237"/>
      <c r="H997" s="237"/>
      <c r="I997" s="237"/>
      <c r="J997" s="237"/>
      <c r="K997" s="237"/>
      <c r="L997" s="237"/>
      <c r="M997" s="237"/>
      <c r="N997" s="237"/>
      <c r="O997" s="237"/>
      <c r="P997" s="237"/>
      <c r="Q997" s="237"/>
      <c r="R997" s="237"/>
      <c r="S997" s="237"/>
      <c r="T997" s="237"/>
      <c r="U997" s="237"/>
      <c r="V997" s="237"/>
      <c r="W997" s="237"/>
      <c r="X997" s="237"/>
      <c r="Y997" s="237"/>
      <c r="Z997" s="237"/>
    </row>
    <row r="998" ht="14.25" customHeight="1" spans="1:26">
      <c r="A998" s="237"/>
      <c r="B998" s="237"/>
      <c r="C998" s="237"/>
      <c r="D998" s="237"/>
      <c r="E998" s="237"/>
      <c r="F998" s="237"/>
      <c r="G998" s="237"/>
      <c r="H998" s="237"/>
      <c r="I998" s="237"/>
      <c r="J998" s="237"/>
      <c r="K998" s="237"/>
      <c r="L998" s="237"/>
      <c r="M998" s="237"/>
      <c r="N998" s="237"/>
      <c r="O998" s="237"/>
      <c r="P998" s="237"/>
      <c r="Q998" s="237"/>
      <c r="R998" s="237"/>
      <c r="S998" s="237"/>
      <c r="T998" s="237"/>
      <c r="U998" s="237"/>
      <c r="V998" s="237"/>
      <c r="W998" s="237"/>
      <c r="X998" s="237"/>
      <c r="Y998" s="237"/>
      <c r="Z998" s="237"/>
    </row>
    <row r="999" ht="14.25" customHeight="1" spans="1:26">
      <c r="A999" s="237"/>
      <c r="B999" s="237"/>
      <c r="C999" s="237"/>
      <c r="D999" s="237"/>
      <c r="E999" s="237"/>
      <c r="F999" s="237"/>
      <c r="G999" s="237"/>
      <c r="H999" s="237"/>
      <c r="I999" s="237"/>
      <c r="J999" s="237"/>
      <c r="K999" s="237"/>
      <c r="L999" s="237"/>
      <c r="M999" s="237"/>
      <c r="N999" s="237"/>
      <c r="O999" s="237"/>
      <c r="P999" s="237"/>
      <c r="Q999" s="237"/>
      <c r="R999" s="237"/>
      <c r="S999" s="237"/>
      <c r="T999" s="237"/>
      <c r="U999" s="237"/>
      <c r="V999" s="237"/>
      <c r="W999" s="237"/>
      <c r="X999" s="237"/>
      <c r="Y999" s="237"/>
      <c r="Z999" s="237"/>
    </row>
    <row r="1000" ht="14.25" customHeight="1" spans="1:26">
      <c r="A1000" s="237"/>
      <c r="B1000" s="237"/>
      <c r="C1000" s="237"/>
      <c r="D1000" s="237"/>
      <c r="E1000" s="237"/>
      <c r="F1000" s="237"/>
      <c r="G1000" s="237"/>
      <c r="H1000" s="237"/>
      <c r="I1000" s="237"/>
      <c r="J1000" s="237"/>
      <c r="K1000" s="237"/>
      <c r="L1000" s="237"/>
      <c r="M1000" s="237"/>
      <c r="N1000" s="237"/>
      <c r="O1000" s="237"/>
      <c r="P1000" s="237"/>
      <c r="Q1000" s="237"/>
      <c r="R1000" s="237"/>
      <c r="S1000" s="237"/>
      <c r="T1000" s="237"/>
      <c r="U1000" s="237"/>
      <c r="V1000" s="237"/>
      <c r="W1000" s="237"/>
      <c r="X1000" s="237"/>
      <c r="Y1000" s="237"/>
      <c r="Z1000" s="237"/>
    </row>
  </sheetData>
  <pageMargins left="0.7" right="0.7" top="0.75" bottom="0.75" header="0" footer="0"/>
  <pageSetup paperSize="1" orientation="landscape" useFirstPageNumber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808000"/>
  </sheetPr>
  <dimension ref="A1:Z1000"/>
  <sheetViews>
    <sheetView showGridLines="0" workbookViewId="0">
      <selection activeCell="A1" sqref="A1"/>
    </sheetView>
  </sheetViews>
  <sheetFormatPr defaultColWidth="14.4406779661017" defaultRowHeight="15.05" customHeight="1"/>
  <cols>
    <col min="1" max="1" width="32.1101694915254" customWidth="1"/>
    <col min="2" max="2" width="11.4406779661017" customWidth="1"/>
    <col min="3" max="3" width="16.4406779661017" customWidth="1"/>
    <col min="4" max="4" width="9.11016949152542" customWidth="1"/>
    <col min="5" max="5" width="43.4406779661017" customWidth="1"/>
    <col min="6" max="6" width="55" customWidth="1"/>
    <col min="7" max="26" width="9.11016949152542" customWidth="1"/>
  </cols>
  <sheetData>
    <row r="1" ht="12.8" customHeight="1" spans="1:26">
      <c r="A1" s="200"/>
      <c r="B1" s="201"/>
      <c r="C1" s="201"/>
      <c r="D1" s="201"/>
      <c r="E1" s="201"/>
      <c r="F1" s="201"/>
      <c r="G1" s="201"/>
      <c r="H1" s="201"/>
      <c r="I1" s="201"/>
      <c r="J1" s="201"/>
      <c r="K1" s="201"/>
      <c r="L1" s="201"/>
      <c r="M1" s="201"/>
      <c r="N1" s="201"/>
      <c r="O1" s="201"/>
      <c r="P1" s="201"/>
      <c r="Q1" s="201"/>
      <c r="R1" s="201"/>
      <c r="S1" s="201"/>
      <c r="T1" s="201"/>
      <c r="U1" s="201"/>
      <c r="V1" s="201"/>
      <c r="W1" s="201"/>
      <c r="X1" s="201"/>
      <c r="Y1" s="201"/>
      <c r="Z1" s="201"/>
    </row>
    <row r="2" ht="75.8" customHeight="1" spans="1:26">
      <c r="A2" s="202"/>
      <c r="B2" s="203" t="s">
        <v>45</v>
      </c>
      <c r="C2" s="66"/>
      <c r="D2" s="66"/>
      <c r="E2" s="66"/>
      <c r="F2" s="64"/>
      <c r="G2" s="204"/>
      <c r="H2" s="204"/>
      <c r="I2" s="204"/>
      <c r="J2" s="204"/>
      <c r="K2" s="204"/>
      <c r="L2" s="204"/>
      <c r="M2" s="204"/>
      <c r="N2" s="204"/>
      <c r="O2" s="204"/>
      <c r="P2" s="204"/>
      <c r="Q2" s="204"/>
      <c r="R2" s="204"/>
      <c r="S2" s="204"/>
      <c r="T2" s="204"/>
      <c r="U2" s="204"/>
      <c r="V2" s="204"/>
      <c r="W2" s="204"/>
      <c r="X2" s="204"/>
      <c r="Y2" s="204"/>
      <c r="Z2" s="204"/>
    </row>
    <row r="3" ht="12.8" customHeight="1" spans="1:26">
      <c r="A3" s="205"/>
      <c r="B3" s="206"/>
      <c r="C3" s="201"/>
      <c r="D3" s="201"/>
      <c r="E3" s="152"/>
      <c r="F3" s="201"/>
      <c r="G3" s="201"/>
      <c r="H3" s="201"/>
      <c r="I3" s="201"/>
      <c r="J3" s="201"/>
      <c r="K3" s="201"/>
      <c r="L3" s="201"/>
      <c r="M3" s="201"/>
      <c r="N3" s="201"/>
      <c r="O3" s="201"/>
      <c r="P3" s="201"/>
      <c r="Q3" s="201"/>
      <c r="R3" s="201"/>
      <c r="S3" s="201"/>
      <c r="T3" s="201"/>
      <c r="U3" s="201"/>
      <c r="V3" s="201"/>
      <c r="W3" s="201"/>
      <c r="X3" s="201"/>
      <c r="Y3" s="201"/>
      <c r="Z3" s="201"/>
    </row>
    <row r="4" ht="14.25" customHeight="1" spans="1:26">
      <c r="A4" s="207" t="s">
        <v>46</v>
      </c>
      <c r="B4" s="208" t="s">
        <v>47</v>
      </c>
      <c r="C4" s="66"/>
      <c r="D4" s="64"/>
      <c r="E4" s="207" t="s">
        <v>48</v>
      </c>
      <c r="F4" s="209" t="s">
        <v>49</v>
      </c>
      <c r="G4" s="201"/>
      <c r="H4" s="201"/>
      <c r="I4" s="201"/>
      <c r="J4" s="201"/>
      <c r="K4" s="201"/>
      <c r="L4" s="201"/>
      <c r="M4" s="201"/>
      <c r="N4" s="201"/>
      <c r="O4" s="201"/>
      <c r="P4" s="201"/>
      <c r="Q4" s="201"/>
      <c r="R4" s="201"/>
      <c r="S4" s="201"/>
      <c r="T4" s="201"/>
      <c r="U4" s="201"/>
      <c r="V4" s="201"/>
      <c r="W4" s="201"/>
      <c r="X4" s="201"/>
      <c r="Y4" s="201"/>
      <c r="Z4" s="201"/>
    </row>
    <row r="5" ht="14.25" customHeight="1" spans="1:26">
      <c r="A5" s="207" t="s">
        <v>50</v>
      </c>
      <c r="B5" s="208" t="s">
        <v>51</v>
      </c>
      <c r="C5" s="66"/>
      <c r="D5" s="64"/>
      <c r="E5" s="207" t="s">
        <v>52</v>
      </c>
      <c r="F5" s="210">
        <v>46175</v>
      </c>
      <c r="G5" s="201"/>
      <c r="H5" s="201"/>
      <c r="I5" s="201"/>
      <c r="J5" s="201"/>
      <c r="K5" s="201"/>
      <c r="L5" s="201"/>
      <c r="M5" s="201"/>
      <c r="N5" s="201"/>
      <c r="O5" s="201"/>
      <c r="P5" s="201"/>
      <c r="Q5" s="201"/>
      <c r="R5" s="201"/>
      <c r="S5" s="201"/>
      <c r="T5" s="201"/>
      <c r="U5" s="201"/>
      <c r="V5" s="201"/>
      <c r="W5" s="201"/>
      <c r="X5" s="201"/>
      <c r="Y5" s="201"/>
      <c r="Z5" s="201"/>
    </row>
    <row r="6" ht="15.75" customHeight="1" spans="1:26">
      <c r="A6" s="161" t="s">
        <v>53</v>
      </c>
      <c r="B6" s="211" t="str">
        <f>B5&amp;"_"&amp;"Unit Test Report"&amp;"_"&amp;"v0.1"</f>
        <v>SU26SE102_Unit Test Report_v0.1</v>
      </c>
      <c r="C6" s="66"/>
      <c r="D6" s="64"/>
      <c r="E6" s="207" t="s">
        <v>54</v>
      </c>
      <c r="F6" s="212" t="s">
        <v>55</v>
      </c>
      <c r="G6" s="201"/>
      <c r="H6" s="201"/>
      <c r="I6" s="201"/>
      <c r="J6" s="201"/>
      <c r="K6" s="201"/>
      <c r="L6" s="201"/>
      <c r="M6" s="201"/>
      <c r="N6" s="201"/>
      <c r="O6" s="201"/>
      <c r="P6" s="201"/>
      <c r="Q6" s="201"/>
      <c r="R6" s="201"/>
      <c r="S6" s="201"/>
      <c r="T6" s="201"/>
      <c r="U6" s="201"/>
      <c r="V6" s="201"/>
      <c r="W6" s="201"/>
      <c r="X6" s="201"/>
      <c r="Y6" s="201"/>
      <c r="Z6" s="201"/>
    </row>
    <row r="7" ht="12.8" customHeight="1" spans="1:26">
      <c r="A7" s="213"/>
      <c r="B7" s="206"/>
      <c r="C7" s="201"/>
      <c r="D7" s="201"/>
      <c r="E7" s="214"/>
      <c r="F7" s="206"/>
      <c r="G7" s="201"/>
      <c r="H7" s="201"/>
      <c r="I7" s="201"/>
      <c r="J7" s="201"/>
      <c r="K7" s="201"/>
      <c r="L7" s="201"/>
      <c r="M7" s="201"/>
      <c r="N7" s="201"/>
      <c r="O7" s="201"/>
      <c r="P7" s="201"/>
      <c r="Q7" s="201"/>
      <c r="R7" s="201"/>
      <c r="S7" s="201"/>
      <c r="T7" s="201"/>
      <c r="U7" s="201"/>
      <c r="V7" s="201"/>
      <c r="W7" s="201"/>
      <c r="X7" s="201"/>
      <c r="Y7" s="201"/>
      <c r="Z7" s="201"/>
    </row>
    <row r="8" ht="12.8" customHeight="1" spans="1:26">
      <c r="A8" s="201"/>
      <c r="B8" s="201"/>
      <c r="C8" s="201"/>
      <c r="D8" s="201"/>
      <c r="E8" s="201"/>
      <c r="F8" s="201"/>
      <c r="G8" s="201"/>
      <c r="H8" s="201"/>
      <c r="I8" s="201"/>
      <c r="J8" s="201"/>
      <c r="K8" s="201"/>
      <c r="L8" s="201"/>
      <c r="M8" s="201"/>
      <c r="N8" s="201"/>
      <c r="O8" s="201"/>
      <c r="P8" s="201"/>
      <c r="Q8" s="201"/>
      <c r="R8" s="201"/>
      <c r="S8" s="201"/>
      <c r="T8" s="201"/>
      <c r="U8" s="201"/>
      <c r="V8" s="201"/>
      <c r="W8" s="201"/>
      <c r="X8" s="201"/>
      <c r="Y8" s="201"/>
      <c r="Z8" s="201"/>
    </row>
    <row r="9" ht="12.8" customHeight="1" spans="1:26">
      <c r="A9" s="215" t="s">
        <v>56</v>
      </c>
      <c r="B9" s="201"/>
      <c r="C9" s="201"/>
      <c r="D9" s="201"/>
      <c r="E9" s="201"/>
      <c r="F9" s="201"/>
      <c r="G9" s="201"/>
      <c r="H9" s="201"/>
      <c r="I9" s="201"/>
      <c r="J9" s="201"/>
      <c r="K9" s="201"/>
      <c r="L9" s="201"/>
      <c r="M9" s="201"/>
      <c r="N9" s="201"/>
      <c r="O9" s="201"/>
      <c r="P9" s="201"/>
      <c r="Q9" s="201"/>
      <c r="R9" s="201"/>
      <c r="S9" s="201"/>
      <c r="T9" s="201"/>
      <c r="U9" s="201"/>
      <c r="V9" s="201"/>
      <c r="W9" s="201"/>
      <c r="X9" s="201"/>
      <c r="Y9" s="201"/>
      <c r="Z9" s="201"/>
    </row>
    <row r="10" ht="12.8" customHeight="1" spans="1:26">
      <c r="A10" s="216" t="s">
        <v>57</v>
      </c>
      <c r="B10" s="217" t="s">
        <v>54</v>
      </c>
      <c r="C10" s="217" t="s">
        <v>58</v>
      </c>
      <c r="D10" s="217" t="s">
        <v>59</v>
      </c>
      <c r="E10" s="217" t="s">
        <v>60</v>
      </c>
      <c r="F10" s="218" t="s">
        <v>61</v>
      </c>
      <c r="G10" s="219"/>
      <c r="H10" s="219"/>
      <c r="I10" s="219"/>
      <c r="J10" s="219"/>
      <c r="K10" s="219"/>
      <c r="L10" s="219"/>
      <c r="M10" s="219"/>
      <c r="N10" s="219"/>
      <c r="O10" s="219"/>
      <c r="P10" s="219"/>
      <c r="Q10" s="219"/>
      <c r="R10" s="219"/>
      <c r="S10" s="219"/>
      <c r="T10" s="219"/>
      <c r="U10" s="219"/>
      <c r="V10" s="219"/>
      <c r="W10" s="219"/>
      <c r="X10" s="219"/>
      <c r="Y10" s="219"/>
      <c r="Z10" s="219"/>
    </row>
    <row r="11" ht="26.2" customHeight="1" spans="1:26">
      <c r="A11" s="220">
        <v>46175</v>
      </c>
      <c r="B11" s="221" t="s">
        <v>62</v>
      </c>
      <c r="C11" s="222"/>
      <c r="D11" s="222" t="s">
        <v>63</v>
      </c>
      <c r="E11" s="223" t="s">
        <v>64</v>
      </c>
      <c r="F11" s="224"/>
      <c r="G11" s="225"/>
      <c r="H11" s="225"/>
      <c r="I11" s="225"/>
      <c r="J11" s="225"/>
      <c r="K11" s="225"/>
      <c r="L11" s="225"/>
      <c r="M11" s="225"/>
      <c r="N11" s="225"/>
      <c r="O11" s="225"/>
      <c r="P11" s="225"/>
      <c r="Q11" s="225"/>
      <c r="R11" s="225"/>
      <c r="S11" s="225"/>
      <c r="T11" s="225"/>
      <c r="U11" s="225"/>
      <c r="V11" s="225"/>
      <c r="W11" s="225"/>
      <c r="X11" s="225"/>
      <c r="Y11" s="225"/>
      <c r="Z11" s="225"/>
    </row>
    <row r="12" ht="21.8" customHeight="1" spans="1:26">
      <c r="A12" s="226"/>
      <c r="B12" s="221"/>
      <c r="C12" s="222"/>
      <c r="D12" s="222"/>
      <c r="E12" s="222"/>
      <c r="F12" s="227"/>
      <c r="G12" s="225"/>
      <c r="H12" s="225"/>
      <c r="I12" s="225"/>
      <c r="J12" s="225"/>
      <c r="K12" s="225"/>
      <c r="L12" s="225"/>
      <c r="M12" s="225"/>
      <c r="N12" s="225"/>
      <c r="O12" s="225"/>
      <c r="P12" s="225"/>
      <c r="Q12" s="225"/>
      <c r="R12" s="225"/>
      <c r="S12" s="225"/>
      <c r="T12" s="225"/>
      <c r="U12" s="225"/>
      <c r="V12" s="225"/>
      <c r="W12" s="225"/>
      <c r="X12" s="225"/>
      <c r="Y12" s="225"/>
      <c r="Z12" s="225"/>
    </row>
    <row r="13" ht="19.5" customHeight="1" spans="1:26">
      <c r="A13" s="226"/>
      <c r="B13" s="221"/>
      <c r="C13" s="222"/>
      <c r="D13" s="222"/>
      <c r="E13" s="222"/>
      <c r="F13" s="227"/>
      <c r="G13" s="225"/>
      <c r="H13" s="225"/>
      <c r="I13" s="225"/>
      <c r="J13" s="225"/>
      <c r="K13" s="225"/>
      <c r="L13" s="225"/>
      <c r="M13" s="225"/>
      <c r="N13" s="225"/>
      <c r="O13" s="225"/>
      <c r="P13" s="225"/>
      <c r="Q13" s="225"/>
      <c r="R13" s="225"/>
      <c r="S13" s="225"/>
      <c r="T13" s="225"/>
      <c r="U13" s="225"/>
      <c r="V13" s="225"/>
      <c r="W13" s="225"/>
      <c r="X13" s="225"/>
      <c r="Y13" s="225"/>
      <c r="Z13" s="225"/>
    </row>
    <row r="14" ht="21.8" customHeight="1" spans="1:26">
      <c r="A14" s="226"/>
      <c r="B14" s="221"/>
      <c r="C14" s="222"/>
      <c r="D14" s="222"/>
      <c r="E14" s="222"/>
      <c r="F14" s="227"/>
      <c r="G14" s="225"/>
      <c r="H14" s="225"/>
      <c r="I14" s="225"/>
      <c r="J14" s="225"/>
      <c r="K14" s="225"/>
      <c r="L14" s="225"/>
      <c r="M14" s="225"/>
      <c r="N14" s="225"/>
      <c r="O14" s="225"/>
      <c r="P14" s="225"/>
      <c r="Q14" s="225"/>
      <c r="R14" s="225"/>
      <c r="S14" s="225"/>
      <c r="T14" s="225"/>
      <c r="U14" s="225"/>
      <c r="V14" s="225"/>
      <c r="W14" s="225"/>
      <c r="X14" s="225"/>
      <c r="Y14" s="225"/>
      <c r="Z14" s="225"/>
    </row>
    <row r="15" ht="19.5" customHeight="1" spans="1:26">
      <c r="A15" s="226"/>
      <c r="B15" s="221"/>
      <c r="C15" s="222"/>
      <c r="D15" s="222"/>
      <c r="E15" s="222"/>
      <c r="F15" s="227"/>
      <c r="G15" s="225"/>
      <c r="H15" s="225"/>
      <c r="I15" s="225"/>
      <c r="J15" s="225"/>
      <c r="K15" s="225"/>
      <c r="L15" s="225"/>
      <c r="M15" s="225"/>
      <c r="N15" s="225"/>
      <c r="O15" s="225"/>
      <c r="P15" s="225"/>
      <c r="Q15" s="225"/>
      <c r="R15" s="225"/>
      <c r="S15" s="225"/>
      <c r="T15" s="225"/>
      <c r="U15" s="225"/>
      <c r="V15" s="225"/>
      <c r="W15" s="225"/>
      <c r="X15" s="225"/>
      <c r="Y15" s="225"/>
      <c r="Z15" s="225"/>
    </row>
    <row r="16" ht="21.8" customHeight="1" spans="1:26">
      <c r="A16" s="226"/>
      <c r="B16" s="221"/>
      <c r="C16" s="222"/>
      <c r="D16" s="222"/>
      <c r="E16" s="222"/>
      <c r="F16" s="227"/>
      <c r="G16" s="225"/>
      <c r="H16" s="225"/>
      <c r="I16" s="225"/>
      <c r="J16" s="225"/>
      <c r="K16" s="225"/>
      <c r="L16" s="225"/>
      <c r="M16" s="225"/>
      <c r="N16" s="225"/>
      <c r="O16" s="225"/>
      <c r="P16" s="225"/>
      <c r="Q16" s="225"/>
      <c r="R16" s="225"/>
      <c r="S16" s="225"/>
      <c r="T16" s="225"/>
      <c r="U16" s="225"/>
      <c r="V16" s="225"/>
      <c r="W16" s="225"/>
      <c r="X16" s="225"/>
      <c r="Y16" s="225"/>
      <c r="Z16" s="225"/>
    </row>
    <row r="17" ht="19.5" customHeight="1" spans="1:26">
      <c r="A17" s="228"/>
      <c r="B17" s="229"/>
      <c r="C17" s="230"/>
      <c r="D17" s="230"/>
      <c r="E17" s="230"/>
      <c r="F17" s="231"/>
      <c r="G17" s="225"/>
      <c r="H17" s="225"/>
      <c r="I17" s="225"/>
      <c r="J17" s="225"/>
      <c r="K17" s="225"/>
      <c r="L17" s="225"/>
      <c r="M17" s="225"/>
      <c r="N17" s="225"/>
      <c r="O17" s="225"/>
      <c r="P17" s="225"/>
      <c r="Q17" s="225"/>
      <c r="R17" s="225"/>
      <c r="S17" s="225"/>
      <c r="T17" s="225"/>
      <c r="U17" s="225"/>
      <c r="V17" s="225"/>
      <c r="W17" s="225"/>
      <c r="X17" s="225"/>
      <c r="Y17" s="225"/>
      <c r="Z17" s="225"/>
    </row>
    <row r="18" ht="12.8" customHeight="1" spans="1:26">
      <c r="A18" s="200"/>
      <c r="B18" s="201"/>
      <c r="C18" s="201"/>
      <c r="D18" s="201"/>
      <c r="E18" s="201"/>
      <c r="F18" s="201"/>
      <c r="G18" s="201"/>
      <c r="H18" s="201"/>
      <c r="I18" s="201"/>
      <c r="J18" s="201"/>
      <c r="K18" s="201"/>
      <c r="L18" s="201"/>
      <c r="M18" s="201"/>
      <c r="N18" s="201"/>
      <c r="O18" s="201"/>
      <c r="P18" s="201"/>
      <c r="Q18" s="201"/>
      <c r="R18" s="201"/>
      <c r="S18" s="201"/>
      <c r="T18" s="201"/>
      <c r="U18" s="201"/>
      <c r="V18" s="201"/>
      <c r="W18" s="201"/>
      <c r="X18" s="201"/>
      <c r="Y18" s="201"/>
      <c r="Z18" s="201"/>
    </row>
    <row r="19" ht="12.8" customHeight="1" spans="1:26">
      <c r="A19" s="200"/>
      <c r="B19" s="201"/>
      <c r="C19" s="201"/>
      <c r="D19" s="201"/>
      <c r="E19" s="201"/>
      <c r="F19" s="201"/>
      <c r="G19" s="201"/>
      <c r="H19" s="201"/>
      <c r="I19" s="201"/>
      <c r="J19" s="201"/>
      <c r="K19" s="201"/>
      <c r="L19" s="201"/>
      <c r="M19" s="201"/>
      <c r="N19" s="201"/>
      <c r="O19" s="201"/>
      <c r="P19" s="201"/>
      <c r="Q19" s="201"/>
      <c r="R19" s="201"/>
      <c r="S19" s="201"/>
      <c r="T19" s="201"/>
      <c r="U19" s="201"/>
      <c r="V19" s="201"/>
      <c r="W19" s="201"/>
      <c r="X19" s="201"/>
      <c r="Y19" s="201"/>
      <c r="Z19" s="201"/>
    </row>
    <row r="20" ht="12.8" customHeight="1" spans="1:26">
      <c r="A20" s="200"/>
      <c r="B20" s="201"/>
      <c r="C20" s="201"/>
      <c r="D20" s="201"/>
      <c r="E20" s="201"/>
      <c r="F20" s="201"/>
      <c r="G20" s="201"/>
      <c r="H20" s="201"/>
      <c r="I20" s="201"/>
      <c r="J20" s="201"/>
      <c r="K20" s="201"/>
      <c r="L20" s="201"/>
      <c r="M20" s="201"/>
      <c r="N20" s="201"/>
      <c r="O20" s="201"/>
      <c r="P20" s="201"/>
      <c r="Q20" s="201"/>
      <c r="R20" s="201"/>
      <c r="S20" s="201"/>
      <c r="T20" s="201"/>
      <c r="U20" s="201"/>
      <c r="V20" s="201"/>
      <c r="W20" s="201"/>
      <c r="X20" s="201"/>
      <c r="Y20" s="201"/>
      <c r="Z20" s="201"/>
    </row>
    <row r="21" ht="12.8" customHeight="1" spans="1:26">
      <c r="A21" s="200"/>
      <c r="B21" s="201"/>
      <c r="C21" s="201"/>
      <c r="D21" s="201"/>
      <c r="E21" s="201"/>
      <c r="F21" s="201"/>
      <c r="G21" s="201"/>
      <c r="H21" s="201"/>
      <c r="I21" s="201"/>
      <c r="J21" s="201"/>
      <c r="K21" s="201"/>
      <c r="L21" s="201"/>
      <c r="M21" s="201"/>
      <c r="N21" s="201"/>
      <c r="O21" s="201"/>
      <c r="P21" s="201"/>
      <c r="Q21" s="201"/>
      <c r="R21" s="201"/>
      <c r="S21" s="201"/>
      <c r="T21" s="201"/>
      <c r="U21" s="201"/>
      <c r="V21" s="201"/>
      <c r="W21" s="201"/>
      <c r="X21" s="201"/>
      <c r="Y21" s="201"/>
      <c r="Z21" s="201"/>
    </row>
    <row r="22" ht="12.8" customHeight="1" spans="1:26">
      <c r="A22" s="200"/>
      <c r="B22" s="201"/>
      <c r="C22" s="201"/>
      <c r="D22" s="201"/>
      <c r="E22" s="201"/>
      <c r="F22" s="201"/>
      <c r="G22" s="201"/>
      <c r="H22" s="201"/>
      <c r="I22" s="201"/>
      <c r="J22" s="201"/>
      <c r="K22" s="201"/>
      <c r="L22" s="201"/>
      <c r="M22" s="201"/>
      <c r="N22" s="201"/>
      <c r="O22" s="201"/>
      <c r="P22" s="201"/>
      <c r="Q22" s="201"/>
      <c r="R22" s="201"/>
      <c r="S22" s="201"/>
      <c r="T22" s="201"/>
      <c r="U22" s="201"/>
      <c r="V22" s="201"/>
      <c r="W22" s="201"/>
      <c r="X22" s="201"/>
      <c r="Y22" s="201"/>
      <c r="Z22" s="201"/>
    </row>
    <row r="23" ht="12.8" customHeight="1" spans="1:26">
      <c r="A23" s="200"/>
      <c r="B23" s="201"/>
      <c r="C23" s="201"/>
      <c r="D23" s="201"/>
      <c r="E23" s="201"/>
      <c r="F23" s="201"/>
      <c r="G23" s="201"/>
      <c r="H23" s="201"/>
      <c r="I23" s="201"/>
      <c r="J23" s="201"/>
      <c r="K23" s="201"/>
      <c r="L23" s="201"/>
      <c r="M23" s="201"/>
      <c r="N23" s="201"/>
      <c r="O23" s="201"/>
      <c r="P23" s="201"/>
      <c r="Q23" s="201"/>
      <c r="R23" s="201"/>
      <c r="S23" s="201"/>
      <c r="T23" s="201"/>
      <c r="U23" s="201"/>
      <c r="V23" s="201"/>
      <c r="W23" s="201"/>
      <c r="X23" s="201"/>
      <c r="Y23" s="201"/>
      <c r="Z23" s="201"/>
    </row>
    <row r="24" ht="12.8" customHeight="1" spans="1:26">
      <c r="A24" s="200"/>
      <c r="B24" s="201"/>
      <c r="C24" s="201"/>
      <c r="D24" s="201"/>
      <c r="E24" s="201"/>
      <c r="F24" s="201"/>
      <c r="G24" s="201"/>
      <c r="H24" s="201"/>
      <c r="I24" s="201"/>
      <c r="J24" s="201"/>
      <c r="K24" s="201"/>
      <c r="L24" s="201"/>
      <c r="M24" s="201"/>
      <c r="N24" s="201"/>
      <c r="O24" s="201"/>
      <c r="P24" s="201"/>
      <c r="Q24" s="201"/>
      <c r="R24" s="201"/>
      <c r="S24" s="201"/>
      <c r="T24" s="201"/>
      <c r="U24" s="201"/>
      <c r="V24" s="201"/>
      <c r="W24" s="201"/>
      <c r="X24" s="201"/>
      <c r="Y24" s="201"/>
      <c r="Z24" s="201"/>
    </row>
    <row r="25" ht="12.8" customHeight="1" spans="1:26">
      <c r="A25" s="200"/>
      <c r="B25" s="201"/>
      <c r="C25" s="201"/>
      <c r="D25" s="201"/>
      <c r="E25" s="201"/>
      <c r="F25" s="201"/>
      <c r="G25" s="201"/>
      <c r="H25" s="201"/>
      <c r="I25" s="201"/>
      <c r="J25" s="201"/>
      <c r="K25" s="201"/>
      <c r="L25" s="201"/>
      <c r="M25" s="201"/>
      <c r="N25" s="201"/>
      <c r="O25" s="201"/>
      <c r="P25" s="201"/>
      <c r="Q25" s="201"/>
      <c r="R25" s="201"/>
      <c r="S25" s="201"/>
      <c r="T25" s="201"/>
      <c r="U25" s="201"/>
      <c r="V25" s="201"/>
      <c r="W25" s="201"/>
      <c r="X25" s="201"/>
      <c r="Y25" s="201"/>
      <c r="Z25" s="201"/>
    </row>
    <row r="26" ht="12.8" customHeight="1" spans="1:26">
      <c r="A26" s="200"/>
      <c r="B26" s="201"/>
      <c r="C26" s="201"/>
      <c r="D26" s="201"/>
      <c r="E26" s="201"/>
      <c r="F26" s="201"/>
      <c r="G26" s="201"/>
      <c r="H26" s="201"/>
      <c r="I26" s="201"/>
      <c r="J26" s="201"/>
      <c r="K26" s="201"/>
      <c r="L26" s="201"/>
      <c r="M26" s="201"/>
      <c r="N26" s="201"/>
      <c r="O26" s="201"/>
      <c r="P26" s="201"/>
      <c r="Q26" s="201"/>
      <c r="R26" s="201"/>
      <c r="S26" s="201"/>
      <c r="T26" s="201"/>
      <c r="U26" s="201"/>
      <c r="V26" s="201"/>
      <c r="W26" s="201"/>
      <c r="X26" s="201"/>
      <c r="Y26" s="201"/>
      <c r="Z26" s="201"/>
    </row>
    <row r="27" ht="12.8" customHeight="1" spans="1:26">
      <c r="A27" s="200"/>
      <c r="B27" s="201"/>
      <c r="C27" s="201"/>
      <c r="D27" s="201"/>
      <c r="E27" s="201"/>
      <c r="F27" s="201"/>
      <c r="G27" s="201"/>
      <c r="H27" s="201"/>
      <c r="I27" s="201"/>
      <c r="J27" s="201"/>
      <c r="K27" s="201"/>
      <c r="L27" s="201"/>
      <c r="M27" s="201"/>
      <c r="N27" s="201"/>
      <c r="O27" s="201"/>
      <c r="P27" s="201"/>
      <c r="Q27" s="201"/>
      <c r="R27" s="201"/>
      <c r="S27" s="201"/>
      <c r="T27" s="201"/>
      <c r="U27" s="201"/>
      <c r="V27" s="201"/>
      <c r="W27" s="201"/>
      <c r="X27" s="201"/>
      <c r="Y27" s="201"/>
      <c r="Z27" s="201"/>
    </row>
    <row r="28" ht="12.8" customHeight="1" spans="1:26">
      <c r="A28" s="200"/>
      <c r="B28" s="201"/>
      <c r="C28" s="201"/>
      <c r="D28" s="201"/>
      <c r="E28" s="201"/>
      <c r="F28" s="201"/>
      <c r="G28" s="201"/>
      <c r="H28" s="201"/>
      <c r="I28" s="201"/>
      <c r="J28" s="201"/>
      <c r="K28" s="201"/>
      <c r="L28" s="201"/>
      <c r="M28" s="201"/>
      <c r="N28" s="201"/>
      <c r="O28" s="201"/>
      <c r="P28" s="201"/>
      <c r="Q28" s="201"/>
      <c r="R28" s="201"/>
      <c r="S28" s="201"/>
      <c r="T28" s="201"/>
      <c r="U28" s="201"/>
      <c r="V28" s="201"/>
      <c r="W28" s="201"/>
      <c r="X28" s="201"/>
      <c r="Y28" s="201"/>
      <c r="Z28" s="201"/>
    </row>
    <row r="29" ht="12.8" customHeight="1" spans="1:26">
      <c r="A29" s="200"/>
      <c r="B29" s="201"/>
      <c r="C29" s="201"/>
      <c r="D29" s="201"/>
      <c r="E29" s="201"/>
      <c r="F29" s="201"/>
      <c r="G29" s="201"/>
      <c r="H29" s="201"/>
      <c r="I29" s="201"/>
      <c r="J29" s="201"/>
      <c r="K29" s="201"/>
      <c r="L29" s="201"/>
      <c r="M29" s="201"/>
      <c r="N29" s="201"/>
      <c r="O29" s="201"/>
      <c r="P29" s="201"/>
      <c r="Q29" s="201"/>
      <c r="R29" s="201"/>
      <c r="S29" s="201"/>
      <c r="T29" s="201"/>
      <c r="U29" s="201"/>
      <c r="V29" s="201"/>
      <c r="W29" s="201"/>
      <c r="X29" s="201"/>
      <c r="Y29" s="201"/>
      <c r="Z29" s="201"/>
    </row>
    <row r="30" ht="12.8" customHeight="1" spans="1:26">
      <c r="A30" s="200"/>
      <c r="B30" s="201"/>
      <c r="C30" s="201"/>
      <c r="D30" s="201"/>
      <c r="E30" s="201"/>
      <c r="F30" s="201"/>
      <c r="G30" s="201"/>
      <c r="H30" s="201"/>
      <c r="I30" s="201"/>
      <c r="J30" s="201"/>
      <c r="K30" s="201"/>
      <c r="L30" s="201"/>
      <c r="M30" s="201"/>
      <c r="N30" s="201"/>
      <c r="O30" s="201"/>
      <c r="P30" s="201"/>
      <c r="Q30" s="201"/>
      <c r="R30" s="201"/>
      <c r="S30" s="201"/>
      <c r="T30" s="201"/>
      <c r="U30" s="201"/>
      <c r="V30" s="201"/>
      <c r="W30" s="201"/>
      <c r="X30" s="201"/>
      <c r="Y30" s="201"/>
      <c r="Z30" s="201"/>
    </row>
    <row r="31" ht="12.8" customHeight="1" spans="1:26">
      <c r="A31" s="200"/>
      <c r="B31" s="201"/>
      <c r="C31" s="201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</row>
    <row r="32" ht="12.8" customHeight="1" spans="1:26">
      <c r="A32" s="200"/>
      <c r="B32" s="201"/>
      <c r="C32" s="201"/>
      <c r="D32" s="201"/>
      <c r="E32" s="201"/>
      <c r="F32" s="201"/>
      <c r="G32" s="201"/>
      <c r="H32" s="201"/>
      <c r="I32" s="201"/>
      <c r="J32" s="201"/>
      <c r="K32" s="201"/>
      <c r="L32" s="201"/>
      <c r="M32" s="201"/>
      <c r="N32" s="201"/>
      <c r="O32" s="201"/>
      <c r="P32" s="201"/>
      <c r="Q32" s="201"/>
      <c r="R32" s="201"/>
      <c r="S32" s="201"/>
      <c r="T32" s="201"/>
      <c r="U32" s="201"/>
      <c r="V32" s="201"/>
      <c r="W32" s="201"/>
      <c r="X32" s="201"/>
      <c r="Y32" s="201"/>
      <c r="Z32" s="201"/>
    </row>
    <row r="33" ht="12.8" customHeight="1" spans="1:26">
      <c r="A33" s="200"/>
      <c r="B33" s="201"/>
      <c r="C33" s="201"/>
      <c r="D33" s="201"/>
      <c r="E33" s="201"/>
      <c r="F33" s="201"/>
      <c r="G33" s="201"/>
      <c r="H33" s="201"/>
      <c r="I33" s="201"/>
      <c r="J33" s="201"/>
      <c r="K33" s="201"/>
      <c r="L33" s="201"/>
      <c r="M33" s="201"/>
      <c r="N33" s="201"/>
      <c r="O33" s="201"/>
      <c r="P33" s="201"/>
      <c r="Q33" s="201"/>
      <c r="R33" s="201"/>
      <c r="S33" s="201"/>
      <c r="T33" s="201"/>
      <c r="U33" s="201"/>
      <c r="V33" s="201"/>
      <c r="W33" s="201"/>
      <c r="X33" s="201"/>
      <c r="Y33" s="201"/>
      <c r="Z33" s="201"/>
    </row>
    <row r="34" ht="12.8" customHeight="1" spans="1:26">
      <c r="A34" s="200"/>
      <c r="B34" s="201"/>
      <c r="C34" s="201"/>
      <c r="D34" s="201"/>
      <c r="E34" s="201"/>
      <c r="F34" s="201"/>
      <c r="G34" s="201"/>
      <c r="H34" s="201"/>
      <c r="I34" s="201"/>
      <c r="J34" s="201"/>
      <c r="K34" s="201"/>
      <c r="L34" s="201"/>
      <c r="M34" s="201"/>
      <c r="N34" s="201"/>
      <c r="O34" s="201"/>
      <c r="P34" s="201"/>
      <c r="Q34" s="201"/>
      <c r="R34" s="201"/>
      <c r="S34" s="201"/>
      <c r="T34" s="201"/>
      <c r="U34" s="201"/>
      <c r="V34" s="201"/>
      <c r="W34" s="201"/>
      <c r="X34" s="201"/>
      <c r="Y34" s="201"/>
      <c r="Z34" s="201"/>
    </row>
    <row r="35" ht="12.8" customHeight="1" spans="1:26">
      <c r="A35" s="200"/>
      <c r="B35" s="201"/>
      <c r="C35" s="201"/>
      <c r="D35" s="201"/>
      <c r="E35" s="201"/>
      <c r="F35" s="201"/>
      <c r="G35" s="201"/>
      <c r="H35" s="201"/>
      <c r="I35" s="201"/>
      <c r="J35" s="201"/>
      <c r="K35" s="201"/>
      <c r="L35" s="201"/>
      <c r="M35" s="201"/>
      <c r="N35" s="201"/>
      <c r="O35" s="201"/>
      <c r="P35" s="201"/>
      <c r="Q35" s="201"/>
      <c r="R35" s="201"/>
      <c r="S35" s="201"/>
      <c r="T35" s="201"/>
      <c r="U35" s="201"/>
      <c r="V35" s="201"/>
      <c r="W35" s="201"/>
      <c r="X35" s="201"/>
      <c r="Y35" s="201"/>
      <c r="Z35" s="201"/>
    </row>
    <row r="36" ht="12.8" customHeight="1" spans="1:26">
      <c r="A36" s="200"/>
      <c r="B36" s="201"/>
      <c r="C36" s="201"/>
      <c r="D36" s="201"/>
      <c r="E36" s="201"/>
      <c r="F36" s="201"/>
      <c r="G36" s="201"/>
      <c r="H36" s="201"/>
      <c r="I36" s="201"/>
      <c r="J36" s="201"/>
      <c r="K36" s="201"/>
      <c r="L36" s="201"/>
      <c r="M36" s="201"/>
      <c r="N36" s="201"/>
      <c r="O36" s="201"/>
      <c r="P36" s="201"/>
      <c r="Q36" s="201"/>
      <c r="R36" s="201"/>
      <c r="S36" s="201"/>
      <c r="T36" s="201"/>
      <c r="U36" s="201"/>
      <c r="V36" s="201"/>
      <c r="W36" s="201"/>
      <c r="X36" s="201"/>
      <c r="Y36" s="201"/>
      <c r="Z36" s="201"/>
    </row>
    <row r="37" ht="12.8" customHeight="1" spans="1:26">
      <c r="A37" s="200"/>
      <c r="B37" s="201"/>
      <c r="C37" s="201"/>
      <c r="D37" s="201"/>
      <c r="E37" s="201"/>
      <c r="F37" s="201"/>
      <c r="G37" s="201"/>
      <c r="H37" s="201"/>
      <c r="I37" s="201"/>
      <c r="J37" s="201"/>
      <c r="K37" s="201"/>
      <c r="L37" s="201"/>
      <c r="M37" s="201"/>
      <c r="N37" s="201"/>
      <c r="O37" s="201"/>
      <c r="P37" s="201"/>
      <c r="Q37" s="201"/>
      <c r="R37" s="201"/>
      <c r="S37" s="201"/>
      <c r="T37" s="201"/>
      <c r="U37" s="201"/>
      <c r="V37" s="201"/>
      <c r="W37" s="201"/>
      <c r="X37" s="201"/>
      <c r="Y37" s="201"/>
      <c r="Z37" s="201"/>
    </row>
    <row r="38" ht="12.8" customHeight="1" spans="1:26">
      <c r="A38" s="200"/>
      <c r="B38" s="201"/>
      <c r="C38" s="201"/>
      <c r="D38" s="201"/>
      <c r="E38" s="201"/>
      <c r="F38" s="201"/>
      <c r="G38" s="201"/>
      <c r="H38" s="201"/>
      <c r="I38" s="201"/>
      <c r="J38" s="201"/>
      <c r="K38" s="201"/>
      <c r="L38" s="201"/>
      <c r="M38" s="201"/>
      <c r="N38" s="201"/>
      <c r="O38" s="201"/>
      <c r="P38" s="201"/>
      <c r="Q38" s="201"/>
      <c r="R38" s="201"/>
      <c r="S38" s="201"/>
      <c r="T38" s="201"/>
      <c r="U38" s="201"/>
      <c r="V38" s="201"/>
      <c r="W38" s="201"/>
      <c r="X38" s="201"/>
      <c r="Y38" s="201"/>
      <c r="Z38" s="201"/>
    </row>
    <row r="39" ht="12.8" customHeight="1" spans="1:26">
      <c r="A39" s="200"/>
      <c r="B39" s="201"/>
      <c r="C39" s="201"/>
      <c r="D39" s="201"/>
      <c r="E39" s="201"/>
      <c r="F39" s="201"/>
      <c r="G39" s="201"/>
      <c r="H39" s="201"/>
      <c r="I39" s="201"/>
      <c r="J39" s="201"/>
      <c r="K39" s="201"/>
      <c r="L39" s="201"/>
      <c r="M39" s="201"/>
      <c r="N39" s="201"/>
      <c r="O39" s="201"/>
      <c r="P39" s="201"/>
      <c r="Q39" s="201"/>
      <c r="R39" s="201"/>
      <c r="S39" s="201"/>
      <c r="T39" s="201"/>
      <c r="U39" s="201"/>
      <c r="V39" s="201"/>
      <c r="W39" s="201"/>
      <c r="X39" s="201"/>
      <c r="Y39" s="201"/>
      <c r="Z39" s="201"/>
    </row>
    <row r="40" ht="12.8" customHeight="1" spans="1:26">
      <c r="A40" s="200"/>
      <c r="B40" s="201"/>
      <c r="C40" s="201"/>
      <c r="D40" s="201"/>
      <c r="E40" s="201"/>
      <c r="F40" s="201"/>
      <c r="G40" s="201"/>
      <c r="H40" s="201"/>
      <c r="I40" s="201"/>
      <c r="J40" s="201"/>
      <c r="K40" s="201"/>
      <c r="L40" s="201"/>
      <c r="M40" s="201"/>
      <c r="N40" s="201"/>
      <c r="O40" s="201"/>
      <c r="P40" s="201"/>
      <c r="Q40" s="201"/>
      <c r="R40" s="201"/>
      <c r="S40" s="201"/>
      <c r="T40" s="201"/>
      <c r="U40" s="201"/>
      <c r="V40" s="201"/>
      <c r="W40" s="201"/>
      <c r="X40" s="201"/>
      <c r="Y40" s="201"/>
      <c r="Z40" s="201"/>
    </row>
    <row r="41" ht="12.8" customHeight="1" spans="1:26">
      <c r="A41" s="200"/>
      <c r="B41" s="201"/>
      <c r="C41" s="201"/>
      <c r="D41" s="201"/>
      <c r="E41" s="201"/>
      <c r="F41" s="201"/>
      <c r="G41" s="201"/>
      <c r="H41" s="201"/>
      <c r="I41" s="201"/>
      <c r="J41" s="201"/>
      <c r="K41" s="201"/>
      <c r="L41" s="201"/>
      <c r="M41" s="201"/>
      <c r="N41" s="201"/>
      <c r="O41" s="201"/>
      <c r="P41" s="201"/>
      <c r="Q41" s="201"/>
      <c r="R41" s="201"/>
      <c r="S41" s="201"/>
      <c r="T41" s="201"/>
      <c r="U41" s="201"/>
      <c r="V41" s="201"/>
      <c r="W41" s="201"/>
      <c r="X41" s="201"/>
      <c r="Y41" s="201"/>
      <c r="Z41" s="201"/>
    </row>
    <row r="42" ht="12.8" customHeight="1" spans="1:26">
      <c r="A42" s="200"/>
      <c r="B42" s="201"/>
      <c r="C42" s="201"/>
      <c r="D42" s="201"/>
      <c r="E42" s="201"/>
      <c r="F42" s="201"/>
      <c r="G42" s="201"/>
      <c r="H42" s="201"/>
      <c r="I42" s="201"/>
      <c r="J42" s="201"/>
      <c r="K42" s="201"/>
      <c r="L42" s="201"/>
      <c r="M42" s="201"/>
      <c r="N42" s="201"/>
      <c r="O42" s="201"/>
      <c r="P42" s="201"/>
      <c r="Q42" s="201"/>
      <c r="R42" s="201"/>
      <c r="S42" s="201"/>
      <c r="T42" s="201"/>
      <c r="U42" s="201"/>
      <c r="V42" s="201"/>
      <c r="W42" s="201"/>
      <c r="X42" s="201"/>
      <c r="Y42" s="201"/>
      <c r="Z42" s="201"/>
    </row>
    <row r="43" ht="12.8" customHeight="1" spans="1:26">
      <c r="A43" s="200"/>
      <c r="B43" s="201"/>
      <c r="C43" s="201"/>
      <c r="D43" s="201"/>
      <c r="E43" s="201"/>
      <c r="F43" s="201"/>
      <c r="G43" s="201"/>
      <c r="H43" s="201"/>
      <c r="I43" s="201"/>
      <c r="J43" s="201"/>
      <c r="K43" s="201"/>
      <c r="L43" s="201"/>
      <c r="M43" s="201"/>
      <c r="N43" s="201"/>
      <c r="O43" s="201"/>
      <c r="P43" s="201"/>
      <c r="Q43" s="201"/>
      <c r="R43" s="201"/>
      <c r="S43" s="201"/>
      <c r="T43" s="201"/>
      <c r="U43" s="201"/>
      <c r="V43" s="201"/>
      <c r="W43" s="201"/>
      <c r="X43" s="201"/>
      <c r="Y43" s="201"/>
      <c r="Z43" s="201"/>
    </row>
    <row r="44" ht="12.8" customHeight="1" spans="1:26">
      <c r="A44" s="200"/>
      <c r="B44" s="201"/>
      <c r="C44" s="201"/>
      <c r="D44" s="201"/>
      <c r="E44" s="201"/>
      <c r="F44" s="201"/>
      <c r="G44" s="201"/>
      <c r="H44" s="201"/>
      <c r="I44" s="201"/>
      <c r="J44" s="201"/>
      <c r="K44" s="201"/>
      <c r="L44" s="201"/>
      <c r="M44" s="201"/>
      <c r="N44" s="201"/>
      <c r="O44" s="201"/>
      <c r="P44" s="201"/>
      <c r="Q44" s="201"/>
      <c r="R44" s="201"/>
      <c r="S44" s="201"/>
      <c r="T44" s="201"/>
      <c r="U44" s="201"/>
      <c r="V44" s="201"/>
      <c r="W44" s="201"/>
      <c r="X44" s="201"/>
      <c r="Y44" s="201"/>
      <c r="Z44" s="201"/>
    </row>
    <row r="45" ht="12.8" customHeight="1" spans="1:26">
      <c r="A45" s="200"/>
      <c r="B45" s="201"/>
      <c r="C45" s="201"/>
      <c r="D45" s="201"/>
      <c r="E45" s="201"/>
      <c r="F45" s="201"/>
      <c r="G45" s="201"/>
      <c r="H45" s="201"/>
      <c r="I45" s="201"/>
      <c r="J45" s="201"/>
      <c r="K45" s="201"/>
      <c r="L45" s="201"/>
      <c r="M45" s="201"/>
      <c r="N45" s="201"/>
      <c r="O45" s="201"/>
      <c r="P45" s="201"/>
      <c r="Q45" s="201"/>
      <c r="R45" s="201"/>
      <c r="S45" s="201"/>
      <c r="T45" s="201"/>
      <c r="U45" s="201"/>
      <c r="V45" s="201"/>
      <c r="W45" s="201"/>
      <c r="X45" s="201"/>
      <c r="Y45" s="201"/>
      <c r="Z45" s="201"/>
    </row>
    <row r="46" ht="12.8" customHeight="1" spans="1:26">
      <c r="A46" s="200"/>
      <c r="B46" s="201"/>
      <c r="C46" s="201"/>
      <c r="D46" s="201"/>
      <c r="E46" s="201"/>
      <c r="F46" s="201"/>
      <c r="G46" s="201"/>
      <c r="H46" s="201"/>
      <c r="I46" s="201"/>
      <c r="J46" s="201"/>
      <c r="K46" s="201"/>
      <c r="L46" s="201"/>
      <c r="M46" s="201"/>
      <c r="N46" s="201"/>
      <c r="O46" s="201"/>
      <c r="P46" s="201"/>
      <c r="Q46" s="201"/>
      <c r="R46" s="201"/>
      <c r="S46" s="201"/>
      <c r="T46" s="201"/>
      <c r="U46" s="201"/>
      <c r="V46" s="201"/>
      <c r="W46" s="201"/>
      <c r="X46" s="201"/>
      <c r="Y46" s="201"/>
      <c r="Z46" s="201"/>
    </row>
    <row r="47" ht="12.8" customHeight="1" spans="1:26">
      <c r="A47" s="200"/>
      <c r="B47" s="201"/>
      <c r="C47" s="201"/>
      <c r="D47" s="201"/>
      <c r="E47" s="201"/>
      <c r="F47" s="201"/>
      <c r="G47" s="201"/>
      <c r="H47" s="201"/>
      <c r="I47" s="201"/>
      <c r="J47" s="201"/>
      <c r="K47" s="201"/>
      <c r="L47" s="201"/>
      <c r="M47" s="201"/>
      <c r="N47" s="201"/>
      <c r="O47" s="201"/>
      <c r="P47" s="201"/>
      <c r="Q47" s="201"/>
      <c r="R47" s="201"/>
      <c r="S47" s="201"/>
      <c r="T47" s="201"/>
      <c r="U47" s="201"/>
      <c r="V47" s="201"/>
      <c r="W47" s="201"/>
      <c r="X47" s="201"/>
      <c r="Y47" s="201"/>
      <c r="Z47" s="201"/>
    </row>
    <row r="48" ht="12.8" customHeight="1" spans="1:26">
      <c r="A48" s="200"/>
      <c r="B48" s="201"/>
      <c r="C48" s="201"/>
      <c r="D48" s="201"/>
      <c r="E48" s="201"/>
      <c r="F48" s="201"/>
      <c r="G48" s="201"/>
      <c r="H48" s="201"/>
      <c r="I48" s="201"/>
      <c r="J48" s="201"/>
      <c r="K48" s="201"/>
      <c r="L48" s="201"/>
      <c r="M48" s="201"/>
      <c r="N48" s="201"/>
      <c r="O48" s="201"/>
      <c r="P48" s="201"/>
      <c r="Q48" s="201"/>
      <c r="R48" s="201"/>
      <c r="S48" s="201"/>
      <c r="T48" s="201"/>
      <c r="U48" s="201"/>
      <c r="V48" s="201"/>
      <c r="W48" s="201"/>
      <c r="X48" s="201"/>
      <c r="Y48" s="201"/>
      <c r="Z48" s="201"/>
    </row>
    <row r="49" ht="12.8" customHeight="1" spans="1:26">
      <c r="A49" s="200"/>
      <c r="B49" s="201"/>
      <c r="C49" s="201"/>
      <c r="D49" s="201"/>
      <c r="E49" s="201"/>
      <c r="F49" s="201"/>
      <c r="G49" s="201"/>
      <c r="H49" s="201"/>
      <c r="I49" s="201"/>
      <c r="J49" s="201"/>
      <c r="K49" s="201"/>
      <c r="L49" s="201"/>
      <c r="M49" s="201"/>
      <c r="N49" s="201"/>
      <c r="O49" s="201"/>
      <c r="P49" s="201"/>
      <c r="Q49" s="201"/>
      <c r="R49" s="201"/>
      <c r="S49" s="201"/>
      <c r="T49" s="201"/>
      <c r="U49" s="201"/>
      <c r="V49" s="201"/>
      <c r="W49" s="201"/>
      <c r="X49" s="201"/>
      <c r="Y49" s="201"/>
      <c r="Z49" s="201"/>
    </row>
    <row r="50" ht="12.8" customHeight="1" spans="1:26">
      <c r="A50" s="200"/>
      <c r="B50" s="201"/>
      <c r="C50" s="201"/>
      <c r="D50" s="201"/>
      <c r="E50" s="201"/>
      <c r="F50" s="201"/>
      <c r="G50" s="201"/>
      <c r="H50" s="201"/>
      <c r="I50" s="201"/>
      <c r="J50" s="201"/>
      <c r="K50" s="201"/>
      <c r="L50" s="201"/>
      <c r="M50" s="201"/>
      <c r="N50" s="201"/>
      <c r="O50" s="201"/>
      <c r="P50" s="201"/>
      <c r="Q50" s="201"/>
      <c r="R50" s="201"/>
      <c r="S50" s="201"/>
      <c r="T50" s="201"/>
      <c r="U50" s="201"/>
      <c r="V50" s="201"/>
      <c r="W50" s="201"/>
      <c r="X50" s="201"/>
      <c r="Y50" s="201"/>
      <c r="Z50" s="201"/>
    </row>
    <row r="51" ht="12.8" customHeight="1" spans="1:26">
      <c r="A51" s="200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</row>
    <row r="52" ht="12.8" customHeight="1" spans="1:26">
      <c r="A52" s="200"/>
      <c r="B52" s="201"/>
      <c r="C52" s="201"/>
      <c r="D52" s="201"/>
      <c r="E52" s="201"/>
      <c r="F52" s="201"/>
      <c r="G52" s="201"/>
      <c r="H52" s="201"/>
      <c r="I52" s="201"/>
      <c r="J52" s="201"/>
      <c r="K52" s="201"/>
      <c r="L52" s="201"/>
      <c r="M52" s="201"/>
      <c r="N52" s="201"/>
      <c r="O52" s="201"/>
      <c r="P52" s="201"/>
      <c r="Q52" s="201"/>
      <c r="R52" s="201"/>
      <c r="S52" s="201"/>
      <c r="T52" s="201"/>
      <c r="U52" s="201"/>
      <c r="V52" s="201"/>
      <c r="W52" s="201"/>
      <c r="X52" s="201"/>
      <c r="Y52" s="201"/>
      <c r="Z52" s="201"/>
    </row>
    <row r="53" ht="12.8" customHeight="1" spans="1:26">
      <c r="A53" s="200"/>
      <c r="B53" s="201"/>
      <c r="C53" s="201"/>
      <c r="D53" s="201"/>
      <c r="E53" s="201"/>
      <c r="F53" s="201"/>
      <c r="G53" s="201"/>
      <c r="H53" s="201"/>
      <c r="I53" s="201"/>
      <c r="J53" s="201"/>
      <c r="K53" s="201"/>
      <c r="L53" s="201"/>
      <c r="M53" s="201"/>
      <c r="N53" s="201"/>
      <c r="O53" s="201"/>
      <c r="P53" s="201"/>
      <c r="Q53" s="201"/>
      <c r="R53" s="201"/>
      <c r="S53" s="201"/>
      <c r="T53" s="201"/>
      <c r="U53" s="201"/>
      <c r="V53" s="201"/>
      <c r="W53" s="201"/>
      <c r="X53" s="201"/>
      <c r="Y53" s="201"/>
      <c r="Z53" s="201"/>
    </row>
    <row r="54" ht="12.8" customHeight="1" spans="1:26">
      <c r="A54" s="200"/>
      <c r="B54" s="201"/>
      <c r="C54" s="201"/>
      <c r="D54" s="201"/>
      <c r="E54" s="201"/>
      <c r="F54" s="201"/>
      <c r="G54" s="201"/>
      <c r="H54" s="201"/>
      <c r="I54" s="201"/>
      <c r="J54" s="201"/>
      <c r="K54" s="201"/>
      <c r="L54" s="201"/>
      <c r="M54" s="201"/>
      <c r="N54" s="201"/>
      <c r="O54" s="201"/>
      <c r="P54" s="201"/>
      <c r="Q54" s="201"/>
      <c r="R54" s="201"/>
      <c r="S54" s="201"/>
      <c r="T54" s="201"/>
      <c r="U54" s="201"/>
      <c r="V54" s="201"/>
      <c r="W54" s="201"/>
      <c r="X54" s="201"/>
      <c r="Y54" s="201"/>
      <c r="Z54" s="201"/>
    </row>
    <row r="55" ht="12.8" customHeight="1" spans="1:26">
      <c r="A55" s="200"/>
      <c r="B55" s="201"/>
      <c r="C55" s="201"/>
      <c r="D55" s="201"/>
      <c r="E55" s="201"/>
      <c r="F55" s="201"/>
      <c r="G55" s="201"/>
      <c r="H55" s="201"/>
      <c r="I55" s="201"/>
      <c r="J55" s="201"/>
      <c r="K55" s="201"/>
      <c r="L55" s="201"/>
      <c r="M55" s="201"/>
      <c r="N55" s="201"/>
      <c r="O55" s="201"/>
      <c r="P55" s="201"/>
      <c r="Q55" s="201"/>
      <c r="R55" s="201"/>
      <c r="S55" s="201"/>
      <c r="T55" s="201"/>
      <c r="U55" s="201"/>
      <c r="V55" s="201"/>
      <c r="W55" s="201"/>
      <c r="X55" s="201"/>
      <c r="Y55" s="201"/>
      <c r="Z55" s="201"/>
    </row>
    <row r="56" ht="12.8" customHeight="1" spans="1:26">
      <c r="A56" s="200"/>
      <c r="B56" s="201"/>
      <c r="C56" s="201"/>
      <c r="D56" s="201"/>
      <c r="E56" s="201"/>
      <c r="F56" s="201"/>
      <c r="G56" s="201"/>
      <c r="H56" s="201"/>
      <c r="I56" s="201"/>
      <c r="J56" s="201"/>
      <c r="K56" s="201"/>
      <c r="L56" s="201"/>
      <c r="M56" s="201"/>
      <c r="N56" s="201"/>
      <c r="O56" s="201"/>
      <c r="P56" s="201"/>
      <c r="Q56" s="201"/>
      <c r="R56" s="201"/>
      <c r="S56" s="201"/>
      <c r="T56" s="201"/>
      <c r="U56" s="201"/>
      <c r="V56" s="201"/>
      <c r="W56" s="201"/>
      <c r="X56" s="201"/>
      <c r="Y56" s="201"/>
      <c r="Z56" s="201"/>
    </row>
    <row r="57" ht="12.8" customHeight="1" spans="1:26">
      <c r="A57" s="200"/>
      <c r="B57" s="201"/>
      <c r="C57" s="201"/>
      <c r="D57" s="201"/>
      <c r="E57" s="201"/>
      <c r="F57" s="201"/>
      <c r="G57" s="201"/>
      <c r="H57" s="201"/>
      <c r="I57" s="201"/>
      <c r="J57" s="201"/>
      <c r="K57" s="201"/>
      <c r="L57" s="201"/>
      <c r="M57" s="201"/>
      <c r="N57" s="201"/>
      <c r="O57" s="201"/>
      <c r="P57" s="201"/>
      <c r="Q57" s="201"/>
      <c r="R57" s="201"/>
      <c r="S57" s="201"/>
      <c r="T57" s="201"/>
      <c r="U57" s="201"/>
      <c r="V57" s="201"/>
      <c r="W57" s="201"/>
      <c r="X57" s="201"/>
      <c r="Y57" s="201"/>
      <c r="Z57" s="201"/>
    </row>
    <row r="58" ht="12.8" customHeight="1" spans="1:26">
      <c r="A58" s="200"/>
      <c r="B58" s="201"/>
      <c r="C58" s="201"/>
      <c r="D58" s="201"/>
      <c r="E58" s="201"/>
      <c r="F58" s="201"/>
      <c r="G58" s="201"/>
      <c r="H58" s="201"/>
      <c r="I58" s="201"/>
      <c r="J58" s="201"/>
      <c r="K58" s="201"/>
      <c r="L58" s="201"/>
      <c r="M58" s="201"/>
      <c r="N58" s="201"/>
      <c r="O58" s="201"/>
      <c r="P58" s="201"/>
      <c r="Q58" s="201"/>
      <c r="R58" s="201"/>
      <c r="S58" s="201"/>
      <c r="T58" s="201"/>
      <c r="U58" s="201"/>
      <c r="V58" s="201"/>
      <c r="W58" s="201"/>
      <c r="X58" s="201"/>
      <c r="Y58" s="201"/>
      <c r="Z58" s="201"/>
    </row>
    <row r="59" ht="12.8" customHeight="1" spans="1:26">
      <c r="A59" s="200"/>
      <c r="B59" s="201"/>
      <c r="C59" s="201"/>
      <c r="D59" s="201"/>
      <c r="E59" s="201"/>
      <c r="F59" s="201"/>
      <c r="G59" s="201"/>
      <c r="H59" s="201"/>
      <c r="I59" s="201"/>
      <c r="J59" s="201"/>
      <c r="K59" s="201"/>
      <c r="L59" s="201"/>
      <c r="M59" s="201"/>
      <c r="N59" s="201"/>
      <c r="O59" s="201"/>
      <c r="P59" s="201"/>
      <c r="Q59" s="201"/>
      <c r="R59" s="201"/>
      <c r="S59" s="201"/>
      <c r="T59" s="201"/>
      <c r="U59" s="201"/>
      <c r="V59" s="201"/>
      <c r="W59" s="201"/>
      <c r="X59" s="201"/>
      <c r="Y59" s="201"/>
      <c r="Z59" s="201"/>
    </row>
    <row r="60" ht="12.8" customHeight="1" spans="1:26">
      <c r="A60" s="200"/>
      <c r="B60" s="201"/>
      <c r="C60" s="201"/>
      <c r="D60" s="201"/>
      <c r="E60" s="201"/>
      <c r="F60" s="201"/>
      <c r="G60" s="201"/>
      <c r="H60" s="201"/>
      <c r="I60" s="201"/>
      <c r="J60" s="201"/>
      <c r="K60" s="201"/>
      <c r="L60" s="201"/>
      <c r="M60" s="201"/>
      <c r="N60" s="201"/>
      <c r="O60" s="201"/>
      <c r="P60" s="201"/>
      <c r="Q60" s="201"/>
      <c r="R60" s="201"/>
      <c r="S60" s="201"/>
      <c r="T60" s="201"/>
      <c r="U60" s="201"/>
      <c r="V60" s="201"/>
      <c r="W60" s="201"/>
      <c r="X60" s="201"/>
      <c r="Y60" s="201"/>
      <c r="Z60" s="201"/>
    </row>
    <row r="61" ht="12.8" customHeight="1" spans="1:26">
      <c r="A61" s="200"/>
      <c r="B61" s="201"/>
      <c r="C61" s="201"/>
      <c r="D61" s="201"/>
      <c r="E61" s="201"/>
      <c r="F61" s="201"/>
      <c r="G61" s="201"/>
      <c r="H61" s="201"/>
      <c r="I61" s="201"/>
      <c r="J61" s="201"/>
      <c r="K61" s="201"/>
      <c r="L61" s="201"/>
      <c r="M61" s="201"/>
      <c r="N61" s="201"/>
      <c r="O61" s="201"/>
      <c r="P61" s="201"/>
      <c r="Q61" s="201"/>
      <c r="R61" s="201"/>
      <c r="S61" s="201"/>
      <c r="T61" s="201"/>
      <c r="U61" s="201"/>
      <c r="V61" s="201"/>
      <c r="W61" s="201"/>
      <c r="X61" s="201"/>
      <c r="Y61" s="201"/>
      <c r="Z61" s="201"/>
    </row>
    <row r="62" ht="12.8" customHeight="1" spans="1:26">
      <c r="A62" s="200"/>
      <c r="B62" s="201"/>
      <c r="C62" s="201"/>
      <c r="D62" s="201"/>
      <c r="E62" s="201"/>
      <c r="F62" s="201"/>
      <c r="G62" s="201"/>
      <c r="H62" s="201"/>
      <c r="I62" s="201"/>
      <c r="J62" s="201"/>
      <c r="K62" s="201"/>
      <c r="L62" s="201"/>
      <c r="M62" s="201"/>
      <c r="N62" s="201"/>
      <c r="O62" s="201"/>
      <c r="P62" s="201"/>
      <c r="Q62" s="201"/>
      <c r="R62" s="201"/>
      <c r="S62" s="201"/>
      <c r="T62" s="201"/>
      <c r="U62" s="201"/>
      <c r="V62" s="201"/>
      <c r="W62" s="201"/>
      <c r="X62" s="201"/>
      <c r="Y62" s="201"/>
      <c r="Z62" s="201"/>
    </row>
    <row r="63" ht="12.8" customHeight="1" spans="1:26">
      <c r="A63" s="200"/>
      <c r="B63" s="201"/>
      <c r="C63" s="201"/>
      <c r="D63" s="201"/>
      <c r="E63" s="201"/>
      <c r="F63" s="201"/>
      <c r="G63" s="201"/>
      <c r="H63" s="201"/>
      <c r="I63" s="201"/>
      <c r="J63" s="201"/>
      <c r="K63" s="201"/>
      <c r="L63" s="201"/>
      <c r="M63" s="201"/>
      <c r="N63" s="201"/>
      <c r="O63" s="201"/>
      <c r="P63" s="201"/>
      <c r="Q63" s="201"/>
      <c r="R63" s="201"/>
      <c r="S63" s="201"/>
      <c r="T63" s="201"/>
      <c r="U63" s="201"/>
      <c r="V63" s="201"/>
      <c r="W63" s="201"/>
      <c r="X63" s="201"/>
      <c r="Y63" s="201"/>
      <c r="Z63" s="201"/>
    </row>
    <row r="64" ht="12.8" customHeight="1" spans="1:26">
      <c r="A64" s="200"/>
      <c r="B64" s="201"/>
      <c r="C64" s="201"/>
      <c r="D64" s="201"/>
      <c r="E64" s="201"/>
      <c r="F64" s="201"/>
      <c r="G64" s="201"/>
      <c r="H64" s="201"/>
      <c r="I64" s="201"/>
      <c r="J64" s="201"/>
      <c r="K64" s="201"/>
      <c r="L64" s="201"/>
      <c r="M64" s="201"/>
      <c r="N64" s="201"/>
      <c r="O64" s="201"/>
      <c r="P64" s="201"/>
      <c r="Q64" s="201"/>
      <c r="R64" s="201"/>
      <c r="S64" s="201"/>
      <c r="T64" s="201"/>
      <c r="U64" s="201"/>
      <c r="V64" s="201"/>
      <c r="W64" s="201"/>
      <c r="X64" s="201"/>
      <c r="Y64" s="201"/>
      <c r="Z64" s="201"/>
    </row>
    <row r="65" ht="12.8" customHeight="1" spans="1:26">
      <c r="A65" s="200"/>
      <c r="B65" s="201"/>
      <c r="C65" s="201"/>
      <c r="D65" s="201"/>
      <c r="E65" s="201"/>
      <c r="F65" s="201"/>
      <c r="G65" s="201"/>
      <c r="H65" s="201"/>
      <c r="I65" s="201"/>
      <c r="J65" s="201"/>
      <c r="K65" s="201"/>
      <c r="L65" s="201"/>
      <c r="M65" s="201"/>
      <c r="N65" s="201"/>
      <c r="O65" s="201"/>
      <c r="P65" s="201"/>
      <c r="Q65" s="201"/>
      <c r="R65" s="201"/>
      <c r="S65" s="201"/>
      <c r="T65" s="201"/>
      <c r="U65" s="201"/>
      <c r="V65" s="201"/>
      <c r="W65" s="201"/>
      <c r="X65" s="201"/>
      <c r="Y65" s="201"/>
      <c r="Z65" s="201"/>
    </row>
    <row r="66" ht="12.8" customHeight="1" spans="1:26">
      <c r="A66" s="200"/>
      <c r="B66" s="201"/>
      <c r="C66" s="201"/>
      <c r="D66" s="201"/>
      <c r="E66" s="201"/>
      <c r="F66" s="201"/>
      <c r="G66" s="201"/>
      <c r="H66" s="201"/>
      <c r="I66" s="201"/>
      <c r="J66" s="201"/>
      <c r="K66" s="201"/>
      <c r="L66" s="201"/>
      <c r="M66" s="201"/>
      <c r="N66" s="201"/>
      <c r="O66" s="201"/>
      <c r="P66" s="201"/>
      <c r="Q66" s="201"/>
      <c r="R66" s="201"/>
      <c r="S66" s="201"/>
      <c r="T66" s="201"/>
      <c r="U66" s="201"/>
      <c r="V66" s="201"/>
      <c r="W66" s="201"/>
      <c r="X66" s="201"/>
      <c r="Y66" s="201"/>
      <c r="Z66" s="201"/>
    </row>
    <row r="67" ht="12.8" customHeight="1" spans="1:26">
      <c r="A67" s="200"/>
      <c r="B67" s="201"/>
      <c r="C67" s="201"/>
      <c r="D67" s="201"/>
      <c r="E67" s="201"/>
      <c r="F67" s="201"/>
      <c r="G67" s="201"/>
      <c r="H67" s="201"/>
      <c r="I67" s="201"/>
      <c r="J67" s="201"/>
      <c r="K67" s="201"/>
      <c r="L67" s="201"/>
      <c r="M67" s="201"/>
      <c r="N67" s="201"/>
      <c r="O67" s="201"/>
      <c r="P67" s="201"/>
      <c r="Q67" s="201"/>
      <c r="R67" s="201"/>
      <c r="S67" s="201"/>
      <c r="T67" s="201"/>
      <c r="U67" s="201"/>
      <c r="V67" s="201"/>
      <c r="W67" s="201"/>
      <c r="X67" s="201"/>
      <c r="Y67" s="201"/>
      <c r="Z67" s="201"/>
    </row>
    <row r="68" ht="12.8" customHeight="1" spans="1:26">
      <c r="A68" s="200"/>
      <c r="B68" s="201"/>
      <c r="C68" s="201"/>
      <c r="D68" s="201"/>
      <c r="E68" s="201"/>
      <c r="F68" s="201"/>
      <c r="G68" s="201"/>
      <c r="H68" s="201"/>
      <c r="I68" s="201"/>
      <c r="J68" s="201"/>
      <c r="K68" s="201"/>
      <c r="L68" s="201"/>
      <c r="M68" s="201"/>
      <c r="N68" s="201"/>
      <c r="O68" s="201"/>
      <c r="P68" s="201"/>
      <c r="Q68" s="201"/>
      <c r="R68" s="201"/>
      <c r="S68" s="201"/>
      <c r="T68" s="201"/>
      <c r="U68" s="201"/>
      <c r="V68" s="201"/>
      <c r="W68" s="201"/>
      <c r="X68" s="201"/>
      <c r="Y68" s="201"/>
      <c r="Z68" s="201"/>
    </row>
    <row r="69" ht="12.8" customHeight="1" spans="1:26">
      <c r="A69" s="200"/>
      <c r="B69" s="201"/>
      <c r="C69" s="201"/>
      <c r="D69" s="201"/>
      <c r="E69" s="201"/>
      <c r="F69" s="201"/>
      <c r="G69" s="201"/>
      <c r="H69" s="201"/>
      <c r="I69" s="201"/>
      <c r="J69" s="201"/>
      <c r="K69" s="201"/>
      <c r="L69" s="201"/>
      <c r="M69" s="201"/>
      <c r="N69" s="201"/>
      <c r="O69" s="201"/>
      <c r="P69" s="201"/>
      <c r="Q69" s="201"/>
      <c r="R69" s="201"/>
      <c r="S69" s="201"/>
      <c r="T69" s="201"/>
      <c r="U69" s="201"/>
      <c r="V69" s="201"/>
      <c r="W69" s="201"/>
      <c r="X69" s="201"/>
      <c r="Y69" s="201"/>
      <c r="Z69" s="201"/>
    </row>
    <row r="70" ht="12.8" customHeight="1" spans="1:26">
      <c r="A70" s="200"/>
      <c r="B70" s="201"/>
      <c r="C70" s="201"/>
      <c r="D70" s="201"/>
      <c r="E70" s="201"/>
      <c r="F70" s="201"/>
      <c r="G70" s="201"/>
      <c r="H70" s="201"/>
      <c r="I70" s="201"/>
      <c r="J70" s="201"/>
      <c r="K70" s="201"/>
      <c r="L70" s="201"/>
      <c r="M70" s="201"/>
      <c r="N70" s="201"/>
      <c r="O70" s="201"/>
      <c r="P70" s="201"/>
      <c r="Q70" s="201"/>
      <c r="R70" s="201"/>
      <c r="S70" s="201"/>
      <c r="T70" s="201"/>
      <c r="U70" s="201"/>
      <c r="V70" s="201"/>
      <c r="W70" s="201"/>
      <c r="X70" s="201"/>
      <c r="Y70" s="201"/>
      <c r="Z70" s="201"/>
    </row>
    <row r="71" ht="12.8" customHeight="1" spans="1:26">
      <c r="A71" s="200"/>
      <c r="B71" s="201"/>
      <c r="C71" s="201"/>
      <c r="D71" s="201"/>
      <c r="E71" s="201"/>
      <c r="F71" s="201"/>
      <c r="G71" s="201"/>
      <c r="H71" s="201"/>
      <c r="I71" s="201"/>
      <c r="J71" s="201"/>
      <c r="K71" s="201"/>
      <c r="L71" s="201"/>
      <c r="M71" s="201"/>
      <c r="N71" s="201"/>
      <c r="O71" s="201"/>
      <c r="P71" s="201"/>
      <c r="Q71" s="201"/>
      <c r="R71" s="201"/>
      <c r="S71" s="201"/>
      <c r="T71" s="201"/>
      <c r="U71" s="201"/>
      <c r="V71" s="201"/>
      <c r="W71" s="201"/>
      <c r="X71" s="201"/>
      <c r="Y71" s="201"/>
      <c r="Z71" s="201"/>
    </row>
    <row r="72" ht="12.8" customHeight="1" spans="1:26">
      <c r="A72" s="200"/>
      <c r="B72" s="201"/>
      <c r="C72" s="201"/>
      <c r="D72" s="201"/>
      <c r="E72" s="201"/>
      <c r="F72" s="201"/>
      <c r="G72" s="201"/>
      <c r="H72" s="201"/>
      <c r="I72" s="201"/>
      <c r="J72" s="201"/>
      <c r="K72" s="201"/>
      <c r="L72" s="201"/>
      <c r="M72" s="201"/>
      <c r="N72" s="201"/>
      <c r="O72" s="201"/>
      <c r="P72" s="201"/>
      <c r="Q72" s="201"/>
      <c r="R72" s="201"/>
      <c r="S72" s="201"/>
      <c r="T72" s="201"/>
      <c r="U72" s="201"/>
      <c r="V72" s="201"/>
      <c r="W72" s="201"/>
      <c r="X72" s="201"/>
      <c r="Y72" s="201"/>
      <c r="Z72" s="201"/>
    </row>
    <row r="73" ht="12.8" customHeight="1" spans="1:26">
      <c r="A73" s="200"/>
      <c r="B73" s="201"/>
      <c r="C73" s="201"/>
      <c r="D73" s="201"/>
      <c r="E73" s="201"/>
      <c r="F73" s="201"/>
      <c r="G73" s="201"/>
      <c r="H73" s="201"/>
      <c r="I73" s="201"/>
      <c r="J73" s="201"/>
      <c r="K73" s="201"/>
      <c r="L73" s="201"/>
      <c r="M73" s="201"/>
      <c r="N73" s="201"/>
      <c r="O73" s="201"/>
      <c r="P73" s="201"/>
      <c r="Q73" s="201"/>
      <c r="R73" s="201"/>
      <c r="S73" s="201"/>
      <c r="T73" s="201"/>
      <c r="U73" s="201"/>
      <c r="V73" s="201"/>
      <c r="W73" s="201"/>
      <c r="X73" s="201"/>
      <c r="Y73" s="201"/>
      <c r="Z73" s="201"/>
    </row>
    <row r="74" ht="12.8" customHeight="1" spans="1:26">
      <c r="A74" s="200"/>
      <c r="B74" s="201"/>
      <c r="C74" s="201"/>
      <c r="D74" s="201"/>
      <c r="E74" s="201"/>
      <c r="F74" s="201"/>
      <c r="G74" s="201"/>
      <c r="H74" s="201"/>
      <c r="I74" s="201"/>
      <c r="J74" s="201"/>
      <c r="K74" s="201"/>
      <c r="L74" s="201"/>
      <c r="M74" s="201"/>
      <c r="N74" s="201"/>
      <c r="O74" s="201"/>
      <c r="P74" s="201"/>
      <c r="Q74" s="201"/>
      <c r="R74" s="201"/>
      <c r="S74" s="201"/>
      <c r="T74" s="201"/>
      <c r="U74" s="201"/>
      <c r="V74" s="201"/>
      <c r="W74" s="201"/>
      <c r="X74" s="201"/>
      <c r="Y74" s="201"/>
      <c r="Z74" s="201"/>
    </row>
    <row r="75" ht="12.8" customHeight="1" spans="1:26">
      <c r="A75" s="200"/>
      <c r="B75" s="201"/>
      <c r="C75" s="201"/>
      <c r="D75" s="201"/>
      <c r="E75" s="201"/>
      <c r="F75" s="201"/>
      <c r="G75" s="201"/>
      <c r="H75" s="201"/>
      <c r="I75" s="201"/>
      <c r="J75" s="201"/>
      <c r="K75" s="201"/>
      <c r="L75" s="201"/>
      <c r="M75" s="201"/>
      <c r="N75" s="201"/>
      <c r="O75" s="201"/>
      <c r="P75" s="201"/>
      <c r="Q75" s="201"/>
      <c r="R75" s="201"/>
      <c r="S75" s="201"/>
      <c r="T75" s="201"/>
      <c r="U75" s="201"/>
      <c r="V75" s="201"/>
      <c r="W75" s="201"/>
      <c r="X75" s="201"/>
      <c r="Y75" s="201"/>
      <c r="Z75" s="201"/>
    </row>
    <row r="76" ht="12.8" customHeight="1" spans="1:26">
      <c r="A76" s="200"/>
      <c r="B76" s="201"/>
      <c r="C76" s="201"/>
      <c r="D76" s="201"/>
      <c r="E76" s="201"/>
      <c r="F76" s="201"/>
      <c r="G76" s="201"/>
      <c r="H76" s="201"/>
      <c r="I76" s="201"/>
      <c r="J76" s="201"/>
      <c r="K76" s="201"/>
      <c r="L76" s="201"/>
      <c r="M76" s="201"/>
      <c r="N76" s="201"/>
      <c r="O76" s="201"/>
      <c r="P76" s="201"/>
      <c r="Q76" s="201"/>
      <c r="R76" s="201"/>
      <c r="S76" s="201"/>
      <c r="T76" s="201"/>
      <c r="U76" s="201"/>
      <c r="V76" s="201"/>
      <c r="W76" s="201"/>
      <c r="X76" s="201"/>
      <c r="Y76" s="201"/>
      <c r="Z76" s="201"/>
    </row>
    <row r="77" ht="12.8" customHeight="1" spans="1:26">
      <c r="A77" s="200"/>
      <c r="B77" s="201"/>
      <c r="C77" s="201"/>
      <c r="D77" s="201"/>
      <c r="E77" s="201"/>
      <c r="F77" s="201"/>
      <c r="G77" s="201"/>
      <c r="H77" s="201"/>
      <c r="I77" s="201"/>
      <c r="J77" s="201"/>
      <c r="K77" s="201"/>
      <c r="L77" s="201"/>
      <c r="M77" s="201"/>
      <c r="N77" s="201"/>
      <c r="O77" s="201"/>
      <c r="P77" s="201"/>
      <c r="Q77" s="201"/>
      <c r="R77" s="201"/>
      <c r="S77" s="201"/>
      <c r="T77" s="201"/>
      <c r="U77" s="201"/>
      <c r="V77" s="201"/>
      <c r="W77" s="201"/>
      <c r="X77" s="201"/>
      <c r="Y77" s="201"/>
      <c r="Z77" s="201"/>
    </row>
    <row r="78" ht="12.8" customHeight="1" spans="1:26">
      <c r="A78" s="200"/>
      <c r="B78" s="201"/>
      <c r="C78" s="201"/>
      <c r="D78" s="201"/>
      <c r="E78" s="201"/>
      <c r="F78" s="201"/>
      <c r="G78" s="201"/>
      <c r="H78" s="201"/>
      <c r="I78" s="201"/>
      <c r="J78" s="201"/>
      <c r="K78" s="201"/>
      <c r="L78" s="201"/>
      <c r="M78" s="201"/>
      <c r="N78" s="201"/>
      <c r="O78" s="201"/>
      <c r="P78" s="201"/>
      <c r="Q78" s="201"/>
      <c r="R78" s="201"/>
      <c r="S78" s="201"/>
      <c r="T78" s="201"/>
      <c r="U78" s="201"/>
      <c r="V78" s="201"/>
      <c r="W78" s="201"/>
      <c r="X78" s="201"/>
      <c r="Y78" s="201"/>
      <c r="Z78" s="201"/>
    </row>
    <row r="79" ht="12.8" customHeight="1" spans="1:26">
      <c r="A79" s="200"/>
      <c r="B79" s="201"/>
      <c r="C79" s="201"/>
      <c r="D79" s="201"/>
      <c r="E79" s="201"/>
      <c r="F79" s="201"/>
      <c r="G79" s="201"/>
      <c r="H79" s="201"/>
      <c r="I79" s="201"/>
      <c r="J79" s="201"/>
      <c r="K79" s="201"/>
      <c r="L79" s="201"/>
      <c r="M79" s="201"/>
      <c r="N79" s="201"/>
      <c r="O79" s="201"/>
      <c r="P79" s="201"/>
      <c r="Q79" s="201"/>
      <c r="R79" s="201"/>
      <c r="S79" s="201"/>
      <c r="T79" s="201"/>
      <c r="U79" s="201"/>
      <c r="V79" s="201"/>
      <c r="W79" s="201"/>
      <c r="X79" s="201"/>
      <c r="Y79" s="201"/>
      <c r="Z79" s="201"/>
    </row>
    <row r="80" ht="12.8" customHeight="1" spans="1:26">
      <c r="A80" s="200"/>
      <c r="B80" s="201"/>
      <c r="C80" s="201"/>
      <c r="D80" s="201"/>
      <c r="E80" s="201"/>
      <c r="F80" s="201"/>
      <c r="G80" s="201"/>
      <c r="H80" s="201"/>
      <c r="I80" s="201"/>
      <c r="J80" s="201"/>
      <c r="K80" s="201"/>
      <c r="L80" s="201"/>
      <c r="M80" s="201"/>
      <c r="N80" s="201"/>
      <c r="O80" s="201"/>
      <c r="P80" s="201"/>
      <c r="Q80" s="201"/>
      <c r="R80" s="201"/>
      <c r="S80" s="201"/>
      <c r="T80" s="201"/>
      <c r="U80" s="201"/>
      <c r="V80" s="201"/>
      <c r="W80" s="201"/>
      <c r="X80" s="201"/>
      <c r="Y80" s="201"/>
      <c r="Z80" s="201"/>
    </row>
    <row r="81" ht="12.8" customHeight="1" spans="1:26">
      <c r="A81" s="200"/>
      <c r="B81" s="201"/>
      <c r="C81" s="201"/>
      <c r="D81" s="201"/>
      <c r="E81" s="201"/>
      <c r="F81" s="201"/>
      <c r="G81" s="201"/>
      <c r="H81" s="201"/>
      <c r="I81" s="201"/>
      <c r="J81" s="201"/>
      <c r="K81" s="201"/>
      <c r="L81" s="201"/>
      <c r="M81" s="201"/>
      <c r="N81" s="201"/>
      <c r="O81" s="201"/>
      <c r="P81" s="201"/>
      <c r="Q81" s="201"/>
      <c r="R81" s="201"/>
      <c r="S81" s="201"/>
      <c r="T81" s="201"/>
      <c r="U81" s="201"/>
      <c r="V81" s="201"/>
      <c r="W81" s="201"/>
      <c r="X81" s="201"/>
      <c r="Y81" s="201"/>
      <c r="Z81" s="201"/>
    </row>
    <row r="82" ht="12.8" customHeight="1" spans="1:26">
      <c r="A82" s="200"/>
      <c r="B82" s="201"/>
      <c r="C82" s="201"/>
      <c r="D82" s="201"/>
      <c r="E82" s="201"/>
      <c r="F82" s="201"/>
      <c r="G82" s="201"/>
      <c r="H82" s="201"/>
      <c r="I82" s="201"/>
      <c r="J82" s="201"/>
      <c r="K82" s="201"/>
      <c r="L82" s="201"/>
      <c r="M82" s="201"/>
      <c r="N82" s="201"/>
      <c r="O82" s="201"/>
      <c r="P82" s="201"/>
      <c r="Q82" s="201"/>
      <c r="R82" s="201"/>
      <c r="S82" s="201"/>
      <c r="T82" s="201"/>
      <c r="U82" s="201"/>
      <c r="V82" s="201"/>
      <c r="W82" s="201"/>
      <c r="X82" s="201"/>
      <c r="Y82" s="201"/>
      <c r="Z82" s="201"/>
    </row>
    <row r="83" ht="12.8" customHeight="1" spans="1:26">
      <c r="A83" s="200"/>
      <c r="B83" s="201"/>
      <c r="C83" s="201"/>
      <c r="D83" s="201"/>
      <c r="E83" s="201"/>
      <c r="F83" s="201"/>
      <c r="G83" s="201"/>
      <c r="H83" s="201"/>
      <c r="I83" s="201"/>
      <c r="J83" s="201"/>
      <c r="K83" s="201"/>
      <c r="L83" s="201"/>
      <c r="M83" s="201"/>
      <c r="N83" s="201"/>
      <c r="O83" s="201"/>
      <c r="P83" s="201"/>
      <c r="Q83" s="201"/>
      <c r="R83" s="201"/>
      <c r="S83" s="201"/>
      <c r="T83" s="201"/>
      <c r="U83" s="201"/>
      <c r="V83" s="201"/>
      <c r="W83" s="201"/>
      <c r="X83" s="201"/>
      <c r="Y83" s="201"/>
      <c r="Z83" s="201"/>
    </row>
    <row r="84" ht="12.8" customHeight="1" spans="1:26">
      <c r="A84" s="200"/>
      <c r="B84" s="201"/>
      <c r="C84" s="201"/>
      <c r="D84" s="201"/>
      <c r="E84" s="201"/>
      <c r="F84" s="201"/>
      <c r="G84" s="201"/>
      <c r="H84" s="201"/>
      <c r="I84" s="201"/>
      <c r="J84" s="201"/>
      <c r="K84" s="201"/>
      <c r="L84" s="201"/>
      <c r="M84" s="201"/>
      <c r="N84" s="201"/>
      <c r="O84" s="201"/>
      <c r="P84" s="201"/>
      <c r="Q84" s="201"/>
      <c r="R84" s="201"/>
      <c r="S84" s="201"/>
      <c r="T84" s="201"/>
      <c r="U84" s="201"/>
      <c r="V84" s="201"/>
      <c r="W84" s="201"/>
      <c r="X84" s="201"/>
      <c r="Y84" s="201"/>
      <c r="Z84" s="201"/>
    </row>
    <row r="85" ht="12.8" customHeight="1" spans="1:26">
      <c r="A85" s="200"/>
      <c r="B85" s="201"/>
      <c r="C85" s="201"/>
      <c r="D85" s="201"/>
      <c r="E85" s="201"/>
      <c r="F85" s="201"/>
      <c r="G85" s="201"/>
      <c r="H85" s="201"/>
      <c r="I85" s="201"/>
      <c r="J85" s="201"/>
      <c r="K85" s="201"/>
      <c r="L85" s="201"/>
      <c r="M85" s="201"/>
      <c r="N85" s="201"/>
      <c r="O85" s="201"/>
      <c r="P85" s="201"/>
      <c r="Q85" s="201"/>
      <c r="R85" s="201"/>
      <c r="S85" s="201"/>
      <c r="T85" s="201"/>
      <c r="U85" s="201"/>
      <c r="V85" s="201"/>
      <c r="W85" s="201"/>
      <c r="X85" s="201"/>
      <c r="Y85" s="201"/>
      <c r="Z85" s="201"/>
    </row>
    <row r="86" ht="12.8" customHeight="1" spans="1:26">
      <c r="A86" s="200"/>
      <c r="B86" s="201"/>
      <c r="C86" s="201"/>
      <c r="D86" s="201"/>
      <c r="E86" s="201"/>
      <c r="F86" s="201"/>
      <c r="G86" s="201"/>
      <c r="H86" s="201"/>
      <c r="I86" s="201"/>
      <c r="J86" s="201"/>
      <c r="K86" s="201"/>
      <c r="L86" s="201"/>
      <c r="M86" s="201"/>
      <c r="N86" s="201"/>
      <c r="O86" s="201"/>
      <c r="P86" s="201"/>
      <c r="Q86" s="201"/>
      <c r="R86" s="201"/>
      <c r="S86" s="201"/>
      <c r="T86" s="201"/>
      <c r="U86" s="201"/>
      <c r="V86" s="201"/>
      <c r="W86" s="201"/>
      <c r="X86" s="201"/>
      <c r="Y86" s="201"/>
      <c r="Z86" s="201"/>
    </row>
    <row r="87" ht="12.8" customHeight="1" spans="1:26">
      <c r="A87" s="200"/>
      <c r="B87" s="201"/>
      <c r="C87" s="201"/>
      <c r="D87" s="201"/>
      <c r="E87" s="201"/>
      <c r="F87" s="201"/>
      <c r="G87" s="201"/>
      <c r="H87" s="201"/>
      <c r="I87" s="201"/>
      <c r="J87" s="201"/>
      <c r="K87" s="201"/>
      <c r="L87" s="201"/>
      <c r="M87" s="201"/>
      <c r="N87" s="201"/>
      <c r="O87" s="201"/>
      <c r="P87" s="201"/>
      <c r="Q87" s="201"/>
      <c r="R87" s="201"/>
      <c r="S87" s="201"/>
      <c r="T87" s="201"/>
      <c r="U87" s="201"/>
      <c r="V87" s="201"/>
      <c r="W87" s="201"/>
      <c r="X87" s="201"/>
      <c r="Y87" s="201"/>
      <c r="Z87" s="201"/>
    </row>
    <row r="88" ht="12.8" customHeight="1" spans="1:26">
      <c r="A88" s="200"/>
      <c r="B88" s="201"/>
      <c r="C88" s="201"/>
      <c r="D88" s="201"/>
      <c r="E88" s="201"/>
      <c r="F88" s="201"/>
      <c r="G88" s="201"/>
      <c r="H88" s="201"/>
      <c r="I88" s="201"/>
      <c r="J88" s="201"/>
      <c r="K88" s="201"/>
      <c r="L88" s="201"/>
      <c r="M88" s="201"/>
      <c r="N88" s="201"/>
      <c r="O88" s="201"/>
      <c r="P88" s="201"/>
      <c r="Q88" s="201"/>
      <c r="R88" s="201"/>
      <c r="S88" s="201"/>
      <c r="T88" s="201"/>
      <c r="U88" s="201"/>
      <c r="V88" s="201"/>
      <c r="W88" s="201"/>
      <c r="X88" s="201"/>
      <c r="Y88" s="201"/>
      <c r="Z88" s="201"/>
    </row>
    <row r="89" ht="12.8" customHeight="1" spans="1:26">
      <c r="A89" s="200"/>
      <c r="B89" s="201"/>
      <c r="C89" s="201"/>
      <c r="D89" s="201"/>
      <c r="E89" s="201"/>
      <c r="F89" s="201"/>
      <c r="G89" s="201"/>
      <c r="H89" s="201"/>
      <c r="I89" s="201"/>
      <c r="J89" s="201"/>
      <c r="K89" s="201"/>
      <c r="L89" s="201"/>
      <c r="M89" s="201"/>
      <c r="N89" s="201"/>
      <c r="O89" s="201"/>
      <c r="P89" s="201"/>
      <c r="Q89" s="201"/>
      <c r="R89" s="201"/>
      <c r="S89" s="201"/>
      <c r="T89" s="201"/>
      <c r="U89" s="201"/>
      <c r="V89" s="201"/>
      <c r="W89" s="201"/>
      <c r="X89" s="201"/>
      <c r="Y89" s="201"/>
      <c r="Z89" s="201"/>
    </row>
    <row r="90" ht="12.8" customHeight="1" spans="1:26">
      <c r="A90" s="200"/>
      <c r="B90" s="201"/>
      <c r="C90" s="201"/>
      <c r="D90" s="201"/>
      <c r="E90" s="201"/>
      <c r="F90" s="201"/>
      <c r="G90" s="201"/>
      <c r="H90" s="201"/>
      <c r="I90" s="201"/>
      <c r="J90" s="201"/>
      <c r="K90" s="201"/>
      <c r="L90" s="201"/>
      <c r="M90" s="201"/>
      <c r="N90" s="201"/>
      <c r="O90" s="201"/>
      <c r="P90" s="201"/>
      <c r="Q90" s="201"/>
      <c r="R90" s="201"/>
      <c r="S90" s="201"/>
      <c r="T90" s="201"/>
      <c r="U90" s="201"/>
      <c r="V90" s="201"/>
      <c r="W90" s="201"/>
      <c r="X90" s="201"/>
      <c r="Y90" s="201"/>
      <c r="Z90" s="201"/>
    </row>
    <row r="91" ht="12.8" customHeight="1" spans="1:26">
      <c r="A91" s="200"/>
      <c r="B91" s="201"/>
      <c r="C91" s="201"/>
      <c r="D91" s="201"/>
      <c r="E91" s="201"/>
      <c r="F91" s="201"/>
      <c r="G91" s="201"/>
      <c r="H91" s="201"/>
      <c r="I91" s="201"/>
      <c r="J91" s="201"/>
      <c r="K91" s="201"/>
      <c r="L91" s="201"/>
      <c r="M91" s="201"/>
      <c r="N91" s="201"/>
      <c r="O91" s="201"/>
      <c r="P91" s="201"/>
      <c r="Q91" s="201"/>
      <c r="R91" s="201"/>
      <c r="S91" s="201"/>
      <c r="T91" s="201"/>
      <c r="U91" s="201"/>
      <c r="V91" s="201"/>
      <c r="W91" s="201"/>
      <c r="X91" s="201"/>
      <c r="Y91" s="201"/>
      <c r="Z91" s="201"/>
    </row>
    <row r="92" ht="12.8" customHeight="1" spans="1:26">
      <c r="A92" s="200"/>
      <c r="B92" s="201"/>
      <c r="C92" s="201"/>
      <c r="D92" s="201"/>
      <c r="E92" s="201"/>
      <c r="F92" s="201"/>
      <c r="G92" s="201"/>
      <c r="H92" s="201"/>
      <c r="I92" s="201"/>
      <c r="J92" s="201"/>
      <c r="K92" s="201"/>
      <c r="L92" s="201"/>
      <c r="M92" s="201"/>
      <c r="N92" s="201"/>
      <c r="O92" s="201"/>
      <c r="P92" s="201"/>
      <c r="Q92" s="201"/>
      <c r="R92" s="201"/>
      <c r="S92" s="201"/>
      <c r="T92" s="201"/>
      <c r="U92" s="201"/>
      <c r="V92" s="201"/>
      <c r="W92" s="201"/>
      <c r="X92" s="201"/>
      <c r="Y92" s="201"/>
      <c r="Z92" s="201"/>
    </row>
    <row r="93" ht="12.8" customHeight="1" spans="1:26">
      <c r="A93" s="200"/>
      <c r="B93" s="201"/>
      <c r="C93" s="201"/>
      <c r="D93" s="201"/>
      <c r="E93" s="201"/>
      <c r="F93" s="201"/>
      <c r="G93" s="201"/>
      <c r="H93" s="201"/>
      <c r="I93" s="201"/>
      <c r="J93" s="201"/>
      <c r="K93" s="201"/>
      <c r="L93" s="201"/>
      <c r="M93" s="201"/>
      <c r="N93" s="201"/>
      <c r="O93" s="201"/>
      <c r="P93" s="201"/>
      <c r="Q93" s="201"/>
      <c r="R93" s="201"/>
      <c r="S93" s="201"/>
      <c r="T93" s="201"/>
      <c r="U93" s="201"/>
      <c r="V93" s="201"/>
      <c r="W93" s="201"/>
      <c r="X93" s="201"/>
      <c r="Y93" s="201"/>
      <c r="Z93" s="201"/>
    </row>
    <row r="94" ht="12.8" customHeight="1" spans="1:26">
      <c r="A94" s="200"/>
      <c r="B94" s="201"/>
      <c r="C94" s="201"/>
      <c r="D94" s="201"/>
      <c r="E94" s="201"/>
      <c r="F94" s="201"/>
      <c r="G94" s="201"/>
      <c r="H94" s="201"/>
      <c r="I94" s="201"/>
      <c r="J94" s="201"/>
      <c r="K94" s="201"/>
      <c r="L94" s="201"/>
      <c r="M94" s="201"/>
      <c r="N94" s="201"/>
      <c r="O94" s="201"/>
      <c r="P94" s="201"/>
      <c r="Q94" s="201"/>
      <c r="R94" s="201"/>
      <c r="S94" s="201"/>
      <c r="T94" s="201"/>
      <c r="U94" s="201"/>
      <c r="V94" s="201"/>
      <c r="W94" s="201"/>
      <c r="X94" s="201"/>
      <c r="Y94" s="201"/>
      <c r="Z94" s="201"/>
    </row>
    <row r="95" ht="12.8" customHeight="1" spans="1:26">
      <c r="A95" s="200"/>
      <c r="B95" s="201"/>
      <c r="C95" s="201"/>
      <c r="D95" s="201"/>
      <c r="E95" s="201"/>
      <c r="F95" s="201"/>
      <c r="G95" s="201"/>
      <c r="H95" s="201"/>
      <c r="I95" s="201"/>
      <c r="J95" s="201"/>
      <c r="K95" s="201"/>
      <c r="L95" s="201"/>
      <c r="M95" s="201"/>
      <c r="N95" s="201"/>
      <c r="O95" s="201"/>
      <c r="P95" s="201"/>
      <c r="Q95" s="201"/>
      <c r="R95" s="201"/>
      <c r="S95" s="201"/>
      <c r="T95" s="201"/>
      <c r="U95" s="201"/>
      <c r="V95" s="201"/>
      <c r="W95" s="201"/>
      <c r="X95" s="201"/>
      <c r="Y95" s="201"/>
      <c r="Z95" s="201"/>
    </row>
    <row r="96" ht="12.8" customHeight="1" spans="1:26">
      <c r="A96" s="200"/>
      <c r="B96" s="201"/>
      <c r="C96" s="201"/>
      <c r="D96" s="201"/>
      <c r="E96" s="201"/>
      <c r="F96" s="201"/>
      <c r="G96" s="201"/>
      <c r="H96" s="201"/>
      <c r="I96" s="201"/>
      <c r="J96" s="201"/>
      <c r="K96" s="201"/>
      <c r="L96" s="201"/>
      <c r="M96" s="201"/>
      <c r="N96" s="201"/>
      <c r="O96" s="201"/>
      <c r="P96" s="201"/>
      <c r="Q96" s="201"/>
      <c r="R96" s="201"/>
      <c r="S96" s="201"/>
      <c r="T96" s="201"/>
      <c r="U96" s="201"/>
      <c r="V96" s="201"/>
      <c r="W96" s="201"/>
      <c r="X96" s="201"/>
      <c r="Y96" s="201"/>
      <c r="Z96" s="201"/>
    </row>
    <row r="97" ht="12.8" customHeight="1" spans="1:26">
      <c r="A97" s="200"/>
      <c r="B97" s="201"/>
      <c r="C97" s="201"/>
      <c r="D97" s="201"/>
      <c r="E97" s="201"/>
      <c r="F97" s="201"/>
      <c r="G97" s="201"/>
      <c r="H97" s="201"/>
      <c r="I97" s="201"/>
      <c r="J97" s="201"/>
      <c r="K97" s="201"/>
      <c r="L97" s="201"/>
      <c r="M97" s="201"/>
      <c r="N97" s="201"/>
      <c r="O97" s="201"/>
      <c r="P97" s="201"/>
      <c r="Q97" s="201"/>
      <c r="R97" s="201"/>
      <c r="S97" s="201"/>
      <c r="T97" s="201"/>
      <c r="U97" s="201"/>
      <c r="V97" s="201"/>
      <c r="W97" s="201"/>
      <c r="X97" s="201"/>
      <c r="Y97" s="201"/>
      <c r="Z97" s="201"/>
    </row>
    <row r="98" ht="12.8" customHeight="1" spans="1:26">
      <c r="A98" s="200"/>
      <c r="B98" s="201"/>
      <c r="C98" s="201"/>
      <c r="D98" s="201"/>
      <c r="E98" s="201"/>
      <c r="F98" s="201"/>
      <c r="G98" s="201"/>
      <c r="H98" s="201"/>
      <c r="I98" s="201"/>
      <c r="J98" s="201"/>
      <c r="K98" s="201"/>
      <c r="L98" s="201"/>
      <c r="M98" s="201"/>
      <c r="N98" s="201"/>
      <c r="O98" s="201"/>
      <c r="P98" s="201"/>
      <c r="Q98" s="201"/>
      <c r="R98" s="201"/>
      <c r="S98" s="201"/>
      <c r="T98" s="201"/>
      <c r="U98" s="201"/>
      <c r="V98" s="201"/>
      <c r="W98" s="201"/>
      <c r="X98" s="201"/>
      <c r="Y98" s="201"/>
      <c r="Z98" s="201"/>
    </row>
    <row r="99" ht="12.8" customHeight="1" spans="1:26">
      <c r="A99" s="200"/>
      <c r="B99" s="201"/>
      <c r="C99" s="201"/>
      <c r="D99" s="201"/>
      <c r="E99" s="201"/>
      <c r="F99" s="201"/>
      <c r="G99" s="201"/>
      <c r="H99" s="201"/>
      <c r="I99" s="201"/>
      <c r="J99" s="201"/>
      <c r="K99" s="201"/>
      <c r="L99" s="201"/>
      <c r="M99" s="201"/>
      <c r="N99" s="201"/>
      <c r="O99" s="201"/>
      <c r="P99" s="201"/>
      <c r="Q99" s="201"/>
      <c r="R99" s="201"/>
      <c r="S99" s="201"/>
      <c r="T99" s="201"/>
      <c r="U99" s="201"/>
      <c r="V99" s="201"/>
      <c r="W99" s="201"/>
      <c r="X99" s="201"/>
      <c r="Y99" s="201"/>
      <c r="Z99" s="201"/>
    </row>
    <row r="100" ht="12.8" customHeight="1" spans="1:26">
      <c r="A100" s="200"/>
      <c r="B100" s="201"/>
      <c r="C100" s="201"/>
      <c r="D100" s="201"/>
      <c r="E100" s="201"/>
      <c r="F100" s="201"/>
      <c r="G100" s="201"/>
      <c r="H100" s="201"/>
      <c r="I100" s="201"/>
      <c r="J100" s="201"/>
      <c r="K100" s="201"/>
      <c r="L100" s="201"/>
      <c r="M100" s="201"/>
      <c r="N100" s="201"/>
      <c r="O100" s="201"/>
      <c r="P100" s="201"/>
      <c r="Q100" s="201"/>
      <c r="R100" s="201"/>
      <c r="S100" s="201"/>
      <c r="T100" s="201"/>
      <c r="U100" s="201"/>
      <c r="V100" s="201"/>
      <c r="W100" s="201"/>
      <c r="X100" s="201"/>
      <c r="Y100" s="201"/>
      <c r="Z100" s="201"/>
    </row>
    <row r="101" ht="12.8" customHeight="1" spans="1:26">
      <c r="A101" s="200"/>
      <c r="B101" s="201"/>
      <c r="C101" s="201"/>
      <c r="D101" s="201"/>
      <c r="E101" s="201"/>
      <c r="F101" s="201"/>
      <c r="G101" s="201"/>
      <c r="H101" s="201"/>
      <c r="I101" s="201"/>
      <c r="J101" s="201"/>
      <c r="K101" s="201"/>
      <c r="L101" s="201"/>
      <c r="M101" s="201"/>
      <c r="N101" s="201"/>
      <c r="O101" s="201"/>
      <c r="P101" s="201"/>
      <c r="Q101" s="201"/>
      <c r="R101" s="201"/>
      <c r="S101" s="201"/>
      <c r="T101" s="201"/>
      <c r="U101" s="201"/>
      <c r="V101" s="201"/>
      <c r="W101" s="201"/>
      <c r="X101" s="201"/>
      <c r="Y101" s="201"/>
      <c r="Z101" s="201"/>
    </row>
    <row r="102" ht="12.8" customHeight="1" spans="1:26">
      <c r="A102" s="200"/>
      <c r="B102" s="201"/>
      <c r="C102" s="201"/>
      <c r="D102" s="201"/>
      <c r="E102" s="201"/>
      <c r="F102" s="201"/>
      <c r="G102" s="201"/>
      <c r="H102" s="201"/>
      <c r="I102" s="201"/>
      <c r="J102" s="201"/>
      <c r="K102" s="201"/>
      <c r="L102" s="201"/>
      <c r="M102" s="201"/>
      <c r="N102" s="201"/>
      <c r="O102" s="201"/>
      <c r="P102" s="201"/>
      <c r="Q102" s="201"/>
      <c r="R102" s="201"/>
      <c r="S102" s="201"/>
      <c r="T102" s="201"/>
      <c r="U102" s="201"/>
      <c r="V102" s="201"/>
      <c r="W102" s="201"/>
      <c r="X102" s="201"/>
      <c r="Y102" s="201"/>
      <c r="Z102" s="201"/>
    </row>
    <row r="103" ht="12.8" customHeight="1" spans="1:26">
      <c r="A103" s="200"/>
      <c r="B103" s="201"/>
      <c r="C103" s="201"/>
      <c r="D103" s="201"/>
      <c r="E103" s="201"/>
      <c r="F103" s="201"/>
      <c r="G103" s="201"/>
      <c r="H103" s="201"/>
      <c r="I103" s="201"/>
      <c r="J103" s="201"/>
      <c r="K103" s="201"/>
      <c r="L103" s="201"/>
      <c r="M103" s="201"/>
      <c r="N103" s="201"/>
      <c r="O103" s="201"/>
      <c r="P103" s="201"/>
      <c r="Q103" s="201"/>
      <c r="R103" s="201"/>
      <c r="S103" s="201"/>
      <c r="T103" s="201"/>
      <c r="U103" s="201"/>
      <c r="V103" s="201"/>
      <c r="W103" s="201"/>
      <c r="X103" s="201"/>
      <c r="Y103" s="201"/>
      <c r="Z103" s="201"/>
    </row>
    <row r="104" ht="12.8" customHeight="1" spans="1:26">
      <c r="A104" s="200"/>
      <c r="B104" s="201"/>
      <c r="C104" s="201"/>
      <c r="D104" s="201"/>
      <c r="E104" s="201"/>
      <c r="F104" s="201"/>
      <c r="G104" s="201"/>
      <c r="H104" s="201"/>
      <c r="I104" s="201"/>
      <c r="J104" s="201"/>
      <c r="K104" s="201"/>
      <c r="L104" s="201"/>
      <c r="M104" s="201"/>
      <c r="N104" s="201"/>
      <c r="O104" s="201"/>
      <c r="P104" s="201"/>
      <c r="Q104" s="201"/>
      <c r="R104" s="201"/>
      <c r="S104" s="201"/>
      <c r="T104" s="201"/>
      <c r="U104" s="201"/>
      <c r="V104" s="201"/>
      <c r="W104" s="201"/>
      <c r="X104" s="201"/>
      <c r="Y104" s="201"/>
      <c r="Z104" s="201"/>
    </row>
    <row r="105" ht="12.8" customHeight="1" spans="1:26">
      <c r="A105" s="200"/>
      <c r="B105" s="201"/>
      <c r="C105" s="201"/>
      <c r="D105" s="201"/>
      <c r="E105" s="201"/>
      <c r="F105" s="201"/>
      <c r="G105" s="201"/>
      <c r="H105" s="201"/>
      <c r="I105" s="201"/>
      <c r="J105" s="201"/>
      <c r="K105" s="201"/>
      <c r="L105" s="201"/>
      <c r="M105" s="201"/>
      <c r="N105" s="201"/>
      <c r="O105" s="201"/>
      <c r="P105" s="201"/>
      <c r="Q105" s="201"/>
      <c r="R105" s="201"/>
      <c r="S105" s="201"/>
      <c r="T105" s="201"/>
      <c r="U105" s="201"/>
      <c r="V105" s="201"/>
      <c r="W105" s="201"/>
      <c r="X105" s="201"/>
      <c r="Y105" s="201"/>
      <c r="Z105" s="201"/>
    </row>
    <row r="106" ht="12.8" customHeight="1" spans="1:26">
      <c r="A106" s="200"/>
      <c r="B106" s="201"/>
      <c r="C106" s="201"/>
      <c r="D106" s="201"/>
      <c r="E106" s="201"/>
      <c r="F106" s="201"/>
      <c r="G106" s="201"/>
      <c r="H106" s="201"/>
      <c r="I106" s="201"/>
      <c r="J106" s="201"/>
      <c r="K106" s="201"/>
      <c r="L106" s="201"/>
      <c r="M106" s="201"/>
      <c r="N106" s="201"/>
      <c r="O106" s="201"/>
      <c r="P106" s="201"/>
      <c r="Q106" s="201"/>
      <c r="R106" s="201"/>
      <c r="S106" s="201"/>
      <c r="T106" s="201"/>
      <c r="U106" s="201"/>
      <c r="V106" s="201"/>
      <c r="W106" s="201"/>
      <c r="X106" s="201"/>
      <c r="Y106" s="201"/>
      <c r="Z106" s="201"/>
    </row>
    <row r="107" ht="12.8" customHeight="1" spans="1:26">
      <c r="A107" s="200"/>
      <c r="B107" s="201"/>
      <c r="C107" s="201"/>
      <c r="D107" s="201"/>
      <c r="E107" s="201"/>
      <c r="F107" s="201"/>
      <c r="G107" s="201"/>
      <c r="H107" s="201"/>
      <c r="I107" s="201"/>
      <c r="J107" s="201"/>
      <c r="K107" s="201"/>
      <c r="L107" s="201"/>
      <c r="M107" s="201"/>
      <c r="N107" s="201"/>
      <c r="O107" s="201"/>
      <c r="P107" s="201"/>
      <c r="Q107" s="201"/>
      <c r="R107" s="201"/>
      <c r="S107" s="201"/>
      <c r="T107" s="201"/>
      <c r="U107" s="201"/>
      <c r="V107" s="201"/>
      <c r="W107" s="201"/>
      <c r="X107" s="201"/>
      <c r="Y107" s="201"/>
      <c r="Z107" s="201"/>
    </row>
    <row r="108" ht="12.8" customHeight="1" spans="1:26">
      <c r="A108" s="200"/>
      <c r="B108" s="201"/>
      <c r="C108" s="201"/>
      <c r="D108" s="201"/>
      <c r="E108" s="201"/>
      <c r="F108" s="201"/>
      <c r="G108" s="201"/>
      <c r="H108" s="201"/>
      <c r="I108" s="201"/>
      <c r="J108" s="201"/>
      <c r="K108" s="201"/>
      <c r="L108" s="201"/>
      <c r="M108" s="201"/>
      <c r="N108" s="201"/>
      <c r="O108" s="201"/>
      <c r="P108" s="201"/>
      <c r="Q108" s="201"/>
      <c r="R108" s="201"/>
      <c r="S108" s="201"/>
      <c r="T108" s="201"/>
      <c r="U108" s="201"/>
      <c r="V108" s="201"/>
      <c r="W108" s="201"/>
      <c r="X108" s="201"/>
      <c r="Y108" s="201"/>
      <c r="Z108" s="201"/>
    </row>
    <row r="109" ht="12.8" customHeight="1" spans="1:26">
      <c r="A109" s="200"/>
      <c r="B109" s="201"/>
      <c r="C109" s="201"/>
      <c r="D109" s="201"/>
      <c r="E109" s="201"/>
      <c r="F109" s="201"/>
      <c r="G109" s="201"/>
      <c r="H109" s="201"/>
      <c r="I109" s="201"/>
      <c r="J109" s="201"/>
      <c r="K109" s="201"/>
      <c r="L109" s="201"/>
      <c r="M109" s="201"/>
      <c r="N109" s="201"/>
      <c r="O109" s="201"/>
      <c r="P109" s="201"/>
      <c r="Q109" s="201"/>
      <c r="R109" s="201"/>
      <c r="S109" s="201"/>
      <c r="T109" s="201"/>
      <c r="U109" s="201"/>
      <c r="V109" s="201"/>
      <c r="W109" s="201"/>
      <c r="X109" s="201"/>
      <c r="Y109" s="201"/>
      <c r="Z109" s="201"/>
    </row>
    <row r="110" ht="12.8" customHeight="1" spans="1:26">
      <c r="A110" s="200"/>
      <c r="B110" s="201"/>
      <c r="C110" s="201"/>
      <c r="D110" s="201"/>
      <c r="E110" s="201"/>
      <c r="F110" s="201"/>
      <c r="G110" s="201"/>
      <c r="H110" s="201"/>
      <c r="I110" s="201"/>
      <c r="J110" s="201"/>
      <c r="K110" s="201"/>
      <c r="L110" s="201"/>
      <c r="M110" s="201"/>
      <c r="N110" s="201"/>
      <c r="O110" s="201"/>
      <c r="P110" s="201"/>
      <c r="Q110" s="201"/>
      <c r="R110" s="201"/>
      <c r="S110" s="201"/>
      <c r="T110" s="201"/>
      <c r="U110" s="201"/>
      <c r="V110" s="201"/>
      <c r="W110" s="201"/>
      <c r="X110" s="201"/>
      <c r="Y110" s="201"/>
      <c r="Z110" s="201"/>
    </row>
    <row r="111" ht="12.8" customHeight="1" spans="1:26">
      <c r="A111" s="200"/>
      <c r="B111" s="201"/>
      <c r="C111" s="201"/>
      <c r="D111" s="201"/>
      <c r="E111" s="201"/>
      <c r="F111" s="201"/>
      <c r="G111" s="201"/>
      <c r="H111" s="201"/>
      <c r="I111" s="201"/>
      <c r="J111" s="201"/>
      <c r="K111" s="201"/>
      <c r="L111" s="201"/>
      <c r="M111" s="201"/>
      <c r="N111" s="201"/>
      <c r="O111" s="201"/>
      <c r="P111" s="201"/>
      <c r="Q111" s="201"/>
      <c r="R111" s="201"/>
      <c r="S111" s="201"/>
      <c r="T111" s="201"/>
      <c r="U111" s="201"/>
      <c r="V111" s="201"/>
      <c r="W111" s="201"/>
      <c r="X111" s="201"/>
      <c r="Y111" s="201"/>
      <c r="Z111" s="201"/>
    </row>
    <row r="112" ht="12.8" customHeight="1" spans="1:26">
      <c r="A112" s="200"/>
      <c r="B112" s="201"/>
      <c r="C112" s="201"/>
      <c r="D112" s="201"/>
      <c r="E112" s="201"/>
      <c r="F112" s="201"/>
      <c r="G112" s="201"/>
      <c r="H112" s="201"/>
      <c r="I112" s="201"/>
      <c r="J112" s="201"/>
      <c r="K112" s="201"/>
      <c r="L112" s="201"/>
      <c r="M112" s="201"/>
      <c r="N112" s="201"/>
      <c r="O112" s="201"/>
      <c r="P112" s="201"/>
      <c r="Q112" s="201"/>
      <c r="R112" s="201"/>
      <c r="S112" s="201"/>
      <c r="T112" s="201"/>
      <c r="U112" s="201"/>
      <c r="V112" s="201"/>
      <c r="W112" s="201"/>
      <c r="X112" s="201"/>
      <c r="Y112" s="201"/>
      <c r="Z112" s="201"/>
    </row>
    <row r="113" ht="12.8" customHeight="1" spans="1:26">
      <c r="A113" s="200"/>
      <c r="B113" s="201"/>
      <c r="C113" s="201"/>
      <c r="D113" s="201"/>
      <c r="E113" s="201"/>
      <c r="F113" s="201"/>
      <c r="G113" s="201"/>
      <c r="H113" s="201"/>
      <c r="I113" s="201"/>
      <c r="J113" s="201"/>
      <c r="K113" s="201"/>
      <c r="L113" s="201"/>
      <c r="M113" s="201"/>
      <c r="N113" s="201"/>
      <c r="O113" s="201"/>
      <c r="P113" s="201"/>
      <c r="Q113" s="201"/>
      <c r="R113" s="201"/>
      <c r="S113" s="201"/>
      <c r="T113" s="201"/>
      <c r="U113" s="201"/>
      <c r="V113" s="201"/>
      <c r="W113" s="201"/>
      <c r="X113" s="201"/>
      <c r="Y113" s="201"/>
      <c r="Z113" s="201"/>
    </row>
    <row r="114" ht="12.8" customHeight="1" spans="1:26">
      <c r="A114" s="200"/>
      <c r="B114" s="201"/>
      <c r="C114" s="201"/>
      <c r="D114" s="201"/>
      <c r="E114" s="201"/>
      <c r="F114" s="201"/>
      <c r="G114" s="201"/>
      <c r="H114" s="201"/>
      <c r="I114" s="201"/>
      <c r="J114" s="201"/>
      <c r="K114" s="201"/>
      <c r="L114" s="201"/>
      <c r="M114" s="201"/>
      <c r="N114" s="201"/>
      <c r="O114" s="201"/>
      <c r="P114" s="201"/>
      <c r="Q114" s="201"/>
      <c r="R114" s="201"/>
      <c r="S114" s="201"/>
      <c r="T114" s="201"/>
      <c r="U114" s="201"/>
      <c r="V114" s="201"/>
      <c r="W114" s="201"/>
      <c r="X114" s="201"/>
      <c r="Y114" s="201"/>
      <c r="Z114" s="201"/>
    </row>
    <row r="115" ht="12.8" customHeight="1" spans="1:26">
      <c r="A115" s="200"/>
      <c r="B115" s="201"/>
      <c r="C115" s="201"/>
      <c r="D115" s="201"/>
      <c r="E115" s="201"/>
      <c r="F115" s="201"/>
      <c r="G115" s="201"/>
      <c r="H115" s="201"/>
      <c r="I115" s="201"/>
      <c r="J115" s="201"/>
      <c r="K115" s="201"/>
      <c r="L115" s="201"/>
      <c r="M115" s="201"/>
      <c r="N115" s="201"/>
      <c r="O115" s="201"/>
      <c r="P115" s="201"/>
      <c r="Q115" s="201"/>
      <c r="R115" s="201"/>
      <c r="S115" s="201"/>
      <c r="T115" s="201"/>
      <c r="U115" s="201"/>
      <c r="V115" s="201"/>
      <c r="W115" s="201"/>
      <c r="X115" s="201"/>
      <c r="Y115" s="201"/>
      <c r="Z115" s="201"/>
    </row>
    <row r="116" ht="12.8" customHeight="1" spans="1:26">
      <c r="A116" s="200"/>
      <c r="B116" s="201"/>
      <c r="C116" s="201"/>
      <c r="D116" s="201"/>
      <c r="E116" s="201"/>
      <c r="F116" s="201"/>
      <c r="G116" s="201"/>
      <c r="H116" s="201"/>
      <c r="I116" s="201"/>
      <c r="J116" s="201"/>
      <c r="K116" s="201"/>
      <c r="L116" s="201"/>
      <c r="M116" s="201"/>
      <c r="N116" s="201"/>
      <c r="O116" s="201"/>
      <c r="P116" s="201"/>
      <c r="Q116" s="201"/>
      <c r="R116" s="201"/>
      <c r="S116" s="201"/>
      <c r="T116" s="201"/>
      <c r="U116" s="201"/>
      <c r="V116" s="201"/>
      <c r="W116" s="201"/>
      <c r="X116" s="201"/>
      <c r="Y116" s="201"/>
      <c r="Z116" s="201"/>
    </row>
    <row r="117" ht="12.8" customHeight="1" spans="1:26">
      <c r="A117" s="200"/>
      <c r="B117" s="201"/>
      <c r="C117" s="201"/>
      <c r="D117" s="201"/>
      <c r="E117" s="201"/>
      <c r="F117" s="201"/>
      <c r="G117" s="201"/>
      <c r="H117" s="201"/>
      <c r="I117" s="201"/>
      <c r="J117" s="201"/>
      <c r="K117" s="201"/>
      <c r="L117" s="201"/>
      <c r="M117" s="201"/>
      <c r="N117" s="201"/>
      <c r="O117" s="201"/>
      <c r="P117" s="201"/>
      <c r="Q117" s="201"/>
      <c r="R117" s="201"/>
      <c r="S117" s="201"/>
      <c r="T117" s="201"/>
      <c r="U117" s="201"/>
      <c r="V117" s="201"/>
      <c r="W117" s="201"/>
      <c r="X117" s="201"/>
      <c r="Y117" s="201"/>
      <c r="Z117" s="201"/>
    </row>
    <row r="118" ht="12.8" customHeight="1" spans="1:26">
      <c r="A118" s="200"/>
      <c r="B118" s="201"/>
      <c r="C118" s="201"/>
      <c r="D118" s="201"/>
      <c r="E118" s="201"/>
      <c r="F118" s="201"/>
      <c r="G118" s="201"/>
      <c r="H118" s="201"/>
      <c r="I118" s="201"/>
      <c r="J118" s="201"/>
      <c r="K118" s="201"/>
      <c r="L118" s="201"/>
      <c r="M118" s="201"/>
      <c r="N118" s="201"/>
      <c r="O118" s="201"/>
      <c r="P118" s="201"/>
      <c r="Q118" s="201"/>
      <c r="R118" s="201"/>
      <c r="S118" s="201"/>
      <c r="T118" s="201"/>
      <c r="U118" s="201"/>
      <c r="V118" s="201"/>
      <c r="W118" s="201"/>
      <c r="X118" s="201"/>
      <c r="Y118" s="201"/>
      <c r="Z118" s="201"/>
    </row>
    <row r="119" ht="12.8" customHeight="1" spans="1:26">
      <c r="A119" s="200"/>
      <c r="B119" s="201"/>
      <c r="C119" s="201"/>
      <c r="D119" s="201"/>
      <c r="E119" s="201"/>
      <c r="F119" s="201"/>
      <c r="G119" s="201"/>
      <c r="H119" s="201"/>
      <c r="I119" s="201"/>
      <c r="J119" s="201"/>
      <c r="K119" s="201"/>
      <c r="L119" s="201"/>
      <c r="M119" s="201"/>
      <c r="N119" s="201"/>
      <c r="O119" s="201"/>
      <c r="P119" s="201"/>
      <c r="Q119" s="201"/>
      <c r="R119" s="201"/>
      <c r="S119" s="201"/>
      <c r="T119" s="201"/>
      <c r="U119" s="201"/>
      <c r="V119" s="201"/>
      <c r="W119" s="201"/>
      <c r="X119" s="201"/>
      <c r="Y119" s="201"/>
      <c r="Z119" s="201"/>
    </row>
    <row r="120" ht="12.8" customHeight="1" spans="1:26">
      <c r="A120" s="200"/>
      <c r="B120" s="201"/>
      <c r="C120" s="201"/>
      <c r="D120" s="201"/>
      <c r="E120" s="201"/>
      <c r="F120" s="201"/>
      <c r="G120" s="201"/>
      <c r="H120" s="201"/>
      <c r="I120" s="201"/>
      <c r="J120" s="201"/>
      <c r="K120" s="201"/>
      <c r="L120" s="201"/>
      <c r="M120" s="201"/>
      <c r="N120" s="201"/>
      <c r="O120" s="201"/>
      <c r="P120" s="201"/>
      <c r="Q120" s="201"/>
      <c r="R120" s="201"/>
      <c r="S120" s="201"/>
      <c r="T120" s="201"/>
      <c r="U120" s="201"/>
      <c r="V120" s="201"/>
      <c r="W120" s="201"/>
      <c r="X120" s="201"/>
      <c r="Y120" s="201"/>
      <c r="Z120" s="201"/>
    </row>
    <row r="121" ht="12.8" customHeight="1" spans="1:26">
      <c r="A121" s="200"/>
      <c r="B121" s="201"/>
      <c r="C121" s="201"/>
      <c r="D121" s="201"/>
      <c r="E121" s="201"/>
      <c r="F121" s="201"/>
      <c r="G121" s="201"/>
      <c r="H121" s="201"/>
      <c r="I121" s="201"/>
      <c r="J121" s="201"/>
      <c r="K121" s="201"/>
      <c r="L121" s="201"/>
      <c r="M121" s="201"/>
      <c r="N121" s="201"/>
      <c r="O121" s="201"/>
      <c r="P121" s="201"/>
      <c r="Q121" s="201"/>
      <c r="R121" s="201"/>
      <c r="S121" s="201"/>
      <c r="T121" s="201"/>
      <c r="U121" s="201"/>
      <c r="V121" s="201"/>
      <c r="W121" s="201"/>
      <c r="X121" s="201"/>
      <c r="Y121" s="201"/>
      <c r="Z121" s="201"/>
    </row>
    <row r="122" ht="12.8" customHeight="1" spans="1:26">
      <c r="A122" s="200"/>
      <c r="B122" s="201"/>
      <c r="C122" s="201"/>
      <c r="D122" s="201"/>
      <c r="E122" s="201"/>
      <c r="F122" s="201"/>
      <c r="G122" s="201"/>
      <c r="H122" s="201"/>
      <c r="I122" s="201"/>
      <c r="J122" s="201"/>
      <c r="K122" s="201"/>
      <c r="L122" s="201"/>
      <c r="M122" s="201"/>
      <c r="N122" s="201"/>
      <c r="O122" s="201"/>
      <c r="P122" s="201"/>
      <c r="Q122" s="201"/>
      <c r="R122" s="201"/>
      <c r="S122" s="201"/>
      <c r="T122" s="201"/>
      <c r="U122" s="201"/>
      <c r="V122" s="201"/>
      <c r="W122" s="201"/>
      <c r="X122" s="201"/>
      <c r="Y122" s="201"/>
      <c r="Z122" s="201"/>
    </row>
    <row r="123" ht="12.8" customHeight="1" spans="1:26">
      <c r="A123" s="200"/>
      <c r="B123" s="201"/>
      <c r="C123" s="201"/>
      <c r="D123" s="201"/>
      <c r="E123" s="201"/>
      <c r="F123" s="201"/>
      <c r="G123" s="201"/>
      <c r="H123" s="201"/>
      <c r="I123" s="201"/>
      <c r="J123" s="201"/>
      <c r="K123" s="201"/>
      <c r="L123" s="201"/>
      <c r="M123" s="201"/>
      <c r="N123" s="201"/>
      <c r="O123" s="201"/>
      <c r="P123" s="201"/>
      <c r="Q123" s="201"/>
      <c r="R123" s="201"/>
      <c r="S123" s="201"/>
      <c r="T123" s="201"/>
      <c r="U123" s="201"/>
      <c r="V123" s="201"/>
      <c r="W123" s="201"/>
      <c r="X123" s="201"/>
      <c r="Y123" s="201"/>
      <c r="Z123" s="201"/>
    </row>
    <row r="124" ht="12.8" customHeight="1" spans="1:26">
      <c r="A124" s="200"/>
      <c r="B124" s="201"/>
      <c r="C124" s="201"/>
      <c r="D124" s="201"/>
      <c r="E124" s="201"/>
      <c r="F124" s="201"/>
      <c r="G124" s="201"/>
      <c r="H124" s="201"/>
      <c r="I124" s="201"/>
      <c r="J124" s="201"/>
      <c r="K124" s="201"/>
      <c r="L124" s="201"/>
      <c r="M124" s="201"/>
      <c r="N124" s="201"/>
      <c r="O124" s="201"/>
      <c r="P124" s="201"/>
      <c r="Q124" s="201"/>
      <c r="R124" s="201"/>
      <c r="S124" s="201"/>
      <c r="T124" s="201"/>
      <c r="U124" s="201"/>
      <c r="V124" s="201"/>
      <c r="W124" s="201"/>
      <c r="X124" s="201"/>
      <c r="Y124" s="201"/>
      <c r="Z124" s="201"/>
    </row>
    <row r="125" ht="12.8" customHeight="1" spans="1:26">
      <c r="A125" s="200"/>
      <c r="B125" s="201"/>
      <c r="C125" s="201"/>
      <c r="D125" s="201"/>
      <c r="E125" s="201"/>
      <c r="F125" s="201"/>
      <c r="G125" s="201"/>
      <c r="H125" s="201"/>
      <c r="I125" s="201"/>
      <c r="J125" s="201"/>
      <c r="K125" s="201"/>
      <c r="L125" s="201"/>
      <c r="M125" s="201"/>
      <c r="N125" s="201"/>
      <c r="O125" s="201"/>
      <c r="P125" s="201"/>
      <c r="Q125" s="201"/>
      <c r="R125" s="201"/>
      <c r="S125" s="201"/>
      <c r="T125" s="201"/>
      <c r="U125" s="201"/>
      <c r="V125" s="201"/>
      <c r="W125" s="201"/>
      <c r="X125" s="201"/>
      <c r="Y125" s="201"/>
      <c r="Z125" s="201"/>
    </row>
    <row r="126" ht="12.8" customHeight="1" spans="1:26">
      <c r="A126" s="200"/>
      <c r="B126" s="201"/>
      <c r="C126" s="201"/>
      <c r="D126" s="201"/>
      <c r="E126" s="201"/>
      <c r="F126" s="201"/>
      <c r="G126" s="201"/>
      <c r="H126" s="201"/>
      <c r="I126" s="201"/>
      <c r="J126" s="201"/>
      <c r="K126" s="201"/>
      <c r="L126" s="201"/>
      <c r="M126" s="201"/>
      <c r="N126" s="201"/>
      <c r="O126" s="201"/>
      <c r="P126" s="201"/>
      <c r="Q126" s="201"/>
      <c r="R126" s="201"/>
      <c r="S126" s="201"/>
      <c r="T126" s="201"/>
      <c r="U126" s="201"/>
      <c r="V126" s="201"/>
      <c r="W126" s="201"/>
      <c r="X126" s="201"/>
      <c r="Y126" s="201"/>
      <c r="Z126" s="201"/>
    </row>
    <row r="127" ht="12.8" customHeight="1" spans="1:26">
      <c r="A127" s="200"/>
      <c r="B127" s="201"/>
      <c r="C127" s="201"/>
      <c r="D127" s="201"/>
      <c r="E127" s="201"/>
      <c r="F127" s="201"/>
      <c r="G127" s="201"/>
      <c r="H127" s="201"/>
      <c r="I127" s="201"/>
      <c r="J127" s="201"/>
      <c r="K127" s="201"/>
      <c r="L127" s="201"/>
      <c r="M127" s="201"/>
      <c r="N127" s="201"/>
      <c r="O127" s="201"/>
      <c r="P127" s="201"/>
      <c r="Q127" s="201"/>
      <c r="R127" s="201"/>
      <c r="S127" s="201"/>
      <c r="T127" s="201"/>
      <c r="U127" s="201"/>
      <c r="V127" s="201"/>
      <c r="W127" s="201"/>
      <c r="X127" s="201"/>
      <c r="Y127" s="201"/>
      <c r="Z127" s="201"/>
    </row>
    <row r="128" ht="12.8" customHeight="1" spans="1:26">
      <c r="A128" s="200"/>
      <c r="B128" s="201"/>
      <c r="C128" s="201"/>
      <c r="D128" s="201"/>
      <c r="E128" s="201"/>
      <c r="F128" s="201"/>
      <c r="G128" s="201"/>
      <c r="H128" s="201"/>
      <c r="I128" s="201"/>
      <c r="J128" s="201"/>
      <c r="K128" s="201"/>
      <c r="L128" s="201"/>
      <c r="M128" s="201"/>
      <c r="N128" s="201"/>
      <c r="O128" s="201"/>
      <c r="P128" s="201"/>
      <c r="Q128" s="201"/>
      <c r="R128" s="201"/>
      <c r="S128" s="201"/>
      <c r="T128" s="201"/>
      <c r="U128" s="201"/>
      <c r="V128" s="201"/>
      <c r="W128" s="201"/>
      <c r="X128" s="201"/>
      <c r="Y128" s="201"/>
      <c r="Z128" s="201"/>
    </row>
    <row r="129" ht="12.8" customHeight="1" spans="1:26">
      <c r="A129" s="200"/>
      <c r="B129" s="201"/>
      <c r="C129" s="201"/>
      <c r="D129" s="201"/>
      <c r="E129" s="201"/>
      <c r="F129" s="201"/>
      <c r="G129" s="201"/>
      <c r="H129" s="201"/>
      <c r="I129" s="201"/>
      <c r="J129" s="201"/>
      <c r="K129" s="201"/>
      <c r="L129" s="201"/>
      <c r="M129" s="201"/>
      <c r="N129" s="201"/>
      <c r="O129" s="201"/>
      <c r="P129" s="201"/>
      <c r="Q129" s="201"/>
      <c r="R129" s="201"/>
      <c r="S129" s="201"/>
      <c r="T129" s="201"/>
      <c r="U129" s="201"/>
      <c r="V129" s="201"/>
      <c r="W129" s="201"/>
      <c r="X129" s="201"/>
      <c r="Y129" s="201"/>
      <c r="Z129" s="201"/>
    </row>
    <row r="130" ht="12.8" customHeight="1" spans="1:26">
      <c r="A130" s="200"/>
      <c r="B130" s="201"/>
      <c r="C130" s="201"/>
      <c r="D130" s="201"/>
      <c r="E130" s="201"/>
      <c r="F130" s="201"/>
      <c r="G130" s="201"/>
      <c r="H130" s="201"/>
      <c r="I130" s="201"/>
      <c r="J130" s="201"/>
      <c r="K130" s="201"/>
      <c r="L130" s="201"/>
      <c r="M130" s="201"/>
      <c r="N130" s="201"/>
      <c r="O130" s="201"/>
      <c r="P130" s="201"/>
      <c r="Q130" s="201"/>
      <c r="R130" s="201"/>
      <c r="S130" s="201"/>
      <c r="T130" s="201"/>
      <c r="U130" s="201"/>
      <c r="V130" s="201"/>
      <c r="W130" s="201"/>
      <c r="X130" s="201"/>
      <c r="Y130" s="201"/>
      <c r="Z130" s="201"/>
    </row>
    <row r="131" ht="12.8" customHeight="1" spans="1:26">
      <c r="A131" s="200"/>
      <c r="B131" s="201"/>
      <c r="C131" s="201"/>
      <c r="D131" s="201"/>
      <c r="E131" s="201"/>
      <c r="F131" s="201"/>
      <c r="G131" s="201"/>
      <c r="H131" s="201"/>
      <c r="I131" s="201"/>
      <c r="J131" s="201"/>
      <c r="K131" s="201"/>
      <c r="L131" s="201"/>
      <c r="M131" s="201"/>
      <c r="N131" s="201"/>
      <c r="O131" s="201"/>
      <c r="P131" s="201"/>
      <c r="Q131" s="201"/>
      <c r="R131" s="201"/>
      <c r="S131" s="201"/>
      <c r="T131" s="201"/>
      <c r="U131" s="201"/>
      <c r="V131" s="201"/>
      <c r="W131" s="201"/>
      <c r="X131" s="201"/>
      <c r="Y131" s="201"/>
      <c r="Z131" s="201"/>
    </row>
    <row r="132" ht="12.8" customHeight="1" spans="1:26">
      <c r="A132" s="200"/>
      <c r="B132" s="201"/>
      <c r="C132" s="201"/>
      <c r="D132" s="201"/>
      <c r="E132" s="201"/>
      <c r="F132" s="201"/>
      <c r="G132" s="201"/>
      <c r="H132" s="201"/>
      <c r="I132" s="201"/>
      <c r="J132" s="201"/>
      <c r="K132" s="201"/>
      <c r="L132" s="201"/>
      <c r="M132" s="201"/>
      <c r="N132" s="201"/>
      <c r="O132" s="201"/>
      <c r="P132" s="201"/>
      <c r="Q132" s="201"/>
      <c r="R132" s="201"/>
      <c r="S132" s="201"/>
      <c r="T132" s="201"/>
      <c r="U132" s="201"/>
      <c r="V132" s="201"/>
      <c r="W132" s="201"/>
      <c r="X132" s="201"/>
      <c r="Y132" s="201"/>
      <c r="Z132" s="201"/>
    </row>
    <row r="133" ht="12.8" customHeight="1" spans="1:26">
      <c r="A133" s="200"/>
      <c r="B133" s="201"/>
      <c r="C133" s="201"/>
      <c r="D133" s="201"/>
      <c r="E133" s="201"/>
      <c r="F133" s="201"/>
      <c r="G133" s="201"/>
      <c r="H133" s="201"/>
      <c r="I133" s="201"/>
      <c r="J133" s="201"/>
      <c r="K133" s="201"/>
      <c r="L133" s="201"/>
      <c r="M133" s="201"/>
      <c r="N133" s="201"/>
      <c r="O133" s="201"/>
      <c r="P133" s="201"/>
      <c r="Q133" s="201"/>
      <c r="R133" s="201"/>
      <c r="S133" s="201"/>
      <c r="T133" s="201"/>
      <c r="U133" s="201"/>
      <c r="V133" s="201"/>
      <c r="W133" s="201"/>
      <c r="X133" s="201"/>
      <c r="Y133" s="201"/>
      <c r="Z133" s="201"/>
    </row>
    <row r="134" ht="12.8" customHeight="1" spans="1:26">
      <c r="A134" s="200"/>
      <c r="B134" s="201"/>
      <c r="C134" s="201"/>
      <c r="D134" s="201"/>
      <c r="E134" s="201"/>
      <c r="F134" s="201"/>
      <c r="G134" s="201"/>
      <c r="H134" s="201"/>
      <c r="I134" s="201"/>
      <c r="J134" s="201"/>
      <c r="K134" s="201"/>
      <c r="L134" s="201"/>
      <c r="M134" s="201"/>
      <c r="N134" s="201"/>
      <c r="O134" s="201"/>
      <c r="P134" s="201"/>
      <c r="Q134" s="201"/>
      <c r="R134" s="201"/>
      <c r="S134" s="201"/>
      <c r="T134" s="201"/>
      <c r="U134" s="201"/>
      <c r="V134" s="201"/>
      <c r="W134" s="201"/>
      <c r="X134" s="201"/>
      <c r="Y134" s="201"/>
      <c r="Z134" s="201"/>
    </row>
    <row r="135" ht="12.8" customHeight="1" spans="1:26">
      <c r="A135" s="200"/>
      <c r="B135" s="201"/>
      <c r="C135" s="201"/>
      <c r="D135" s="201"/>
      <c r="E135" s="201"/>
      <c r="F135" s="201"/>
      <c r="G135" s="201"/>
      <c r="H135" s="201"/>
      <c r="I135" s="201"/>
      <c r="J135" s="201"/>
      <c r="K135" s="201"/>
      <c r="L135" s="201"/>
      <c r="M135" s="201"/>
      <c r="N135" s="201"/>
      <c r="O135" s="201"/>
      <c r="P135" s="201"/>
      <c r="Q135" s="201"/>
      <c r="R135" s="201"/>
      <c r="S135" s="201"/>
      <c r="T135" s="201"/>
      <c r="U135" s="201"/>
      <c r="V135" s="201"/>
      <c r="W135" s="201"/>
      <c r="X135" s="201"/>
      <c r="Y135" s="201"/>
      <c r="Z135" s="201"/>
    </row>
    <row r="136" ht="12.8" customHeight="1" spans="1:26">
      <c r="A136" s="200"/>
      <c r="B136" s="201"/>
      <c r="C136" s="201"/>
      <c r="D136" s="201"/>
      <c r="E136" s="201"/>
      <c r="F136" s="201"/>
      <c r="G136" s="201"/>
      <c r="H136" s="201"/>
      <c r="I136" s="201"/>
      <c r="J136" s="201"/>
      <c r="K136" s="201"/>
      <c r="L136" s="201"/>
      <c r="M136" s="201"/>
      <c r="N136" s="201"/>
      <c r="O136" s="201"/>
      <c r="P136" s="201"/>
      <c r="Q136" s="201"/>
      <c r="R136" s="201"/>
      <c r="S136" s="201"/>
      <c r="T136" s="201"/>
      <c r="U136" s="201"/>
      <c r="V136" s="201"/>
      <c r="W136" s="201"/>
      <c r="X136" s="201"/>
      <c r="Y136" s="201"/>
      <c r="Z136" s="201"/>
    </row>
    <row r="137" ht="12.8" customHeight="1" spans="1:26">
      <c r="A137" s="200"/>
      <c r="B137" s="201"/>
      <c r="C137" s="201"/>
      <c r="D137" s="201"/>
      <c r="E137" s="201"/>
      <c r="F137" s="201"/>
      <c r="G137" s="201"/>
      <c r="H137" s="201"/>
      <c r="I137" s="201"/>
      <c r="J137" s="201"/>
      <c r="K137" s="201"/>
      <c r="L137" s="201"/>
      <c r="M137" s="201"/>
      <c r="N137" s="201"/>
      <c r="O137" s="201"/>
      <c r="P137" s="201"/>
      <c r="Q137" s="201"/>
      <c r="R137" s="201"/>
      <c r="S137" s="201"/>
      <c r="T137" s="201"/>
      <c r="U137" s="201"/>
      <c r="V137" s="201"/>
      <c r="W137" s="201"/>
      <c r="X137" s="201"/>
      <c r="Y137" s="201"/>
      <c r="Z137" s="201"/>
    </row>
    <row r="138" ht="12.8" customHeight="1" spans="1:26">
      <c r="A138" s="200"/>
      <c r="B138" s="201"/>
      <c r="C138" s="201"/>
      <c r="D138" s="201"/>
      <c r="E138" s="201"/>
      <c r="F138" s="201"/>
      <c r="G138" s="201"/>
      <c r="H138" s="201"/>
      <c r="I138" s="201"/>
      <c r="J138" s="201"/>
      <c r="K138" s="201"/>
      <c r="L138" s="201"/>
      <c r="M138" s="201"/>
      <c r="N138" s="201"/>
      <c r="O138" s="201"/>
      <c r="P138" s="201"/>
      <c r="Q138" s="201"/>
      <c r="R138" s="201"/>
      <c r="S138" s="201"/>
      <c r="T138" s="201"/>
      <c r="U138" s="201"/>
      <c r="V138" s="201"/>
      <c r="W138" s="201"/>
      <c r="X138" s="201"/>
      <c r="Y138" s="201"/>
      <c r="Z138" s="201"/>
    </row>
    <row r="139" ht="12.8" customHeight="1" spans="1:26">
      <c r="A139" s="200"/>
      <c r="B139" s="201"/>
      <c r="C139" s="201"/>
      <c r="D139" s="201"/>
      <c r="E139" s="201"/>
      <c r="F139" s="201"/>
      <c r="G139" s="201"/>
      <c r="H139" s="201"/>
      <c r="I139" s="201"/>
      <c r="J139" s="201"/>
      <c r="K139" s="201"/>
      <c r="L139" s="201"/>
      <c r="M139" s="201"/>
      <c r="N139" s="201"/>
      <c r="O139" s="201"/>
      <c r="P139" s="201"/>
      <c r="Q139" s="201"/>
      <c r="R139" s="201"/>
      <c r="S139" s="201"/>
      <c r="T139" s="201"/>
      <c r="U139" s="201"/>
      <c r="V139" s="201"/>
      <c r="W139" s="201"/>
      <c r="X139" s="201"/>
      <c r="Y139" s="201"/>
      <c r="Z139" s="201"/>
    </row>
    <row r="140" ht="12.8" customHeight="1" spans="1:26">
      <c r="A140" s="200"/>
      <c r="B140" s="201"/>
      <c r="C140" s="201"/>
      <c r="D140" s="201"/>
      <c r="E140" s="201"/>
      <c r="F140" s="201"/>
      <c r="G140" s="201"/>
      <c r="H140" s="201"/>
      <c r="I140" s="201"/>
      <c r="J140" s="201"/>
      <c r="K140" s="201"/>
      <c r="L140" s="201"/>
      <c r="M140" s="201"/>
      <c r="N140" s="201"/>
      <c r="O140" s="201"/>
      <c r="P140" s="201"/>
      <c r="Q140" s="201"/>
      <c r="R140" s="201"/>
      <c r="S140" s="201"/>
      <c r="T140" s="201"/>
      <c r="U140" s="201"/>
      <c r="V140" s="201"/>
      <c r="W140" s="201"/>
      <c r="X140" s="201"/>
      <c r="Y140" s="201"/>
      <c r="Z140" s="201"/>
    </row>
    <row r="141" ht="12.8" customHeight="1" spans="1:26">
      <c r="A141" s="200"/>
      <c r="B141" s="201"/>
      <c r="C141" s="201"/>
      <c r="D141" s="201"/>
      <c r="E141" s="201"/>
      <c r="F141" s="201"/>
      <c r="G141" s="201"/>
      <c r="H141" s="201"/>
      <c r="I141" s="201"/>
      <c r="J141" s="201"/>
      <c r="K141" s="201"/>
      <c r="L141" s="201"/>
      <c r="M141" s="201"/>
      <c r="N141" s="201"/>
      <c r="O141" s="201"/>
      <c r="P141" s="201"/>
      <c r="Q141" s="201"/>
      <c r="R141" s="201"/>
      <c r="S141" s="201"/>
      <c r="T141" s="201"/>
      <c r="U141" s="201"/>
      <c r="V141" s="201"/>
      <c r="W141" s="201"/>
      <c r="X141" s="201"/>
      <c r="Y141" s="201"/>
      <c r="Z141" s="201"/>
    </row>
    <row r="142" ht="12.8" customHeight="1" spans="1:26">
      <c r="A142" s="200"/>
      <c r="B142" s="201"/>
      <c r="C142" s="201"/>
      <c r="D142" s="201"/>
      <c r="E142" s="201"/>
      <c r="F142" s="201"/>
      <c r="G142" s="201"/>
      <c r="H142" s="201"/>
      <c r="I142" s="201"/>
      <c r="J142" s="201"/>
      <c r="K142" s="201"/>
      <c r="L142" s="201"/>
      <c r="M142" s="201"/>
      <c r="N142" s="201"/>
      <c r="O142" s="201"/>
      <c r="P142" s="201"/>
      <c r="Q142" s="201"/>
      <c r="R142" s="201"/>
      <c r="S142" s="201"/>
      <c r="T142" s="201"/>
      <c r="U142" s="201"/>
      <c r="V142" s="201"/>
      <c r="W142" s="201"/>
      <c r="X142" s="201"/>
      <c r="Y142" s="201"/>
      <c r="Z142" s="201"/>
    </row>
    <row r="143" ht="12.8" customHeight="1" spans="1:26">
      <c r="A143" s="200"/>
      <c r="B143" s="201"/>
      <c r="C143" s="201"/>
      <c r="D143" s="201"/>
      <c r="E143" s="201"/>
      <c r="F143" s="201"/>
      <c r="G143" s="201"/>
      <c r="H143" s="201"/>
      <c r="I143" s="201"/>
      <c r="J143" s="201"/>
      <c r="K143" s="201"/>
      <c r="L143" s="201"/>
      <c r="M143" s="201"/>
      <c r="N143" s="201"/>
      <c r="O143" s="201"/>
      <c r="P143" s="201"/>
      <c r="Q143" s="201"/>
      <c r="R143" s="201"/>
      <c r="S143" s="201"/>
      <c r="T143" s="201"/>
      <c r="U143" s="201"/>
      <c r="V143" s="201"/>
      <c r="W143" s="201"/>
      <c r="X143" s="201"/>
      <c r="Y143" s="201"/>
      <c r="Z143" s="201"/>
    </row>
    <row r="144" ht="12.8" customHeight="1" spans="1:26">
      <c r="A144" s="200"/>
      <c r="B144" s="201"/>
      <c r="C144" s="201"/>
      <c r="D144" s="201"/>
      <c r="E144" s="201"/>
      <c r="F144" s="201"/>
      <c r="G144" s="201"/>
      <c r="H144" s="201"/>
      <c r="I144" s="201"/>
      <c r="J144" s="201"/>
      <c r="K144" s="201"/>
      <c r="L144" s="201"/>
      <c r="M144" s="201"/>
      <c r="N144" s="201"/>
      <c r="O144" s="201"/>
      <c r="P144" s="201"/>
      <c r="Q144" s="201"/>
      <c r="R144" s="201"/>
      <c r="S144" s="201"/>
      <c r="T144" s="201"/>
      <c r="U144" s="201"/>
      <c r="V144" s="201"/>
      <c r="W144" s="201"/>
      <c r="X144" s="201"/>
      <c r="Y144" s="201"/>
      <c r="Z144" s="201"/>
    </row>
    <row r="145" ht="12.8" customHeight="1" spans="1:26">
      <c r="A145" s="200"/>
      <c r="B145" s="201"/>
      <c r="C145" s="201"/>
      <c r="D145" s="201"/>
      <c r="E145" s="201"/>
      <c r="F145" s="201"/>
      <c r="G145" s="201"/>
      <c r="H145" s="201"/>
      <c r="I145" s="201"/>
      <c r="J145" s="201"/>
      <c r="K145" s="201"/>
      <c r="L145" s="201"/>
      <c r="M145" s="201"/>
      <c r="N145" s="201"/>
      <c r="O145" s="201"/>
      <c r="P145" s="201"/>
      <c r="Q145" s="201"/>
      <c r="R145" s="201"/>
      <c r="S145" s="201"/>
      <c r="T145" s="201"/>
      <c r="U145" s="201"/>
      <c r="V145" s="201"/>
      <c r="W145" s="201"/>
      <c r="X145" s="201"/>
      <c r="Y145" s="201"/>
      <c r="Z145" s="201"/>
    </row>
    <row r="146" ht="12.8" customHeight="1" spans="1:26">
      <c r="A146" s="200"/>
      <c r="B146" s="201"/>
      <c r="C146" s="201"/>
      <c r="D146" s="201"/>
      <c r="E146" s="201"/>
      <c r="F146" s="201"/>
      <c r="G146" s="201"/>
      <c r="H146" s="201"/>
      <c r="I146" s="201"/>
      <c r="J146" s="201"/>
      <c r="K146" s="201"/>
      <c r="L146" s="201"/>
      <c r="M146" s="201"/>
      <c r="N146" s="201"/>
      <c r="O146" s="201"/>
      <c r="P146" s="201"/>
      <c r="Q146" s="201"/>
      <c r="R146" s="201"/>
      <c r="S146" s="201"/>
      <c r="T146" s="201"/>
      <c r="U146" s="201"/>
      <c r="V146" s="201"/>
      <c r="W146" s="201"/>
      <c r="X146" s="201"/>
      <c r="Y146" s="201"/>
      <c r="Z146" s="201"/>
    </row>
    <row r="147" ht="12.8" customHeight="1" spans="1:26">
      <c r="A147" s="200"/>
      <c r="B147" s="201"/>
      <c r="C147" s="201"/>
      <c r="D147" s="201"/>
      <c r="E147" s="201"/>
      <c r="F147" s="201"/>
      <c r="G147" s="201"/>
      <c r="H147" s="201"/>
      <c r="I147" s="201"/>
      <c r="J147" s="201"/>
      <c r="K147" s="201"/>
      <c r="L147" s="201"/>
      <c r="M147" s="201"/>
      <c r="N147" s="201"/>
      <c r="O147" s="201"/>
      <c r="P147" s="201"/>
      <c r="Q147" s="201"/>
      <c r="R147" s="201"/>
      <c r="S147" s="201"/>
      <c r="T147" s="201"/>
      <c r="U147" s="201"/>
      <c r="V147" s="201"/>
      <c r="W147" s="201"/>
      <c r="X147" s="201"/>
      <c r="Y147" s="201"/>
      <c r="Z147" s="201"/>
    </row>
    <row r="148" ht="12.8" customHeight="1" spans="1:26">
      <c r="A148" s="200"/>
      <c r="B148" s="201"/>
      <c r="C148" s="201"/>
      <c r="D148" s="201"/>
      <c r="E148" s="201"/>
      <c r="F148" s="201"/>
      <c r="G148" s="201"/>
      <c r="H148" s="201"/>
      <c r="I148" s="201"/>
      <c r="J148" s="201"/>
      <c r="K148" s="201"/>
      <c r="L148" s="201"/>
      <c r="M148" s="201"/>
      <c r="N148" s="201"/>
      <c r="O148" s="201"/>
      <c r="P148" s="201"/>
      <c r="Q148" s="201"/>
      <c r="R148" s="201"/>
      <c r="S148" s="201"/>
      <c r="T148" s="201"/>
      <c r="U148" s="201"/>
      <c r="V148" s="201"/>
      <c r="W148" s="201"/>
      <c r="X148" s="201"/>
      <c r="Y148" s="201"/>
      <c r="Z148" s="201"/>
    </row>
    <row r="149" ht="12.8" customHeight="1" spans="1:26">
      <c r="A149" s="200"/>
      <c r="B149" s="201"/>
      <c r="C149" s="201"/>
      <c r="D149" s="201"/>
      <c r="E149" s="201"/>
      <c r="F149" s="201"/>
      <c r="G149" s="201"/>
      <c r="H149" s="201"/>
      <c r="I149" s="201"/>
      <c r="J149" s="201"/>
      <c r="K149" s="201"/>
      <c r="L149" s="201"/>
      <c r="M149" s="201"/>
      <c r="N149" s="201"/>
      <c r="O149" s="201"/>
      <c r="P149" s="201"/>
      <c r="Q149" s="201"/>
      <c r="R149" s="201"/>
      <c r="S149" s="201"/>
      <c r="T149" s="201"/>
      <c r="U149" s="201"/>
      <c r="V149" s="201"/>
      <c r="W149" s="201"/>
      <c r="X149" s="201"/>
      <c r="Y149" s="201"/>
      <c r="Z149" s="201"/>
    </row>
    <row r="150" ht="12.8" customHeight="1" spans="1:26">
      <c r="A150" s="200"/>
      <c r="B150" s="201"/>
      <c r="C150" s="201"/>
      <c r="D150" s="201"/>
      <c r="E150" s="201"/>
      <c r="F150" s="201"/>
      <c r="G150" s="201"/>
      <c r="H150" s="201"/>
      <c r="I150" s="201"/>
      <c r="J150" s="201"/>
      <c r="K150" s="201"/>
      <c r="L150" s="201"/>
      <c r="M150" s="201"/>
      <c r="N150" s="201"/>
      <c r="O150" s="201"/>
      <c r="P150" s="201"/>
      <c r="Q150" s="201"/>
      <c r="R150" s="201"/>
      <c r="S150" s="201"/>
      <c r="T150" s="201"/>
      <c r="U150" s="201"/>
      <c r="V150" s="201"/>
      <c r="W150" s="201"/>
      <c r="X150" s="201"/>
      <c r="Y150" s="201"/>
      <c r="Z150" s="201"/>
    </row>
    <row r="151" ht="12.8" customHeight="1" spans="1:26">
      <c r="A151" s="200"/>
      <c r="B151" s="201"/>
      <c r="C151" s="201"/>
      <c r="D151" s="201"/>
      <c r="E151" s="201"/>
      <c r="F151" s="201"/>
      <c r="G151" s="201"/>
      <c r="H151" s="201"/>
      <c r="I151" s="201"/>
      <c r="J151" s="201"/>
      <c r="K151" s="201"/>
      <c r="L151" s="201"/>
      <c r="M151" s="201"/>
      <c r="N151" s="201"/>
      <c r="O151" s="201"/>
      <c r="P151" s="201"/>
      <c r="Q151" s="201"/>
      <c r="R151" s="201"/>
      <c r="S151" s="201"/>
      <c r="T151" s="201"/>
      <c r="U151" s="201"/>
      <c r="V151" s="201"/>
      <c r="W151" s="201"/>
      <c r="X151" s="201"/>
      <c r="Y151" s="201"/>
      <c r="Z151" s="201"/>
    </row>
    <row r="152" ht="12.8" customHeight="1" spans="1:26">
      <c r="A152" s="200"/>
      <c r="B152" s="201"/>
      <c r="C152" s="201"/>
      <c r="D152" s="201"/>
      <c r="E152" s="201"/>
      <c r="F152" s="201"/>
      <c r="G152" s="201"/>
      <c r="H152" s="201"/>
      <c r="I152" s="201"/>
      <c r="J152" s="201"/>
      <c r="K152" s="201"/>
      <c r="L152" s="201"/>
      <c r="M152" s="201"/>
      <c r="N152" s="201"/>
      <c r="O152" s="201"/>
      <c r="P152" s="201"/>
      <c r="Q152" s="201"/>
      <c r="R152" s="201"/>
      <c r="S152" s="201"/>
      <c r="T152" s="201"/>
      <c r="U152" s="201"/>
      <c r="V152" s="201"/>
      <c r="W152" s="201"/>
      <c r="X152" s="201"/>
      <c r="Y152" s="201"/>
      <c r="Z152" s="201"/>
    </row>
    <row r="153" ht="12.8" customHeight="1" spans="1:26">
      <c r="A153" s="200"/>
      <c r="B153" s="201"/>
      <c r="C153" s="201"/>
      <c r="D153" s="201"/>
      <c r="E153" s="201"/>
      <c r="F153" s="201"/>
      <c r="G153" s="201"/>
      <c r="H153" s="201"/>
      <c r="I153" s="201"/>
      <c r="J153" s="201"/>
      <c r="K153" s="201"/>
      <c r="L153" s="201"/>
      <c r="M153" s="201"/>
      <c r="N153" s="201"/>
      <c r="O153" s="201"/>
      <c r="P153" s="201"/>
      <c r="Q153" s="201"/>
      <c r="R153" s="201"/>
      <c r="S153" s="201"/>
      <c r="T153" s="201"/>
      <c r="U153" s="201"/>
      <c r="V153" s="201"/>
      <c r="W153" s="201"/>
      <c r="X153" s="201"/>
      <c r="Y153" s="201"/>
      <c r="Z153" s="201"/>
    </row>
    <row r="154" ht="12.8" customHeight="1" spans="1:26">
      <c r="A154" s="200"/>
      <c r="B154" s="201"/>
      <c r="C154" s="201"/>
      <c r="D154" s="201"/>
      <c r="E154" s="201"/>
      <c r="F154" s="201"/>
      <c r="G154" s="201"/>
      <c r="H154" s="201"/>
      <c r="I154" s="201"/>
      <c r="J154" s="201"/>
      <c r="K154" s="201"/>
      <c r="L154" s="201"/>
      <c r="M154" s="201"/>
      <c r="N154" s="201"/>
      <c r="O154" s="201"/>
      <c r="P154" s="201"/>
      <c r="Q154" s="201"/>
      <c r="R154" s="201"/>
      <c r="S154" s="201"/>
      <c r="T154" s="201"/>
      <c r="U154" s="201"/>
      <c r="V154" s="201"/>
      <c r="W154" s="201"/>
      <c r="X154" s="201"/>
      <c r="Y154" s="201"/>
      <c r="Z154" s="201"/>
    </row>
    <row r="155" ht="12.8" customHeight="1" spans="1:26">
      <c r="A155" s="200"/>
      <c r="B155" s="201"/>
      <c r="C155" s="201"/>
      <c r="D155" s="201"/>
      <c r="E155" s="201"/>
      <c r="F155" s="201"/>
      <c r="G155" s="201"/>
      <c r="H155" s="201"/>
      <c r="I155" s="201"/>
      <c r="J155" s="201"/>
      <c r="K155" s="201"/>
      <c r="L155" s="201"/>
      <c r="M155" s="201"/>
      <c r="N155" s="201"/>
      <c r="O155" s="201"/>
      <c r="P155" s="201"/>
      <c r="Q155" s="201"/>
      <c r="R155" s="201"/>
      <c r="S155" s="201"/>
      <c r="T155" s="201"/>
      <c r="U155" s="201"/>
      <c r="V155" s="201"/>
      <c r="W155" s="201"/>
      <c r="X155" s="201"/>
      <c r="Y155" s="201"/>
      <c r="Z155" s="201"/>
    </row>
    <row r="156" ht="12.8" customHeight="1" spans="1:26">
      <c r="A156" s="200"/>
      <c r="B156" s="201"/>
      <c r="C156" s="201"/>
      <c r="D156" s="201"/>
      <c r="E156" s="201"/>
      <c r="F156" s="201"/>
      <c r="G156" s="201"/>
      <c r="H156" s="201"/>
      <c r="I156" s="201"/>
      <c r="J156" s="201"/>
      <c r="K156" s="201"/>
      <c r="L156" s="201"/>
      <c r="M156" s="201"/>
      <c r="N156" s="201"/>
      <c r="O156" s="201"/>
      <c r="P156" s="201"/>
      <c r="Q156" s="201"/>
      <c r="R156" s="201"/>
      <c r="S156" s="201"/>
      <c r="T156" s="201"/>
      <c r="U156" s="201"/>
      <c r="V156" s="201"/>
      <c r="W156" s="201"/>
      <c r="X156" s="201"/>
      <c r="Y156" s="201"/>
      <c r="Z156" s="201"/>
    </row>
    <row r="157" ht="12.8" customHeight="1" spans="1:26">
      <c r="A157" s="200"/>
      <c r="B157" s="201"/>
      <c r="C157" s="201"/>
      <c r="D157" s="201"/>
      <c r="E157" s="201"/>
      <c r="F157" s="201"/>
      <c r="G157" s="201"/>
      <c r="H157" s="201"/>
      <c r="I157" s="201"/>
      <c r="J157" s="201"/>
      <c r="K157" s="201"/>
      <c r="L157" s="201"/>
      <c r="M157" s="201"/>
      <c r="N157" s="201"/>
      <c r="O157" s="201"/>
      <c r="P157" s="201"/>
      <c r="Q157" s="201"/>
      <c r="R157" s="201"/>
      <c r="S157" s="201"/>
      <c r="T157" s="201"/>
      <c r="U157" s="201"/>
      <c r="V157" s="201"/>
      <c r="W157" s="201"/>
      <c r="X157" s="201"/>
      <c r="Y157" s="201"/>
      <c r="Z157" s="201"/>
    </row>
    <row r="158" ht="12.8" customHeight="1" spans="1:26">
      <c r="A158" s="200"/>
      <c r="B158" s="201"/>
      <c r="C158" s="201"/>
      <c r="D158" s="201"/>
      <c r="E158" s="201"/>
      <c r="F158" s="201"/>
      <c r="G158" s="201"/>
      <c r="H158" s="201"/>
      <c r="I158" s="201"/>
      <c r="J158" s="201"/>
      <c r="K158" s="201"/>
      <c r="L158" s="201"/>
      <c r="M158" s="201"/>
      <c r="N158" s="201"/>
      <c r="O158" s="201"/>
      <c r="P158" s="201"/>
      <c r="Q158" s="201"/>
      <c r="R158" s="201"/>
      <c r="S158" s="201"/>
      <c r="T158" s="201"/>
      <c r="U158" s="201"/>
      <c r="V158" s="201"/>
      <c r="W158" s="201"/>
      <c r="X158" s="201"/>
      <c r="Y158" s="201"/>
      <c r="Z158" s="201"/>
    </row>
    <row r="159" ht="12.8" customHeight="1" spans="1:26">
      <c r="A159" s="200"/>
      <c r="B159" s="201"/>
      <c r="C159" s="201"/>
      <c r="D159" s="201"/>
      <c r="E159" s="201"/>
      <c r="F159" s="201"/>
      <c r="G159" s="201"/>
      <c r="H159" s="201"/>
      <c r="I159" s="201"/>
      <c r="J159" s="201"/>
      <c r="K159" s="201"/>
      <c r="L159" s="201"/>
      <c r="M159" s="201"/>
      <c r="N159" s="201"/>
      <c r="O159" s="201"/>
      <c r="P159" s="201"/>
      <c r="Q159" s="201"/>
      <c r="R159" s="201"/>
      <c r="S159" s="201"/>
      <c r="T159" s="201"/>
      <c r="U159" s="201"/>
      <c r="V159" s="201"/>
      <c r="W159" s="201"/>
      <c r="X159" s="201"/>
      <c r="Y159" s="201"/>
      <c r="Z159" s="201"/>
    </row>
    <row r="160" ht="12.8" customHeight="1" spans="1:26">
      <c r="A160" s="200"/>
      <c r="B160" s="201"/>
      <c r="C160" s="201"/>
      <c r="D160" s="201"/>
      <c r="E160" s="201"/>
      <c r="F160" s="201"/>
      <c r="G160" s="201"/>
      <c r="H160" s="201"/>
      <c r="I160" s="201"/>
      <c r="J160" s="201"/>
      <c r="K160" s="201"/>
      <c r="L160" s="201"/>
      <c r="M160" s="201"/>
      <c r="N160" s="201"/>
      <c r="O160" s="201"/>
      <c r="P160" s="201"/>
      <c r="Q160" s="201"/>
      <c r="R160" s="201"/>
      <c r="S160" s="201"/>
      <c r="T160" s="201"/>
      <c r="U160" s="201"/>
      <c r="V160" s="201"/>
      <c r="W160" s="201"/>
      <c r="X160" s="201"/>
      <c r="Y160" s="201"/>
      <c r="Z160" s="201"/>
    </row>
    <row r="161" ht="12.8" customHeight="1" spans="1:26">
      <c r="A161" s="200"/>
      <c r="B161" s="201"/>
      <c r="C161" s="201"/>
      <c r="D161" s="201"/>
      <c r="E161" s="201"/>
      <c r="F161" s="201"/>
      <c r="G161" s="201"/>
      <c r="H161" s="201"/>
      <c r="I161" s="201"/>
      <c r="J161" s="201"/>
      <c r="K161" s="201"/>
      <c r="L161" s="201"/>
      <c r="M161" s="201"/>
      <c r="N161" s="201"/>
      <c r="O161" s="201"/>
      <c r="P161" s="201"/>
      <c r="Q161" s="201"/>
      <c r="R161" s="201"/>
      <c r="S161" s="201"/>
      <c r="T161" s="201"/>
      <c r="U161" s="201"/>
      <c r="V161" s="201"/>
      <c r="W161" s="201"/>
      <c r="X161" s="201"/>
      <c r="Y161" s="201"/>
      <c r="Z161" s="201"/>
    </row>
    <row r="162" ht="12.8" customHeight="1" spans="1:26">
      <c r="A162" s="200"/>
      <c r="B162" s="201"/>
      <c r="C162" s="201"/>
      <c r="D162" s="201"/>
      <c r="E162" s="201"/>
      <c r="F162" s="201"/>
      <c r="G162" s="201"/>
      <c r="H162" s="201"/>
      <c r="I162" s="201"/>
      <c r="J162" s="201"/>
      <c r="K162" s="201"/>
      <c r="L162" s="201"/>
      <c r="M162" s="201"/>
      <c r="N162" s="201"/>
      <c r="O162" s="201"/>
      <c r="P162" s="201"/>
      <c r="Q162" s="201"/>
      <c r="R162" s="201"/>
      <c r="S162" s="201"/>
      <c r="T162" s="201"/>
      <c r="U162" s="201"/>
      <c r="V162" s="201"/>
      <c r="W162" s="201"/>
      <c r="X162" s="201"/>
      <c r="Y162" s="201"/>
      <c r="Z162" s="201"/>
    </row>
    <row r="163" ht="12.8" customHeight="1" spans="1:26">
      <c r="A163" s="200"/>
      <c r="B163" s="201"/>
      <c r="C163" s="201"/>
      <c r="D163" s="201"/>
      <c r="E163" s="201"/>
      <c r="F163" s="201"/>
      <c r="G163" s="201"/>
      <c r="H163" s="201"/>
      <c r="I163" s="201"/>
      <c r="J163" s="201"/>
      <c r="K163" s="201"/>
      <c r="L163" s="201"/>
      <c r="M163" s="201"/>
      <c r="N163" s="201"/>
      <c r="O163" s="201"/>
      <c r="P163" s="201"/>
      <c r="Q163" s="201"/>
      <c r="R163" s="201"/>
      <c r="S163" s="201"/>
      <c r="T163" s="201"/>
      <c r="U163" s="201"/>
      <c r="V163" s="201"/>
      <c r="W163" s="201"/>
      <c r="X163" s="201"/>
      <c r="Y163" s="201"/>
      <c r="Z163" s="201"/>
    </row>
    <row r="164" ht="12.8" customHeight="1" spans="1:26">
      <c r="A164" s="200"/>
      <c r="B164" s="201"/>
      <c r="C164" s="201"/>
      <c r="D164" s="201"/>
      <c r="E164" s="201"/>
      <c r="F164" s="201"/>
      <c r="G164" s="201"/>
      <c r="H164" s="201"/>
      <c r="I164" s="201"/>
      <c r="J164" s="201"/>
      <c r="K164" s="201"/>
      <c r="L164" s="201"/>
      <c r="M164" s="201"/>
      <c r="N164" s="201"/>
      <c r="O164" s="201"/>
      <c r="P164" s="201"/>
      <c r="Q164" s="201"/>
      <c r="R164" s="201"/>
      <c r="S164" s="201"/>
      <c r="T164" s="201"/>
      <c r="U164" s="201"/>
      <c r="V164" s="201"/>
      <c r="W164" s="201"/>
      <c r="X164" s="201"/>
      <c r="Y164" s="201"/>
      <c r="Z164" s="201"/>
    </row>
    <row r="165" ht="12.8" customHeight="1" spans="1:26">
      <c r="A165" s="200"/>
      <c r="B165" s="201"/>
      <c r="C165" s="201"/>
      <c r="D165" s="201"/>
      <c r="E165" s="201"/>
      <c r="F165" s="201"/>
      <c r="G165" s="201"/>
      <c r="H165" s="201"/>
      <c r="I165" s="201"/>
      <c r="J165" s="201"/>
      <c r="K165" s="201"/>
      <c r="L165" s="201"/>
      <c r="M165" s="201"/>
      <c r="N165" s="201"/>
      <c r="O165" s="201"/>
      <c r="P165" s="201"/>
      <c r="Q165" s="201"/>
      <c r="R165" s="201"/>
      <c r="S165" s="201"/>
      <c r="T165" s="201"/>
      <c r="U165" s="201"/>
      <c r="V165" s="201"/>
      <c r="W165" s="201"/>
      <c r="X165" s="201"/>
      <c r="Y165" s="201"/>
      <c r="Z165" s="201"/>
    </row>
    <row r="166" ht="12.8" customHeight="1" spans="1:26">
      <c r="A166" s="200"/>
      <c r="B166" s="201"/>
      <c r="C166" s="201"/>
      <c r="D166" s="201"/>
      <c r="E166" s="201"/>
      <c r="F166" s="201"/>
      <c r="G166" s="201"/>
      <c r="H166" s="201"/>
      <c r="I166" s="201"/>
      <c r="J166" s="201"/>
      <c r="K166" s="201"/>
      <c r="L166" s="201"/>
      <c r="M166" s="201"/>
      <c r="N166" s="201"/>
      <c r="O166" s="201"/>
      <c r="P166" s="201"/>
      <c r="Q166" s="201"/>
      <c r="R166" s="201"/>
      <c r="S166" s="201"/>
      <c r="T166" s="201"/>
      <c r="U166" s="201"/>
      <c r="V166" s="201"/>
      <c r="W166" s="201"/>
      <c r="X166" s="201"/>
      <c r="Y166" s="201"/>
      <c r="Z166" s="201"/>
    </row>
    <row r="167" ht="12.8" customHeight="1" spans="1:26">
      <c r="A167" s="200"/>
      <c r="B167" s="201"/>
      <c r="C167" s="201"/>
      <c r="D167" s="201"/>
      <c r="E167" s="201"/>
      <c r="F167" s="201"/>
      <c r="G167" s="201"/>
      <c r="H167" s="201"/>
      <c r="I167" s="201"/>
      <c r="J167" s="201"/>
      <c r="K167" s="201"/>
      <c r="L167" s="201"/>
      <c r="M167" s="201"/>
      <c r="N167" s="201"/>
      <c r="O167" s="201"/>
      <c r="P167" s="201"/>
      <c r="Q167" s="201"/>
      <c r="R167" s="201"/>
      <c r="S167" s="201"/>
      <c r="T167" s="201"/>
      <c r="U167" s="201"/>
      <c r="V167" s="201"/>
      <c r="W167" s="201"/>
      <c r="X167" s="201"/>
      <c r="Y167" s="201"/>
      <c r="Z167" s="201"/>
    </row>
    <row r="168" ht="12.8" customHeight="1" spans="1:26">
      <c r="A168" s="200"/>
      <c r="B168" s="201"/>
      <c r="C168" s="201"/>
      <c r="D168" s="201"/>
      <c r="E168" s="201"/>
      <c r="F168" s="201"/>
      <c r="G168" s="201"/>
      <c r="H168" s="201"/>
      <c r="I168" s="201"/>
      <c r="J168" s="201"/>
      <c r="K168" s="201"/>
      <c r="L168" s="201"/>
      <c r="M168" s="201"/>
      <c r="N168" s="201"/>
      <c r="O168" s="201"/>
      <c r="P168" s="201"/>
      <c r="Q168" s="201"/>
      <c r="R168" s="201"/>
      <c r="S168" s="201"/>
      <c r="T168" s="201"/>
      <c r="U168" s="201"/>
      <c r="V168" s="201"/>
      <c r="W168" s="201"/>
      <c r="X168" s="201"/>
      <c r="Y168" s="201"/>
      <c r="Z168" s="201"/>
    </row>
    <row r="169" ht="12.8" customHeight="1" spans="1:26">
      <c r="A169" s="200"/>
      <c r="B169" s="201"/>
      <c r="C169" s="201"/>
      <c r="D169" s="201"/>
      <c r="E169" s="201"/>
      <c r="F169" s="201"/>
      <c r="G169" s="201"/>
      <c r="H169" s="201"/>
      <c r="I169" s="201"/>
      <c r="J169" s="201"/>
      <c r="K169" s="201"/>
      <c r="L169" s="201"/>
      <c r="M169" s="201"/>
      <c r="N169" s="201"/>
      <c r="O169" s="201"/>
      <c r="P169" s="201"/>
      <c r="Q169" s="201"/>
      <c r="R169" s="201"/>
      <c r="S169" s="201"/>
      <c r="T169" s="201"/>
      <c r="U169" s="201"/>
      <c r="V169" s="201"/>
      <c r="W169" s="201"/>
      <c r="X169" s="201"/>
      <c r="Y169" s="201"/>
      <c r="Z169" s="201"/>
    </row>
    <row r="170" ht="12.8" customHeight="1" spans="1:26">
      <c r="A170" s="200"/>
      <c r="B170" s="201"/>
      <c r="C170" s="201"/>
      <c r="D170" s="201"/>
      <c r="E170" s="201"/>
      <c r="F170" s="201"/>
      <c r="G170" s="201"/>
      <c r="H170" s="201"/>
      <c r="I170" s="201"/>
      <c r="J170" s="201"/>
      <c r="K170" s="201"/>
      <c r="L170" s="201"/>
      <c r="M170" s="201"/>
      <c r="N170" s="201"/>
      <c r="O170" s="201"/>
      <c r="P170" s="201"/>
      <c r="Q170" s="201"/>
      <c r="R170" s="201"/>
      <c r="S170" s="201"/>
      <c r="T170" s="201"/>
      <c r="U170" s="201"/>
      <c r="V170" s="201"/>
      <c r="W170" s="201"/>
      <c r="X170" s="201"/>
      <c r="Y170" s="201"/>
      <c r="Z170" s="201"/>
    </row>
    <row r="171" ht="12.8" customHeight="1" spans="1:26">
      <c r="A171" s="200"/>
      <c r="B171" s="201"/>
      <c r="C171" s="201"/>
      <c r="D171" s="201"/>
      <c r="E171" s="201"/>
      <c r="F171" s="201"/>
      <c r="G171" s="201"/>
      <c r="H171" s="201"/>
      <c r="I171" s="201"/>
      <c r="J171" s="201"/>
      <c r="K171" s="201"/>
      <c r="L171" s="201"/>
      <c r="M171" s="201"/>
      <c r="N171" s="201"/>
      <c r="O171" s="201"/>
      <c r="P171" s="201"/>
      <c r="Q171" s="201"/>
      <c r="R171" s="201"/>
      <c r="S171" s="201"/>
      <c r="T171" s="201"/>
      <c r="U171" s="201"/>
      <c r="V171" s="201"/>
      <c r="W171" s="201"/>
      <c r="X171" s="201"/>
      <c r="Y171" s="201"/>
      <c r="Z171" s="201"/>
    </row>
    <row r="172" ht="12.8" customHeight="1" spans="1:26">
      <c r="A172" s="200"/>
      <c r="B172" s="201"/>
      <c r="C172" s="201"/>
      <c r="D172" s="201"/>
      <c r="E172" s="201"/>
      <c r="F172" s="201"/>
      <c r="G172" s="201"/>
      <c r="H172" s="201"/>
      <c r="I172" s="201"/>
      <c r="J172" s="201"/>
      <c r="K172" s="201"/>
      <c r="L172" s="201"/>
      <c r="M172" s="201"/>
      <c r="N172" s="201"/>
      <c r="O172" s="201"/>
      <c r="P172" s="201"/>
      <c r="Q172" s="201"/>
      <c r="R172" s="201"/>
      <c r="S172" s="201"/>
      <c r="T172" s="201"/>
      <c r="U172" s="201"/>
      <c r="V172" s="201"/>
      <c r="W172" s="201"/>
      <c r="X172" s="201"/>
      <c r="Y172" s="201"/>
      <c r="Z172" s="201"/>
    </row>
    <row r="173" ht="12.8" customHeight="1" spans="1:26">
      <c r="A173" s="200"/>
      <c r="B173" s="201"/>
      <c r="C173" s="201"/>
      <c r="D173" s="201"/>
      <c r="E173" s="201"/>
      <c r="F173" s="201"/>
      <c r="G173" s="201"/>
      <c r="H173" s="201"/>
      <c r="I173" s="201"/>
      <c r="J173" s="201"/>
      <c r="K173" s="201"/>
      <c r="L173" s="201"/>
      <c r="M173" s="201"/>
      <c r="N173" s="201"/>
      <c r="O173" s="201"/>
      <c r="P173" s="201"/>
      <c r="Q173" s="201"/>
      <c r="R173" s="201"/>
      <c r="S173" s="201"/>
      <c r="T173" s="201"/>
      <c r="U173" s="201"/>
      <c r="V173" s="201"/>
      <c r="W173" s="201"/>
      <c r="X173" s="201"/>
      <c r="Y173" s="201"/>
      <c r="Z173" s="201"/>
    </row>
    <row r="174" ht="12.8" customHeight="1" spans="1:26">
      <c r="A174" s="200"/>
      <c r="B174" s="201"/>
      <c r="C174" s="201"/>
      <c r="D174" s="201"/>
      <c r="E174" s="201"/>
      <c r="F174" s="201"/>
      <c r="G174" s="201"/>
      <c r="H174" s="201"/>
      <c r="I174" s="201"/>
      <c r="J174" s="201"/>
      <c r="K174" s="201"/>
      <c r="L174" s="201"/>
      <c r="M174" s="201"/>
      <c r="N174" s="201"/>
      <c r="O174" s="201"/>
      <c r="P174" s="201"/>
      <c r="Q174" s="201"/>
      <c r="R174" s="201"/>
      <c r="S174" s="201"/>
      <c r="T174" s="201"/>
      <c r="U174" s="201"/>
      <c r="V174" s="201"/>
      <c r="W174" s="201"/>
      <c r="X174" s="201"/>
      <c r="Y174" s="201"/>
      <c r="Z174" s="201"/>
    </row>
    <row r="175" ht="12.8" customHeight="1" spans="1:26">
      <c r="A175" s="200"/>
      <c r="B175" s="201"/>
      <c r="C175" s="201"/>
      <c r="D175" s="201"/>
      <c r="E175" s="201"/>
      <c r="F175" s="201"/>
      <c r="G175" s="201"/>
      <c r="H175" s="201"/>
      <c r="I175" s="201"/>
      <c r="J175" s="201"/>
      <c r="K175" s="201"/>
      <c r="L175" s="201"/>
      <c r="M175" s="201"/>
      <c r="N175" s="201"/>
      <c r="O175" s="201"/>
      <c r="P175" s="201"/>
      <c r="Q175" s="201"/>
      <c r="R175" s="201"/>
      <c r="S175" s="201"/>
      <c r="T175" s="201"/>
      <c r="U175" s="201"/>
      <c r="V175" s="201"/>
      <c r="W175" s="201"/>
      <c r="X175" s="201"/>
      <c r="Y175" s="201"/>
      <c r="Z175" s="201"/>
    </row>
    <row r="176" ht="12.8" customHeight="1" spans="1:26">
      <c r="A176" s="200"/>
      <c r="B176" s="201"/>
      <c r="C176" s="201"/>
      <c r="D176" s="201"/>
      <c r="E176" s="201"/>
      <c r="F176" s="201"/>
      <c r="G176" s="201"/>
      <c r="H176" s="201"/>
      <c r="I176" s="201"/>
      <c r="J176" s="201"/>
      <c r="K176" s="201"/>
      <c r="L176" s="201"/>
      <c r="M176" s="201"/>
      <c r="N176" s="201"/>
      <c r="O176" s="201"/>
      <c r="P176" s="201"/>
      <c r="Q176" s="201"/>
      <c r="R176" s="201"/>
      <c r="S176" s="201"/>
      <c r="T176" s="201"/>
      <c r="U176" s="201"/>
      <c r="V176" s="201"/>
      <c r="W176" s="201"/>
      <c r="X176" s="201"/>
      <c r="Y176" s="201"/>
      <c r="Z176" s="201"/>
    </row>
    <row r="177" ht="12.8" customHeight="1" spans="1:26">
      <c r="A177" s="200"/>
      <c r="B177" s="201"/>
      <c r="C177" s="201"/>
      <c r="D177" s="201"/>
      <c r="E177" s="201"/>
      <c r="F177" s="201"/>
      <c r="G177" s="201"/>
      <c r="H177" s="201"/>
      <c r="I177" s="201"/>
      <c r="J177" s="201"/>
      <c r="K177" s="201"/>
      <c r="L177" s="201"/>
      <c r="M177" s="201"/>
      <c r="N177" s="201"/>
      <c r="O177" s="201"/>
      <c r="P177" s="201"/>
      <c r="Q177" s="201"/>
      <c r="R177" s="201"/>
      <c r="S177" s="201"/>
      <c r="T177" s="201"/>
      <c r="U177" s="201"/>
      <c r="V177" s="201"/>
      <c r="W177" s="201"/>
      <c r="X177" s="201"/>
      <c r="Y177" s="201"/>
      <c r="Z177" s="201"/>
    </row>
    <row r="178" ht="12.8" customHeight="1" spans="1:26">
      <c r="A178" s="200"/>
      <c r="B178" s="201"/>
      <c r="C178" s="201"/>
      <c r="D178" s="201"/>
      <c r="E178" s="201"/>
      <c r="F178" s="201"/>
      <c r="G178" s="201"/>
      <c r="H178" s="201"/>
      <c r="I178" s="201"/>
      <c r="J178" s="201"/>
      <c r="K178" s="201"/>
      <c r="L178" s="201"/>
      <c r="M178" s="201"/>
      <c r="N178" s="201"/>
      <c r="O178" s="201"/>
      <c r="P178" s="201"/>
      <c r="Q178" s="201"/>
      <c r="R178" s="201"/>
      <c r="S178" s="201"/>
      <c r="T178" s="201"/>
      <c r="U178" s="201"/>
      <c r="V178" s="201"/>
      <c r="W178" s="201"/>
      <c r="X178" s="201"/>
      <c r="Y178" s="201"/>
      <c r="Z178" s="201"/>
    </row>
    <row r="179" ht="12.8" customHeight="1" spans="1:26">
      <c r="A179" s="200"/>
      <c r="B179" s="201"/>
      <c r="C179" s="201"/>
      <c r="D179" s="201"/>
      <c r="E179" s="201"/>
      <c r="F179" s="201"/>
      <c r="G179" s="201"/>
      <c r="H179" s="201"/>
      <c r="I179" s="201"/>
      <c r="J179" s="201"/>
      <c r="K179" s="201"/>
      <c r="L179" s="201"/>
      <c r="M179" s="201"/>
      <c r="N179" s="201"/>
      <c r="O179" s="201"/>
      <c r="P179" s="201"/>
      <c r="Q179" s="201"/>
      <c r="R179" s="201"/>
      <c r="S179" s="201"/>
      <c r="T179" s="201"/>
      <c r="U179" s="201"/>
      <c r="V179" s="201"/>
      <c r="W179" s="201"/>
      <c r="X179" s="201"/>
      <c r="Y179" s="201"/>
      <c r="Z179" s="201"/>
    </row>
    <row r="180" ht="12.8" customHeight="1" spans="1:26">
      <c r="A180" s="200"/>
      <c r="B180" s="201"/>
      <c r="C180" s="201"/>
      <c r="D180" s="201"/>
      <c r="E180" s="201"/>
      <c r="F180" s="201"/>
      <c r="G180" s="201"/>
      <c r="H180" s="201"/>
      <c r="I180" s="201"/>
      <c r="J180" s="201"/>
      <c r="K180" s="201"/>
      <c r="L180" s="201"/>
      <c r="M180" s="201"/>
      <c r="N180" s="201"/>
      <c r="O180" s="201"/>
      <c r="P180" s="201"/>
      <c r="Q180" s="201"/>
      <c r="R180" s="201"/>
      <c r="S180" s="201"/>
      <c r="T180" s="201"/>
      <c r="U180" s="201"/>
      <c r="V180" s="201"/>
      <c r="W180" s="201"/>
      <c r="X180" s="201"/>
      <c r="Y180" s="201"/>
      <c r="Z180" s="201"/>
    </row>
    <row r="181" ht="12.8" customHeight="1" spans="1:26">
      <c r="A181" s="200"/>
      <c r="B181" s="201"/>
      <c r="C181" s="201"/>
      <c r="D181" s="201"/>
      <c r="E181" s="201"/>
      <c r="F181" s="201"/>
      <c r="G181" s="201"/>
      <c r="H181" s="201"/>
      <c r="I181" s="201"/>
      <c r="J181" s="201"/>
      <c r="K181" s="201"/>
      <c r="L181" s="201"/>
      <c r="M181" s="201"/>
      <c r="N181" s="201"/>
      <c r="O181" s="201"/>
      <c r="P181" s="201"/>
      <c r="Q181" s="201"/>
      <c r="R181" s="201"/>
      <c r="S181" s="201"/>
      <c r="T181" s="201"/>
      <c r="U181" s="201"/>
      <c r="V181" s="201"/>
      <c r="W181" s="201"/>
      <c r="X181" s="201"/>
      <c r="Y181" s="201"/>
      <c r="Z181" s="201"/>
    </row>
    <row r="182" ht="12.8" customHeight="1" spans="1:26">
      <c r="A182" s="200"/>
      <c r="B182" s="201"/>
      <c r="C182" s="201"/>
      <c r="D182" s="201"/>
      <c r="E182" s="201"/>
      <c r="F182" s="201"/>
      <c r="G182" s="201"/>
      <c r="H182" s="201"/>
      <c r="I182" s="201"/>
      <c r="J182" s="201"/>
      <c r="K182" s="201"/>
      <c r="L182" s="201"/>
      <c r="M182" s="201"/>
      <c r="N182" s="201"/>
      <c r="O182" s="201"/>
      <c r="P182" s="201"/>
      <c r="Q182" s="201"/>
      <c r="R182" s="201"/>
      <c r="S182" s="201"/>
      <c r="T182" s="201"/>
      <c r="U182" s="201"/>
      <c r="V182" s="201"/>
      <c r="W182" s="201"/>
      <c r="X182" s="201"/>
      <c r="Y182" s="201"/>
      <c r="Z182" s="201"/>
    </row>
    <row r="183" ht="12.8" customHeight="1" spans="1:26">
      <c r="A183" s="200"/>
      <c r="B183" s="201"/>
      <c r="C183" s="201"/>
      <c r="D183" s="201"/>
      <c r="E183" s="201"/>
      <c r="F183" s="201"/>
      <c r="G183" s="201"/>
      <c r="H183" s="201"/>
      <c r="I183" s="201"/>
      <c r="J183" s="201"/>
      <c r="K183" s="201"/>
      <c r="L183" s="201"/>
      <c r="M183" s="201"/>
      <c r="N183" s="201"/>
      <c r="O183" s="201"/>
      <c r="P183" s="201"/>
      <c r="Q183" s="201"/>
      <c r="R183" s="201"/>
      <c r="S183" s="201"/>
      <c r="T183" s="201"/>
      <c r="U183" s="201"/>
      <c r="V183" s="201"/>
      <c r="W183" s="201"/>
      <c r="X183" s="201"/>
      <c r="Y183" s="201"/>
      <c r="Z183" s="201"/>
    </row>
    <row r="184" ht="12.8" customHeight="1" spans="1:26">
      <c r="A184" s="200"/>
      <c r="B184" s="201"/>
      <c r="C184" s="201"/>
      <c r="D184" s="201"/>
      <c r="E184" s="201"/>
      <c r="F184" s="201"/>
      <c r="G184" s="201"/>
      <c r="H184" s="201"/>
      <c r="I184" s="201"/>
      <c r="J184" s="201"/>
      <c r="K184" s="201"/>
      <c r="L184" s="201"/>
      <c r="M184" s="201"/>
      <c r="N184" s="201"/>
      <c r="O184" s="201"/>
      <c r="P184" s="201"/>
      <c r="Q184" s="201"/>
      <c r="R184" s="201"/>
      <c r="S184" s="201"/>
      <c r="T184" s="201"/>
      <c r="U184" s="201"/>
      <c r="V184" s="201"/>
      <c r="W184" s="201"/>
      <c r="X184" s="201"/>
      <c r="Y184" s="201"/>
      <c r="Z184" s="201"/>
    </row>
    <row r="185" ht="12.8" customHeight="1" spans="1:26">
      <c r="A185" s="200"/>
      <c r="B185" s="201"/>
      <c r="C185" s="201"/>
      <c r="D185" s="201"/>
      <c r="E185" s="201"/>
      <c r="F185" s="201"/>
      <c r="G185" s="201"/>
      <c r="H185" s="201"/>
      <c r="I185" s="201"/>
      <c r="J185" s="201"/>
      <c r="K185" s="201"/>
      <c r="L185" s="201"/>
      <c r="M185" s="201"/>
      <c r="N185" s="201"/>
      <c r="O185" s="201"/>
      <c r="P185" s="201"/>
      <c r="Q185" s="201"/>
      <c r="R185" s="201"/>
      <c r="S185" s="201"/>
      <c r="T185" s="201"/>
      <c r="U185" s="201"/>
      <c r="V185" s="201"/>
      <c r="W185" s="201"/>
      <c r="X185" s="201"/>
      <c r="Y185" s="201"/>
      <c r="Z185" s="201"/>
    </row>
    <row r="186" ht="12.8" customHeight="1" spans="1:26">
      <c r="A186" s="200"/>
      <c r="B186" s="201"/>
      <c r="C186" s="201"/>
      <c r="D186" s="201"/>
      <c r="E186" s="201"/>
      <c r="F186" s="201"/>
      <c r="G186" s="201"/>
      <c r="H186" s="201"/>
      <c r="I186" s="201"/>
      <c r="J186" s="201"/>
      <c r="K186" s="201"/>
      <c r="L186" s="201"/>
      <c r="M186" s="201"/>
      <c r="N186" s="201"/>
      <c r="O186" s="201"/>
      <c r="P186" s="201"/>
      <c r="Q186" s="201"/>
      <c r="R186" s="201"/>
      <c r="S186" s="201"/>
      <c r="T186" s="201"/>
      <c r="U186" s="201"/>
      <c r="V186" s="201"/>
      <c r="W186" s="201"/>
      <c r="X186" s="201"/>
      <c r="Y186" s="201"/>
      <c r="Z186" s="201"/>
    </row>
    <row r="187" ht="12.8" customHeight="1" spans="1:26">
      <c r="A187" s="200"/>
      <c r="B187" s="201"/>
      <c r="C187" s="201"/>
      <c r="D187" s="201"/>
      <c r="E187" s="201"/>
      <c r="F187" s="201"/>
      <c r="G187" s="201"/>
      <c r="H187" s="201"/>
      <c r="I187" s="201"/>
      <c r="J187" s="201"/>
      <c r="K187" s="201"/>
      <c r="L187" s="201"/>
      <c r="M187" s="201"/>
      <c r="N187" s="201"/>
      <c r="O187" s="201"/>
      <c r="P187" s="201"/>
      <c r="Q187" s="201"/>
      <c r="R187" s="201"/>
      <c r="S187" s="201"/>
      <c r="T187" s="201"/>
      <c r="U187" s="201"/>
      <c r="V187" s="201"/>
      <c r="W187" s="201"/>
      <c r="X187" s="201"/>
      <c r="Y187" s="201"/>
      <c r="Z187" s="201"/>
    </row>
    <row r="188" ht="12.8" customHeight="1" spans="1:26">
      <c r="A188" s="200"/>
      <c r="B188" s="201"/>
      <c r="C188" s="201"/>
      <c r="D188" s="201"/>
      <c r="E188" s="201"/>
      <c r="F188" s="201"/>
      <c r="G188" s="201"/>
      <c r="H188" s="201"/>
      <c r="I188" s="201"/>
      <c r="J188" s="201"/>
      <c r="K188" s="201"/>
      <c r="L188" s="201"/>
      <c r="M188" s="201"/>
      <c r="N188" s="201"/>
      <c r="O188" s="201"/>
      <c r="P188" s="201"/>
      <c r="Q188" s="201"/>
      <c r="R188" s="201"/>
      <c r="S188" s="201"/>
      <c r="T188" s="201"/>
      <c r="U188" s="201"/>
      <c r="V188" s="201"/>
      <c r="W188" s="201"/>
      <c r="X188" s="201"/>
      <c r="Y188" s="201"/>
      <c r="Z188" s="201"/>
    </row>
    <row r="189" ht="12.8" customHeight="1" spans="1:26">
      <c r="A189" s="200"/>
      <c r="B189" s="201"/>
      <c r="C189" s="201"/>
      <c r="D189" s="201"/>
      <c r="E189" s="201"/>
      <c r="F189" s="201"/>
      <c r="G189" s="201"/>
      <c r="H189" s="201"/>
      <c r="I189" s="201"/>
      <c r="J189" s="201"/>
      <c r="K189" s="201"/>
      <c r="L189" s="201"/>
      <c r="M189" s="201"/>
      <c r="N189" s="201"/>
      <c r="O189" s="201"/>
      <c r="P189" s="201"/>
      <c r="Q189" s="201"/>
      <c r="R189" s="201"/>
      <c r="S189" s="201"/>
      <c r="T189" s="201"/>
      <c r="U189" s="201"/>
      <c r="V189" s="201"/>
      <c r="W189" s="201"/>
      <c r="X189" s="201"/>
      <c r="Y189" s="201"/>
      <c r="Z189" s="201"/>
    </row>
    <row r="190" ht="12.8" customHeight="1" spans="1:26">
      <c r="A190" s="200"/>
      <c r="B190" s="201"/>
      <c r="C190" s="201"/>
      <c r="D190" s="201"/>
      <c r="E190" s="201"/>
      <c r="F190" s="201"/>
      <c r="G190" s="201"/>
      <c r="H190" s="201"/>
      <c r="I190" s="201"/>
      <c r="J190" s="201"/>
      <c r="K190" s="201"/>
      <c r="L190" s="201"/>
      <c r="M190" s="201"/>
      <c r="N190" s="201"/>
      <c r="O190" s="201"/>
      <c r="P190" s="201"/>
      <c r="Q190" s="201"/>
      <c r="R190" s="201"/>
      <c r="S190" s="201"/>
      <c r="T190" s="201"/>
      <c r="U190" s="201"/>
      <c r="V190" s="201"/>
      <c r="W190" s="201"/>
      <c r="X190" s="201"/>
      <c r="Y190" s="201"/>
      <c r="Z190" s="201"/>
    </row>
    <row r="191" ht="12.8" customHeight="1" spans="1:26">
      <c r="A191" s="200"/>
      <c r="B191" s="201"/>
      <c r="C191" s="201"/>
      <c r="D191" s="201"/>
      <c r="E191" s="201"/>
      <c r="F191" s="201"/>
      <c r="G191" s="201"/>
      <c r="H191" s="201"/>
      <c r="I191" s="201"/>
      <c r="J191" s="201"/>
      <c r="K191" s="201"/>
      <c r="L191" s="201"/>
      <c r="M191" s="201"/>
      <c r="N191" s="201"/>
      <c r="O191" s="201"/>
      <c r="P191" s="201"/>
      <c r="Q191" s="201"/>
      <c r="R191" s="201"/>
      <c r="S191" s="201"/>
      <c r="T191" s="201"/>
      <c r="U191" s="201"/>
      <c r="V191" s="201"/>
      <c r="W191" s="201"/>
      <c r="X191" s="201"/>
      <c r="Y191" s="201"/>
      <c r="Z191" s="201"/>
    </row>
    <row r="192" ht="12.8" customHeight="1" spans="1:26">
      <c r="A192" s="200"/>
      <c r="B192" s="201"/>
      <c r="C192" s="201"/>
      <c r="D192" s="201"/>
      <c r="E192" s="201"/>
      <c r="F192" s="201"/>
      <c r="G192" s="201"/>
      <c r="H192" s="201"/>
      <c r="I192" s="201"/>
      <c r="J192" s="201"/>
      <c r="K192" s="201"/>
      <c r="L192" s="201"/>
      <c r="M192" s="201"/>
      <c r="N192" s="201"/>
      <c r="O192" s="201"/>
      <c r="P192" s="201"/>
      <c r="Q192" s="201"/>
      <c r="R192" s="201"/>
      <c r="S192" s="201"/>
      <c r="T192" s="201"/>
      <c r="U192" s="201"/>
      <c r="V192" s="201"/>
      <c r="W192" s="201"/>
      <c r="X192" s="201"/>
      <c r="Y192" s="201"/>
      <c r="Z192" s="201"/>
    </row>
    <row r="193" ht="12.8" customHeight="1" spans="1:26">
      <c r="A193" s="200"/>
      <c r="B193" s="201"/>
      <c r="C193" s="201"/>
      <c r="D193" s="201"/>
      <c r="E193" s="201"/>
      <c r="F193" s="201"/>
      <c r="G193" s="201"/>
      <c r="H193" s="201"/>
      <c r="I193" s="201"/>
      <c r="J193" s="201"/>
      <c r="K193" s="201"/>
      <c r="L193" s="201"/>
      <c r="M193" s="201"/>
      <c r="N193" s="201"/>
      <c r="O193" s="201"/>
      <c r="P193" s="201"/>
      <c r="Q193" s="201"/>
      <c r="R193" s="201"/>
      <c r="S193" s="201"/>
      <c r="T193" s="201"/>
      <c r="U193" s="201"/>
      <c r="V193" s="201"/>
      <c r="W193" s="201"/>
      <c r="X193" s="201"/>
      <c r="Y193" s="201"/>
      <c r="Z193" s="201"/>
    </row>
    <row r="194" ht="12.8" customHeight="1" spans="1:26">
      <c r="A194" s="200"/>
      <c r="B194" s="201"/>
      <c r="C194" s="201"/>
      <c r="D194" s="201"/>
      <c r="E194" s="201"/>
      <c r="F194" s="201"/>
      <c r="G194" s="201"/>
      <c r="H194" s="201"/>
      <c r="I194" s="201"/>
      <c r="J194" s="201"/>
      <c r="K194" s="201"/>
      <c r="L194" s="201"/>
      <c r="M194" s="201"/>
      <c r="N194" s="201"/>
      <c r="O194" s="201"/>
      <c r="P194" s="201"/>
      <c r="Q194" s="201"/>
      <c r="R194" s="201"/>
      <c r="S194" s="201"/>
      <c r="T194" s="201"/>
      <c r="U194" s="201"/>
      <c r="V194" s="201"/>
      <c r="W194" s="201"/>
      <c r="X194" s="201"/>
      <c r="Y194" s="201"/>
      <c r="Z194" s="201"/>
    </row>
    <row r="195" ht="12.8" customHeight="1" spans="1:26">
      <c r="A195" s="200"/>
      <c r="B195" s="201"/>
      <c r="C195" s="201"/>
      <c r="D195" s="201"/>
      <c r="E195" s="201"/>
      <c r="F195" s="201"/>
      <c r="G195" s="201"/>
      <c r="H195" s="201"/>
      <c r="I195" s="201"/>
      <c r="J195" s="201"/>
      <c r="K195" s="201"/>
      <c r="L195" s="201"/>
      <c r="M195" s="201"/>
      <c r="N195" s="201"/>
      <c r="O195" s="201"/>
      <c r="P195" s="201"/>
      <c r="Q195" s="201"/>
      <c r="R195" s="201"/>
      <c r="S195" s="201"/>
      <c r="T195" s="201"/>
      <c r="U195" s="201"/>
      <c r="V195" s="201"/>
      <c r="W195" s="201"/>
      <c r="X195" s="201"/>
      <c r="Y195" s="201"/>
      <c r="Z195" s="201"/>
    </row>
    <row r="196" ht="12.8" customHeight="1" spans="1:26">
      <c r="A196" s="200"/>
      <c r="B196" s="201"/>
      <c r="C196" s="201"/>
      <c r="D196" s="201"/>
      <c r="E196" s="201"/>
      <c r="F196" s="201"/>
      <c r="G196" s="201"/>
      <c r="H196" s="201"/>
      <c r="I196" s="201"/>
      <c r="J196" s="201"/>
      <c r="K196" s="201"/>
      <c r="L196" s="201"/>
      <c r="M196" s="201"/>
      <c r="N196" s="201"/>
      <c r="O196" s="201"/>
      <c r="P196" s="201"/>
      <c r="Q196" s="201"/>
      <c r="R196" s="201"/>
      <c r="S196" s="201"/>
      <c r="T196" s="201"/>
      <c r="U196" s="201"/>
      <c r="V196" s="201"/>
      <c r="W196" s="201"/>
      <c r="X196" s="201"/>
      <c r="Y196" s="201"/>
      <c r="Z196" s="201"/>
    </row>
    <row r="197" ht="12.8" customHeight="1" spans="1:26">
      <c r="A197" s="200"/>
      <c r="B197" s="201"/>
      <c r="C197" s="201"/>
      <c r="D197" s="201"/>
      <c r="E197" s="201"/>
      <c r="F197" s="201"/>
      <c r="G197" s="201"/>
      <c r="H197" s="201"/>
      <c r="I197" s="201"/>
      <c r="J197" s="201"/>
      <c r="K197" s="201"/>
      <c r="L197" s="201"/>
      <c r="M197" s="201"/>
      <c r="N197" s="201"/>
      <c r="O197" s="201"/>
      <c r="P197" s="201"/>
      <c r="Q197" s="201"/>
      <c r="R197" s="201"/>
      <c r="S197" s="201"/>
      <c r="T197" s="201"/>
      <c r="U197" s="201"/>
      <c r="V197" s="201"/>
      <c r="W197" s="201"/>
      <c r="X197" s="201"/>
      <c r="Y197" s="201"/>
      <c r="Z197" s="201"/>
    </row>
    <row r="198" ht="12.8" customHeight="1" spans="1:26">
      <c r="A198" s="200"/>
      <c r="B198" s="201"/>
      <c r="C198" s="201"/>
      <c r="D198" s="201"/>
      <c r="E198" s="201"/>
      <c r="F198" s="201"/>
      <c r="G198" s="201"/>
      <c r="H198" s="201"/>
      <c r="I198" s="201"/>
      <c r="J198" s="201"/>
      <c r="K198" s="201"/>
      <c r="L198" s="201"/>
      <c r="M198" s="201"/>
      <c r="N198" s="201"/>
      <c r="O198" s="201"/>
      <c r="P198" s="201"/>
      <c r="Q198" s="201"/>
      <c r="R198" s="201"/>
      <c r="S198" s="201"/>
      <c r="T198" s="201"/>
      <c r="U198" s="201"/>
      <c r="V198" s="201"/>
      <c r="W198" s="201"/>
      <c r="X198" s="201"/>
      <c r="Y198" s="201"/>
      <c r="Z198" s="201"/>
    </row>
    <row r="199" ht="12.8" customHeight="1" spans="1:26">
      <c r="A199" s="200"/>
      <c r="B199" s="201"/>
      <c r="C199" s="201"/>
      <c r="D199" s="201"/>
      <c r="E199" s="201"/>
      <c r="F199" s="201"/>
      <c r="G199" s="201"/>
      <c r="H199" s="201"/>
      <c r="I199" s="201"/>
      <c r="J199" s="201"/>
      <c r="K199" s="201"/>
      <c r="L199" s="201"/>
      <c r="M199" s="201"/>
      <c r="N199" s="201"/>
      <c r="O199" s="201"/>
      <c r="P199" s="201"/>
      <c r="Q199" s="201"/>
      <c r="R199" s="201"/>
      <c r="S199" s="201"/>
      <c r="T199" s="201"/>
      <c r="U199" s="201"/>
      <c r="V199" s="201"/>
      <c r="W199" s="201"/>
      <c r="X199" s="201"/>
      <c r="Y199" s="201"/>
      <c r="Z199" s="201"/>
    </row>
    <row r="200" ht="12.8" customHeight="1" spans="1:26">
      <c r="A200" s="200"/>
      <c r="B200" s="201"/>
      <c r="C200" s="201"/>
      <c r="D200" s="201"/>
      <c r="E200" s="201"/>
      <c r="F200" s="201"/>
      <c r="G200" s="201"/>
      <c r="H200" s="201"/>
      <c r="I200" s="201"/>
      <c r="J200" s="201"/>
      <c r="K200" s="201"/>
      <c r="L200" s="201"/>
      <c r="M200" s="201"/>
      <c r="N200" s="201"/>
      <c r="O200" s="201"/>
      <c r="P200" s="201"/>
      <c r="Q200" s="201"/>
      <c r="R200" s="201"/>
      <c r="S200" s="201"/>
      <c r="T200" s="201"/>
      <c r="U200" s="201"/>
      <c r="V200" s="201"/>
      <c r="W200" s="201"/>
      <c r="X200" s="201"/>
      <c r="Y200" s="201"/>
      <c r="Z200" s="201"/>
    </row>
    <row r="201" ht="12.8" customHeight="1" spans="1:26">
      <c r="A201" s="200"/>
      <c r="B201" s="201"/>
      <c r="C201" s="201"/>
      <c r="D201" s="201"/>
      <c r="E201" s="201"/>
      <c r="F201" s="201"/>
      <c r="G201" s="201"/>
      <c r="H201" s="201"/>
      <c r="I201" s="201"/>
      <c r="J201" s="201"/>
      <c r="K201" s="201"/>
      <c r="L201" s="201"/>
      <c r="M201" s="201"/>
      <c r="N201" s="201"/>
      <c r="O201" s="201"/>
      <c r="P201" s="201"/>
      <c r="Q201" s="201"/>
      <c r="R201" s="201"/>
      <c r="S201" s="201"/>
      <c r="T201" s="201"/>
      <c r="U201" s="201"/>
      <c r="V201" s="201"/>
      <c r="W201" s="201"/>
      <c r="X201" s="201"/>
      <c r="Y201" s="201"/>
      <c r="Z201" s="201"/>
    </row>
    <row r="202" ht="12.8" customHeight="1" spans="1:26">
      <c r="A202" s="200"/>
      <c r="B202" s="201"/>
      <c r="C202" s="201"/>
      <c r="D202" s="201"/>
      <c r="E202" s="201"/>
      <c r="F202" s="201"/>
      <c r="G202" s="201"/>
      <c r="H202" s="201"/>
      <c r="I202" s="201"/>
      <c r="J202" s="201"/>
      <c r="K202" s="201"/>
      <c r="L202" s="201"/>
      <c r="M202" s="201"/>
      <c r="N202" s="201"/>
      <c r="O202" s="201"/>
      <c r="P202" s="201"/>
      <c r="Q202" s="201"/>
      <c r="R202" s="201"/>
      <c r="S202" s="201"/>
      <c r="T202" s="201"/>
      <c r="U202" s="201"/>
      <c r="V202" s="201"/>
      <c r="W202" s="201"/>
      <c r="X202" s="201"/>
      <c r="Y202" s="201"/>
      <c r="Z202" s="201"/>
    </row>
    <row r="203" ht="12.8" customHeight="1" spans="1:26">
      <c r="A203" s="200"/>
      <c r="B203" s="201"/>
      <c r="C203" s="201"/>
      <c r="D203" s="201"/>
      <c r="E203" s="201"/>
      <c r="F203" s="201"/>
      <c r="G203" s="201"/>
      <c r="H203" s="201"/>
      <c r="I203" s="201"/>
      <c r="J203" s="201"/>
      <c r="K203" s="201"/>
      <c r="L203" s="201"/>
      <c r="M203" s="201"/>
      <c r="N203" s="201"/>
      <c r="O203" s="201"/>
      <c r="P203" s="201"/>
      <c r="Q203" s="201"/>
      <c r="R203" s="201"/>
      <c r="S203" s="201"/>
      <c r="T203" s="201"/>
      <c r="U203" s="201"/>
      <c r="V203" s="201"/>
      <c r="W203" s="201"/>
      <c r="X203" s="201"/>
      <c r="Y203" s="201"/>
      <c r="Z203" s="201"/>
    </row>
    <row r="204" ht="12.8" customHeight="1" spans="1:26">
      <c r="A204" s="200"/>
      <c r="B204" s="201"/>
      <c r="C204" s="201"/>
      <c r="D204" s="201"/>
      <c r="E204" s="201"/>
      <c r="F204" s="201"/>
      <c r="G204" s="201"/>
      <c r="H204" s="201"/>
      <c r="I204" s="201"/>
      <c r="J204" s="201"/>
      <c r="K204" s="201"/>
      <c r="L204" s="201"/>
      <c r="M204" s="201"/>
      <c r="N204" s="201"/>
      <c r="O204" s="201"/>
      <c r="P204" s="201"/>
      <c r="Q204" s="201"/>
      <c r="R204" s="201"/>
      <c r="S204" s="201"/>
      <c r="T204" s="201"/>
      <c r="U204" s="201"/>
      <c r="V204" s="201"/>
      <c r="W204" s="201"/>
      <c r="X204" s="201"/>
      <c r="Y204" s="201"/>
      <c r="Z204" s="201"/>
    </row>
    <row r="205" ht="12.8" customHeight="1" spans="1:26">
      <c r="A205" s="200"/>
      <c r="B205" s="201"/>
      <c r="C205" s="201"/>
      <c r="D205" s="201"/>
      <c r="E205" s="201"/>
      <c r="F205" s="201"/>
      <c r="G205" s="201"/>
      <c r="H205" s="201"/>
      <c r="I205" s="201"/>
      <c r="J205" s="201"/>
      <c r="K205" s="201"/>
      <c r="L205" s="201"/>
      <c r="M205" s="201"/>
      <c r="N205" s="201"/>
      <c r="O205" s="201"/>
      <c r="P205" s="201"/>
      <c r="Q205" s="201"/>
      <c r="R205" s="201"/>
      <c r="S205" s="201"/>
      <c r="T205" s="201"/>
      <c r="U205" s="201"/>
      <c r="V205" s="201"/>
      <c r="W205" s="201"/>
      <c r="X205" s="201"/>
      <c r="Y205" s="201"/>
      <c r="Z205" s="201"/>
    </row>
    <row r="206" ht="12.8" customHeight="1" spans="1:26">
      <c r="A206" s="200"/>
      <c r="B206" s="201"/>
      <c r="C206" s="201"/>
      <c r="D206" s="201"/>
      <c r="E206" s="201"/>
      <c r="F206" s="201"/>
      <c r="G206" s="201"/>
      <c r="H206" s="201"/>
      <c r="I206" s="201"/>
      <c r="J206" s="201"/>
      <c r="K206" s="201"/>
      <c r="L206" s="201"/>
      <c r="M206" s="201"/>
      <c r="N206" s="201"/>
      <c r="O206" s="201"/>
      <c r="P206" s="201"/>
      <c r="Q206" s="201"/>
      <c r="R206" s="201"/>
      <c r="S206" s="201"/>
      <c r="T206" s="201"/>
      <c r="U206" s="201"/>
      <c r="V206" s="201"/>
      <c r="W206" s="201"/>
      <c r="X206" s="201"/>
      <c r="Y206" s="201"/>
      <c r="Z206" s="201"/>
    </row>
    <row r="207" ht="12.8" customHeight="1" spans="1:26">
      <c r="A207" s="200"/>
      <c r="B207" s="201"/>
      <c r="C207" s="201"/>
      <c r="D207" s="201"/>
      <c r="E207" s="201"/>
      <c r="F207" s="201"/>
      <c r="G207" s="201"/>
      <c r="H207" s="201"/>
      <c r="I207" s="201"/>
      <c r="J207" s="201"/>
      <c r="K207" s="201"/>
      <c r="L207" s="201"/>
      <c r="M207" s="201"/>
      <c r="N207" s="201"/>
      <c r="O207" s="201"/>
      <c r="P207" s="201"/>
      <c r="Q207" s="201"/>
      <c r="R207" s="201"/>
      <c r="S207" s="201"/>
      <c r="T207" s="201"/>
      <c r="U207" s="201"/>
      <c r="V207" s="201"/>
      <c r="W207" s="201"/>
      <c r="X207" s="201"/>
      <c r="Y207" s="201"/>
      <c r="Z207" s="201"/>
    </row>
    <row r="208" ht="12.8" customHeight="1" spans="1:26">
      <c r="A208" s="200"/>
      <c r="B208" s="201"/>
      <c r="C208" s="201"/>
      <c r="D208" s="201"/>
      <c r="E208" s="201"/>
      <c r="F208" s="201"/>
      <c r="G208" s="201"/>
      <c r="H208" s="201"/>
      <c r="I208" s="201"/>
      <c r="J208" s="201"/>
      <c r="K208" s="201"/>
      <c r="L208" s="201"/>
      <c r="M208" s="201"/>
      <c r="N208" s="201"/>
      <c r="O208" s="201"/>
      <c r="P208" s="201"/>
      <c r="Q208" s="201"/>
      <c r="R208" s="201"/>
      <c r="S208" s="201"/>
      <c r="T208" s="201"/>
      <c r="U208" s="201"/>
      <c r="V208" s="201"/>
      <c r="W208" s="201"/>
      <c r="X208" s="201"/>
      <c r="Y208" s="201"/>
      <c r="Z208" s="201"/>
    </row>
    <row r="209" ht="12.8" customHeight="1" spans="1:26">
      <c r="A209" s="200"/>
      <c r="B209" s="201"/>
      <c r="C209" s="201"/>
      <c r="D209" s="201"/>
      <c r="E209" s="201"/>
      <c r="F209" s="201"/>
      <c r="G209" s="201"/>
      <c r="H209" s="201"/>
      <c r="I209" s="201"/>
      <c r="J209" s="201"/>
      <c r="K209" s="201"/>
      <c r="L209" s="201"/>
      <c r="M209" s="201"/>
      <c r="N209" s="201"/>
      <c r="O209" s="201"/>
      <c r="P209" s="201"/>
      <c r="Q209" s="201"/>
      <c r="R209" s="201"/>
      <c r="S209" s="201"/>
      <c r="T209" s="201"/>
      <c r="U209" s="201"/>
      <c r="V209" s="201"/>
      <c r="W209" s="201"/>
      <c r="X209" s="201"/>
      <c r="Y209" s="201"/>
      <c r="Z209" s="201"/>
    </row>
    <row r="210" ht="12.8" customHeight="1" spans="1:26">
      <c r="A210" s="200"/>
      <c r="B210" s="201"/>
      <c r="C210" s="201"/>
      <c r="D210" s="201"/>
      <c r="E210" s="201"/>
      <c r="F210" s="201"/>
      <c r="G210" s="201"/>
      <c r="H210" s="201"/>
      <c r="I210" s="201"/>
      <c r="J210" s="201"/>
      <c r="K210" s="201"/>
      <c r="L210" s="201"/>
      <c r="M210" s="201"/>
      <c r="N210" s="201"/>
      <c r="O210" s="201"/>
      <c r="P210" s="201"/>
      <c r="Q210" s="201"/>
      <c r="R210" s="201"/>
      <c r="S210" s="201"/>
      <c r="T210" s="201"/>
      <c r="U210" s="201"/>
      <c r="V210" s="201"/>
      <c r="W210" s="201"/>
      <c r="X210" s="201"/>
      <c r="Y210" s="201"/>
      <c r="Z210" s="201"/>
    </row>
    <row r="211" ht="12.8" customHeight="1" spans="1:26">
      <c r="A211" s="200"/>
      <c r="B211" s="201"/>
      <c r="C211" s="201"/>
      <c r="D211" s="201"/>
      <c r="E211" s="201"/>
      <c r="F211" s="201"/>
      <c r="G211" s="201"/>
      <c r="H211" s="201"/>
      <c r="I211" s="201"/>
      <c r="J211" s="201"/>
      <c r="K211" s="201"/>
      <c r="L211" s="201"/>
      <c r="M211" s="201"/>
      <c r="N211" s="201"/>
      <c r="O211" s="201"/>
      <c r="P211" s="201"/>
      <c r="Q211" s="201"/>
      <c r="R211" s="201"/>
      <c r="S211" s="201"/>
      <c r="T211" s="201"/>
      <c r="U211" s="201"/>
      <c r="V211" s="201"/>
      <c r="W211" s="201"/>
      <c r="X211" s="201"/>
      <c r="Y211" s="201"/>
      <c r="Z211" s="201"/>
    </row>
    <row r="212" ht="12.8" customHeight="1" spans="1:26">
      <c r="A212" s="200"/>
      <c r="B212" s="201"/>
      <c r="C212" s="201"/>
      <c r="D212" s="201"/>
      <c r="E212" s="201"/>
      <c r="F212" s="201"/>
      <c r="G212" s="201"/>
      <c r="H212" s="201"/>
      <c r="I212" s="201"/>
      <c r="J212" s="201"/>
      <c r="K212" s="201"/>
      <c r="L212" s="201"/>
      <c r="M212" s="201"/>
      <c r="N212" s="201"/>
      <c r="O212" s="201"/>
      <c r="P212" s="201"/>
      <c r="Q212" s="201"/>
      <c r="R212" s="201"/>
      <c r="S212" s="201"/>
      <c r="T212" s="201"/>
      <c r="U212" s="201"/>
      <c r="V212" s="201"/>
      <c r="W212" s="201"/>
      <c r="X212" s="201"/>
      <c r="Y212" s="201"/>
      <c r="Z212" s="201"/>
    </row>
    <row r="213" ht="12.8" customHeight="1" spans="1:26">
      <c r="A213" s="200"/>
      <c r="B213" s="201"/>
      <c r="C213" s="201"/>
      <c r="D213" s="201"/>
      <c r="E213" s="201"/>
      <c r="F213" s="201"/>
      <c r="G213" s="201"/>
      <c r="H213" s="201"/>
      <c r="I213" s="201"/>
      <c r="J213" s="201"/>
      <c r="K213" s="201"/>
      <c r="L213" s="201"/>
      <c r="M213" s="201"/>
      <c r="N213" s="201"/>
      <c r="O213" s="201"/>
      <c r="P213" s="201"/>
      <c r="Q213" s="201"/>
      <c r="R213" s="201"/>
      <c r="S213" s="201"/>
      <c r="T213" s="201"/>
      <c r="U213" s="201"/>
      <c r="V213" s="201"/>
      <c r="W213" s="201"/>
      <c r="X213" s="201"/>
      <c r="Y213" s="201"/>
      <c r="Z213" s="201"/>
    </row>
    <row r="214" ht="12.8" customHeight="1" spans="1:26">
      <c r="A214" s="200"/>
      <c r="B214" s="201"/>
      <c r="C214" s="201"/>
      <c r="D214" s="201"/>
      <c r="E214" s="201"/>
      <c r="F214" s="201"/>
      <c r="G214" s="201"/>
      <c r="H214" s="201"/>
      <c r="I214" s="201"/>
      <c r="J214" s="201"/>
      <c r="K214" s="201"/>
      <c r="L214" s="201"/>
      <c r="M214" s="201"/>
      <c r="N214" s="201"/>
      <c r="O214" s="201"/>
      <c r="P214" s="201"/>
      <c r="Q214" s="201"/>
      <c r="R214" s="201"/>
      <c r="S214" s="201"/>
      <c r="T214" s="201"/>
      <c r="U214" s="201"/>
      <c r="V214" s="201"/>
      <c r="W214" s="201"/>
      <c r="X214" s="201"/>
      <c r="Y214" s="201"/>
      <c r="Z214" s="201"/>
    </row>
    <row r="215" ht="12.8" customHeight="1" spans="1:26">
      <c r="A215" s="200"/>
      <c r="B215" s="201"/>
      <c r="C215" s="201"/>
      <c r="D215" s="201"/>
      <c r="E215" s="201"/>
      <c r="F215" s="201"/>
      <c r="G215" s="201"/>
      <c r="H215" s="201"/>
      <c r="I215" s="201"/>
      <c r="J215" s="201"/>
      <c r="K215" s="201"/>
      <c r="L215" s="201"/>
      <c r="M215" s="201"/>
      <c r="N215" s="201"/>
      <c r="O215" s="201"/>
      <c r="P215" s="201"/>
      <c r="Q215" s="201"/>
      <c r="R215" s="201"/>
      <c r="S215" s="201"/>
      <c r="T215" s="201"/>
      <c r="U215" s="201"/>
      <c r="V215" s="201"/>
      <c r="W215" s="201"/>
      <c r="X215" s="201"/>
      <c r="Y215" s="201"/>
      <c r="Z215" s="201"/>
    </row>
    <row r="216" ht="12.8" customHeight="1" spans="1:26">
      <c r="A216" s="200"/>
      <c r="B216" s="201"/>
      <c r="C216" s="201"/>
      <c r="D216" s="201"/>
      <c r="E216" s="201"/>
      <c r="F216" s="201"/>
      <c r="G216" s="201"/>
      <c r="H216" s="201"/>
      <c r="I216" s="201"/>
      <c r="J216" s="201"/>
      <c r="K216" s="201"/>
      <c r="L216" s="201"/>
      <c r="M216" s="201"/>
      <c r="N216" s="201"/>
      <c r="O216" s="201"/>
      <c r="P216" s="201"/>
      <c r="Q216" s="201"/>
      <c r="R216" s="201"/>
      <c r="S216" s="201"/>
      <c r="T216" s="201"/>
      <c r="U216" s="201"/>
      <c r="V216" s="201"/>
      <c r="W216" s="201"/>
      <c r="X216" s="201"/>
      <c r="Y216" s="201"/>
      <c r="Z216" s="201"/>
    </row>
    <row r="217" ht="12.8" customHeight="1" spans="1:26">
      <c r="A217" s="200"/>
      <c r="B217" s="201"/>
      <c r="C217" s="201"/>
      <c r="D217" s="201"/>
      <c r="E217" s="201"/>
      <c r="F217" s="201"/>
      <c r="G217" s="201"/>
      <c r="H217" s="201"/>
      <c r="I217" s="201"/>
      <c r="J217" s="201"/>
      <c r="K217" s="201"/>
      <c r="L217" s="201"/>
      <c r="M217" s="201"/>
      <c r="N217" s="201"/>
      <c r="O217" s="201"/>
      <c r="P217" s="201"/>
      <c r="Q217" s="201"/>
      <c r="R217" s="201"/>
      <c r="S217" s="201"/>
      <c r="T217" s="201"/>
      <c r="U217" s="201"/>
      <c r="V217" s="201"/>
      <c r="W217" s="201"/>
      <c r="X217" s="201"/>
      <c r="Y217" s="201"/>
      <c r="Z217" s="201"/>
    </row>
    <row r="218" ht="12.8" customHeight="1" spans="1:26">
      <c r="A218" s="200"/>
      <c r="B218" s="201"/>
      <c r="C218" s="201"/>
      <c r="D218" s="201"/>
      <c r="E218" s="201"/>
      <c r="F218" s="201"/>
      <c r="G218" s="201"/>
      <c r="H218" s="201"/>
      <c r="I218" s="201"/>
      <c r="J218" s="201"/>
      <c r="K218" s="201"/>
      <c r="L218" s="201"/>
      <c r="M218" s="201"/>
      <c r="N218" s="201"/>
      <c r="O218" s="201"/>
      <c r="P218" s="201"/>
      <c r="Q218" s="201"/>
      <c r="R218" s="201"/>
      <c r="S218" s="201"/>
      <c r="T218" s="201"/>
      <c r="U218" s="201"/>
      <c r="V218" s="201"/>
      <c r="W218" s="201"/>
      <c r="X218" s="201"/>
      <c r="Y218" s="201"/>
      <c r="Z218" s="201"/>
    </row>
    <row r="219" ht="12.8" customHeight="1" spans="1:26">
      <c r="A219" s="200"/>
      <c r="B219" s="201"/>
      <c r="C219" s="201"/>
      <c r="D219" s="201"/>
      <c r="E219" s="201"/>
      <c r="F219" s="201"/>
      <c r="G219" s="201"/>
      <c r="H219" s="201"/>
      <c r="I219" s="201"/>
      <c r="J219" s="201"/>
      <c r="K219" s="201"/>
      <c r="L219" s="201"/>
      <c r="M219" s="201"/>
      <c r="N219" s="201"/>
      <c r="O219" s="201"/>
      <c r="P219" s="201"/>
      <c r="Q219" s="201"/>
      <c r="R219" s="201"/>
      <c r="S219" s="201"/>
      <c r="T219" s="201"/>
      <c r="U219" s="201"/>
      <c r="V219" s="201"/>
      <c r="W219" s="201"/>
      <c r="X219" s="201"/>
      <c r="Y219" s="201"/>
      <c r="Z219" s="201"/>
    </row>
    <row r="220" ht="12.8" customHeight="1" spans="1:26">
      <c r="A220" s="200"/>
      <c r="B220" s="201"/>
      <c r="C220" s="201"/>
      <c r="D220" s="201"/>
      <c r="E220" s="201"/>
      <c r="F220" s="201"/>
      <c r="G220" s="201"/>
      <c r="H220" s="201"/>
      <c r="I220" s="201"/>
      <c r="J220" s="201"/>
      <c r="K220" s="201"/>
      <c r="L220" s="201"/>
      <c r="M220" s="201"/>
      <c r="N220" s="201"/>
      <c r="O220" s="201"/>
      <c r="P220" s="201"/>
      <c r="Q220" s="201"/>
      <c r="R220" s="201"/>
      <c r="S220" s="201"/>
      <c r="T220" s="201"/>
      <c r="U220" s="201"/>
      <c r="V220" s="201"/>
      <c r="W220" s="201"/>
      <c r="X220" s="201"/>
      <c r="Y220" s="201"/>
      <c r="Z220" s="201"/>
    </row>
    <row r="221" ht="12.8" customHeight="1" spans="1:26">
      <c r="A221" s="200"/>
      <c r="B221" s="201"/>
      <c r="C221" s="201"/>
      <c r="D221" s="201"/>
      <c r="E221" s="201"/>
      <c r="F221" s="201"/>
      <c r="G221" s="201"/>
      <c r="H221" s="201"/>
      <c r="I221" s="201"/>
      <c r="J221" s="201"/>
      <c r="K221" s="201"/>
      <c r="L221" s="201"/>
      <c r="M221" s="201"/>
      <c r="N221" s="201"/>
      <c r="O221" s="201"/>
      <c r="P221" s="201"/>
      <c r="Q221" s="201"/>
      <c r="R221" s="201"/>
      <c r="S221" s="201"/>
      <c r="T221" s="201"/>
      <c r="U221" s="201"/>
      <c r="V221" s="201"/>
      <c r="W221" s="201"/>
      <c r="X221" s="201"/>
      <c r="Y221" s="201"/>
      <c r="Z221" s="201"/>
    </row>
    <row r="222" ht="12.8" customHeight="1" spans="1:26">
      <c r="A222" s="200"/>
      <c r="B222" s="201"/>
      <c r="C222" s="201"/>
      <c r="D222" s="201"/>
      <c r="E222" s="201"/>
      <c r="F222" s="201"/>
      <c r="G222" s="201"/>
      <c r="H222" s="201"/>
      <c r="I222" s="201"/>
      <c r="J222" s="201"/>
      <c r="K222" s="201"/>
      <c r="L222" s="201"/>
      <c r="M222" s="201"/>
      <c r="N222" s="201"/>
      <c r="O222" s="201"/>
      <c r="P222" s="201"/>
      <c r="Q222" s="201"/>
      <c r="R222" s="201"/>
      <c r="S222" s="201"/>
      <c r="T222" s="201"/>
      <c r="U222" s="201"/>
      <c r="V222" s="201"/>
      <c r="W222" s="201"/>
      <c r="X222" s="201"/>
      <c r="Y222" s="201"/>
      <c r="Z222" s="201"/>
    </row>
    <row r="223" ht="12.8" customHeight="1" spans="1:26">
      <c r="A223" s="200"/>
      <c r="B223" s="201"/>
      <c r="C223" s="201"/>
      <c r="D223" s="201"/>
      <c r="E223" s="201"/>
      <c r="F223" s="201"/>
      <c r="G223" s="201"/>
      <c r="H223" s="201"/>
      <c r="I223" s="201"/>
      <c r="J223" s="201"/>
      <c r="K223" s="201"/>
      <c r="L223" s="201"/>
      <c r="M223" s="201"/>
      <c r="N223" s="201"/>
      <c r="O223" s="201"/>
      <c r="P223" s="201"/>
      <c r="Q223" s="201"/>
      <c r="R223" s="201"/>
      <c r="S223" s="201"/>
      <c r="T223" s="201"/>
      <c r="U223" s="201"/>
      <c r="V223" s="201"/>
      <c r="W223" s="201"/>
      <c r="X223" s="201"/>
      <c r="Y223" s="201"/>
      <c r="Z223" s="201"/>
    </row>
    <row r="224" ht="12.8" customHeight="1" spans="1:26">
      <c r="A224" s="200"/>
      <c r="B224" s="201"/>
      <c r="C224" s="201"/>
      <c r="D224" s="201"/>
      <c r="E224" s="201"/>
      <c r="F224" s="201"/>
      <c r="G224" s="201"/>
      <c r="H224" s="201"/>
      <c r="I224" s="201"/>
      <c r="J224" s="201"/>
      <c r="K224" s="201"/>
      <c r="L224" s="201"/>
      <c r="M224" s="201"/>
      <c r="N224" s="201"/>
      <c r="O224" s="201"/>
      <c r="P224" s="201"/>
      <c r="Q224" s="201"/>
      <c r="R224" s="201"/>
      <c r="S224" s="201"/>
      <c r="T224" s="201"/>
      <c r="U224" s="201"/>
      <c r="V224" s="201"/>
      <c r="W224" s="201"/>
      <c r="X224" s="201"/>
      <c r="Y224" s="201"/>
      <c r="Z224" s="201"/>
    </row>
    <row r="225" ht="12.8" customHeight="1" spans="1:26">
      <c r="A225" s="200"/>
      <c r="B225" s="201"/>
      <c r="C225" s="201"/>
      <c r="D225" s="201"/>
      <c r="E225" s="201"/>
      <c r="F225" s="201"/>
      <c r="G225" s="201"/>
      <c r="H225" s="201"/>
      <c r="I225" s="201"/>
      <c r="J225" s="201"/>
      <c r="K225" s="201"/>
      <c r="L225" s="201"/>
      <c r="M225" s="201"/>
      <c r="N225" s="201"/>
      <c r="O225" s="201"/>
      <c r="P225" s="201"/>
      <c r="Q225" s="201"/>
      <c r="R225" s="201"/>
      <c r="S225" s="201"/>
      <c r="T225" s="201"/>
      <c r="U225" s="201"/>
      <c r="V225" s="201"/>
      <c r="W225" s="201"/>
      <c r="X225" s="201"/>
      <c r="Y225" s="201"/>
      <c r="Z225" s="201"/>
    </row>
    <row r="226" ht="12.8" customHeight="1" spans="1:26">
      <c r="A226" s="200"/>
      <c r="B226" s="201"/>
      <c r="C226" s="201"/>
      <c r="D226" s="201"/>
      <c r="E226" s="201"/>
      <c r="F226" s="201"/>
      <c r="G226" s="201"/>
      <c r="H226" s="201"/>
      <c r="I226" s="201"/>
      <c r="J226" s="201"/>
      <c r="K226" s="201"/>
      <c r="L226" s="201"/>
      <c r="M226" s="201"/>
      <c r="N226" s="201"/>
      <c r="O226" s="201"/>
      <c r="P226" s="201"/>
      <c r="Q226" s="201"/>
      <c r="R226" s="201"/>
      <c r="S226" s="201"/>
      <c r="T226" s="201"/>
      <c r="U226" s="201"/>
      <c r="V226" s="201"/>
      <c r="W226" s="201"/>
      <c r="X226" s="201"/>
      <c r="Y226" s="201"/>
      <c r="Z226" s="201"/>
    </row>
    <row r="227" ht="12.8" customHeight="1" spans="1:26">
      <c r="A227" s="200"/>
      <c r="B227" s="201"/>
      <c r="C227" s="201"/>
      <c r="D227" s="201"/>
      <c r="E227" s="201"/>
      <c r="F227" s="201"/>
      <c r="G227" s="201"/>
      <c r="H227" s="201"/>
      <c r="I227" s="201"/>
      <c r="J227" s="201"/>
      <c r="K227" s="201"/>
      <c r="L227" s="201"/>
      <c r="M227" s="201"/>
      <c r="N227" s="201"/>
      <c r="O227" s="201"/>
      <c r="P227" s="201"/>
      <c r="Q227" s="201"/>
      <c r="R227" s="201"/>
      <c r="S227" s="201"/>
      <c r="T227" s="201"/>
      <c r="U227" s="201"/>
      <c r="V227" s="201"/>
      <c r="W227" s="201"/>
      <c r="X227" s="201"/>
      <c r="Y227" s="201"/>
      <c r="Z227" s="201"/>
    </row>
    <row r="228" ht="12.8" customHeight="1" spans="1:26">
      <c r="A228" s="200"/>
      <c r="B228" s="201"/>
      <c r="C228" s="201"/>
      <c r="D228" s="201"/>
      <c r="E228" s="201"/>
      <c r="F228" s="201"/>
      <c r="G228" s="201"/>
      <c r="H228" s="201"/>
      <c r="I228" s="201"/>
      <c r="J228" s="201"/>
      <c r="K228" s="201"/>
      <c r="L228" s="201"/>
      <c r="M228" s="201"/>
      <c r="N228" s="201"/>
      <c r="O228" s="201"/>
      <c r="P228" s="201"/>
      <c r="Q228" s="201"/>
      <c r="R228" s="201"/>
      <c r="S228" s="201"/>
      <c r="T228" s="201"/>
      <c r="U228" s="201"/>
      <c r="V228" s="201"/>
      <c r="W228" s="201"/>
      <c r="X228" s="201"/>
      <c r="Y228" s="201"/>
      <c r="Z228" s="201"/>
    </row>
    <row r="229" ht="12.8" customHeight="1" spans="1:26">
      <c r="A229" s="200"/>
      <c r="B229" s="201"/>
      <c r="C229" s="201"/>
      <c r="D229" s="201"/>
      <c r="E229" s="201"/>
      <c r="F229" s="201"/>
      <c r="G229" s="201"/>
      <c r="H229" s="201"/>
      <c r="I229" s="201"/>
      <c r="J229" s="201"/>
      <c r="K229" s="201"/>
      <c r="L229" s="201"/>
      <c r="M229" s="201"/>
      <c r="N229" s="201"/>
      <c r="O229" s="201"/>
      <c r="P229" s="201"/>
      <c r="Q229" s="201"/>
      <c r="R229" s="201"/>
      <c r="S229" s="201"/>
      <c r="T229" s="201"/>
      <c r="U229" s="201"/>
      <c r="V229" s="201"/>
      <c r="W229" s="201"/>
      <c r="X229" s="201"/>
      <c r="Y229" s="201"/>
      <c r="Z229" s="201"/>
    </row>
    <row r="230" ht="12.8" customHeight="1" spans="1:26">
      <c r="A230" s="200"/>
      <c r="B230" s="201"/>
      <c r="C230" s="201"/>
      <c r="D230" s="201"/>
      <c r="E230" s="201"/>
      <c r="F230" s="201"/>
      <c r="G230" s="201"/>
      <c r="H230" s="201"/>
      <c r="I230" s="201"/>
      <c r="J230" s="201"/>
      <c r="K230" s="201"/>
      <c r="L230" s="201"/>
      <c r="M230" s="201"/>
      <c r="N230" s="201"/>
      <c r="O230" s="201"/>
      <c r="P230" s="201"/>
      <c r="Q230" s="201"/>
      <c r="R230" s="201"/>
      <c r="S230" s="201"/>
      <c r="T230" s="201"/>
      <c r="U230" s="201"/>
      <c r="V230" s="201"/>
      <c r="W230" s="201"/>
      <c r="X230" s="201"/>
      <c r="Y230" s="201"/>
      <c r="Z230" s="201"/>
    </row>
    <row r="231" ht="12.8" customHeight="1" spans="1:26">
      <c r="A231" s="200"/>
      <c r="B231" s="201"/>
      <c r="C231" s="201"/>
      <c r="D231" s="201"/>
      <c r="E231" s="201"/>
      <c r="F231" s="201"/>
      <c r="G231" s="201"/>
      <c r="H231" s="201"/>
      <c r="I231" s="201"/>
      <c r="J231" s="201"/>
      <c r="K231" s="201"/>
      <c r="L231" s="201"/>
      <c r="M231" s="201"/>
      <c r="N231" s="201"/>
      <c r="O231" s="201"/>
      <c r="P231" s="201"/>
      <c r="Q231" s="201"/>
      <c r="R231" s="201"/>
      <c r="S231" s="201"/>
      <c r="T231" s="201"/>
      <c r="U231" s="201"/>
      <c r="V231" s="201"/>
      <c r="W231" s="201"/>
      <c r="X231" s="201"/>
      <c r="Y231" s="201"/>
      <c r="Z231" s="201"/>
    </row>
    <row r="232" ht="12.8" customHeight="1" spans="1:26">
      <c r="A232" s="200"/>
      <c r="B232" s="201"/>
      <c r="C232" s="201"/>
      <c r="D232" s="201"/>
      <c r="E232" s="201"/>
      <c r="F232" s="201"/>
      <c r="G232" s="201"/>
      <c r="H232" s="201"/>
      <c r="I232" s="201"/>
      <c r="J232" s="201"/>
      <c r="K232" s="201"/>
      <c r="L232" s="201"/>
      <c r="M232" s="201"/>
      <c r="N232" s="201"/>
      <c r="O232" s="201"/>
      <c r="P232" s="201"/>
      <c r="Q232" s="201"/>
      <c r="R232" s="201"/>
      <c r="S232" s="201"/>
      <c r="T232" s="201"/>
      <c r="U232" s="201"/>
      <c r="V232" s="201"/>
      <c r="W232" s="201"/>
      <c r="X232" s="201"/>
      <c r="Y232" s="201"/>
      <c r="Z232" s="201"/>
    </row>
    <row r="233" ht="12.8" customHeight="1" spans="1:26">
      <c r="A233" s="200"/>
      <c r="B233" s="201"/>
      <c r="C233" s="201"/>
      <c r="D233" s="201"/>
      <c r="E233" s="201"/>
      <c r="F233" s="201"/>
      <c r="G233" s="201"/>
      <c r="H233" s="201"/>
      <c r="I233" s="201"/>
      <c r="J233" s="201"/>
      <c r="K233" s="201"/>
      <c r="L233" s="201"/>
      <c r="M233" s="201"/>
      <c r="N233" s="201"/>
      <c r="O233" s="201"/>
      <c r="P233" s="201"/>
      <c r="Q233" s="201"/>
      <c r="R233" s="201"/>
      <c r="S233" s="201"/>
      <c r="T233" s="201"/>
      <c r="U233" s="201"/>
      <c r="V233" s="201"/>
      <c r="W233" s="201"/>
      <c r="X233" s="201"/>
      <c r="Y233" s="201"/>
      <c r="Z233" s="201"/>
    </row>
    <row r="234" ht="12.8" customHeight="1" spans="1:26">
      <c r="A234" s="200"/>
      <c r="B234" s="201"/>
      <c r="C234" s="201"/>
      <c r="D234" s="201"/>
      <c r="E234" s="201"/>
      <c r="F234" s="201"/>
      <c r="G234" s="201"/>
      <c r="H234" s="201"/>
      <c r="I234" s="201"/>
      <c r="J234" s="201"/>
      <c r="K234" s="201"/>
      <c r="L234" s="201"/>
      <c r="M234" s="201"/>
      <c r="N234" s="201"/>
      <c r="O234" s="201"/>
      <c r="P234" s="201"/>
      <c r="Q234" s="201"/>
      <c r="R234" s="201"/>
      <c r="S234" s="201"/>
      <c r="T234" s="201"/>
      <c r="U234" s="201"/>
      <c r="V234" s="201"/>
      <c r="W234" s="201"/>
      <c r="X234" s="201"/>
      <c r="Y234" s="201"/>
      <c r="Z234" s="201"/>
    </row>
    <row r="235" ht="12.8" customHeight="1" spans="1:26">
      <c r="A235" s="200"/>
      <c r="B235" s="201"/>
      <c r="C235" s="201"/>
      <c r="D235" s="201"/>
      <c r="E235" s="201"/>
      <c r="F235" s="201"/>
      <c r="G235" s="201"/>
      <c r="H235" s="201"/>
      <c r="I235" s="201"/>
      <c r="J235" s="201"/>
      <c r="K235" s="201"/>
      <c r="L235" s="201"/>
      <c r="M235" s="201"/>
      <c r="N235" s="201"/>
      <c r="O235" s="201"/>
      <c r="P235" s="201"/>
      <c r="Q235" s="201"/>
      <c r="R235" s="201"/>
      <c r="S235" s="201"/>
      <c r="T235" s="201"/>
      <c r="U235" s="201"/>
      <c r="V235" s="201"/>
      <c r="W235" s="201"/>
      <c r="X235" s="201"/>
      <c r="Y235" s="201"/>
      <c r="Z235" s="201"/>
    </row>
    <row r="236" ht="12.8" customHeight="1" spans="1:26">
      <c r="A236" s="200"/>
      <c r="B236" s="201"/>
      <c r="C236" s="201"/>
      <c r="D236" s="201"/>
      <c r="E236" s="201"/>
      <c r="F236" s="201"/>
      <c r="G236" s="201"/>
      <c r="H236" s="201"/>
      <c r="I236" s="201"/>
      <c r="J236" s="201"/>
      <c r="K236" s="201"/>
      <c r="L236" s="201"/>
      <c r="M236" s="201"/>
      <c r="N236" s="201"/>
      <c r="O236" s="201"/>
      <c r="P236" s="201"/>
      <c r="Q236" s="201"/>
      <c r="R236" s="201"/>
      <c r="S236" s="201"/>
      <c r="T236" s="201"/>
      <c r="U236" s="201"/>
      <c r="V236" s="201"/>
      <c r="W236" s="201"/>
      <c r="X236" s="201"/>
      <c r="Y236" s="201"/>
      <c r="Z236" s="201"/>
    </row>
    <row r="237" ht="12.8" customHeight="1" spans="1:26">
      <c r="A237" s="200"/>
      <c r="B237" s="201"/>
      <c r="C237" s="201"/>
      <c r="D237" s="201"/>
      <c r="E237" s="201"/>
      <c r="F237" s="201"/>
      <c r="G237" s="201"/>
      <c r="H237" s="201"/>
      <c r="I237" s="201"/>
      <c r="J237" s="201"/>
      <c r="K237" s="201"/>
      <c r="L237" s="201"/>
      <c r="M237" s="201"/>
      <c r="N237" s="201"/>
      <c r="O237" s="201"/>
      <c r="P237" s="201"/>
      <c r="Q237" s="201"/>
      <c r="R237" s="201"/>
      <c r="S237" s="201"/>
      <c r="T237" s="201"/>
      <c r="U237" s="201"/>
      <c r="V237" s="201"/>
      <c r="W237" s="201"/>
      <c r="X237" s="201"/>
      <c r="Y237" s="201"/>
      <c r="Z237" s="201"/>
    </row>
    <row r="238" ht="12.8" customHeight="1" spans="1:26">
      <c r="A238" s="200"/>
      <c r="B238" s="201"/>
      <c r="C238" s="201"/>
      <c r="D238" s="201"/>
      <c r="E238" s="201"/>
      <c r="F238" s="201"/>
      <c r="G238" s="201"/>
      <c r="H238" s="201"/>
      <c r="I238" s="201"/>
      <c r="J238" s="201"/>
      <c r="K238" s="201"/>
      <c r="L238" s="201"/>
      <c r="M238" s="201"/>
      <c r="N238" s="201"/>
      <c r="O238" s="201"/>
      <c r="P238" s="201"/>
      <c r="Q238" s="201"/>
      <c r="R238" s="201"/>
      <c r="S238" s="201"/>
      <c r="T238" s="201"/>
      <c r="U238" s="201"/>
      <c r="V238" s="201"/>
      <c r="W238" s="201"/>
      <c r="X238" s="201"/>
      <c r="Y238" s="201"/>
      <c r="Z238" s="201"/>
    </row>
    <row r="239" ht="12.8" customHeight="1" spans="1:26">
      <c r="A239" s="200"/>
      <c r="B239" s="201"/>
      <c r="C239" s="201"/>
      <c r="D239" s="201"/>
      <c r="E239" s="201"/>
      <c r="F239" s="201"/>
      <c r="G239" s="201"/>
      <c r="H239" s="201"/>
      <c r="I239" s="201"/>
      <c r="J239" s="201"/>
      <c r="K239" s="201"/>
      <c r="L239" s="201"/>
      <c r="M239" s="201"/>
      <c r="N239" s="201"/>
      <c r="O239" s="201"/>
      <c r="P239" s="201"/>
      <c r="Q239" s="201"/>
      <c r="R239" s="201"/>
      <c r="S239" s="201"/>
      <c r="T239" s="201"/>
      <c r="U239" s="201"/>
      <c r="V239" s="201"/>
      <c r="W239" s="201"/>
      <c r="X239" s="201"/>
      <c r="Y239" s="201"/>
      <c r="Z239" s="201"/>
    </row>
    <row r="240" ht="12.8" customHeight="1" spans="1:26">
      <c r="A240" s="200"/>
      <c r="B240" s="201"/>
      <c r="C240" s="201"/>
      <c r="D240" s="201"/>
      <c r="E240" s="201"/>
      <c r="F240" s="201"/>
      <c r="G240" s="201"/>
      <c r="H240" s="201"/>
      <c r="I240" s="201"/>
      <c r="J240" s="201"/>
      <c r="K240" s="201"/>
      <c r="L240" s="201"/>
      <c r="M240" s="201"/>
      <c r="N240" s="201"/>
      <c r="O240" s="201"/>
      <c r="P240" s="201"/>
      <c r="Q240" s="201"/>
      <c r="R240" s="201"/>
      <c r="S240" s="201"/>
      <c r="T240" s="201"/>
      <c r="U240" s="201"/>
      <c r="V240" s="201"/>
      <c r="W240" s="201"/>
      <c r="X240" s="201"/>
      <c r="Y240" s="201"/>
      <c r="Z240" s="201"/>
    </row>
    <row r="241" ht="12.8" customHeight="1" spans="1:26">
      <c r="A241" s="200"/>
      <c r="B241" s="201"/>
      <c r="C241" s="201"/>
      <c r="D241" s="201"/>
      <c r="E241" s="201"/>
      <c r="F241" s="201"/>
      <c r="G241" s="201"/>
      <c r="H241" s="201"/>
      <c r="I241" s="201"/>
      <c r="J241" s="201"/>
      <c r="K241" s="201"/>
      <c r="L241" s="201"/>
      <c r="M241" s="201"/>
      <c r="N241" s="201"/>
      <c r="O241" s="201"/>
      <c r="P241" s="201"/>
      <c r="Q241" s="201"/>
      <c r="R241" s="201"/>
      <c r="S241" s="201"/>
      <c r="T241" s="201"/>
      <c r="U241" s="201"/>
      <c r="V241" s="201"/>
      <c r="W241" s="201"/>
      <c r="X241" s="201"/>
      <c r="Y241" s="201"/>
      <c r="Z241" s="201"/>
    </row>
    <row r="242" ht="12.8" customHeight="1" spans="1:26">
      <c r="A242" s="200"/>
      <c r="B242" s="201"/>
      <c r="C242" s="201"/>
      <c r="D242" s="201"/>
      <c r="E242" s="201"/>
      <c r="F242" s="201"/>
      <c r="G242" s="201"/>
      <c r="H242" s="201"/>
      <c r="I242" s="201"/>
      <c r="J242" s="201"/>
      <c r="K242" s="201"/>
      <c r="L242" s="201"/>
      <c r="M242" s="201"/>
      <c r="N242" s="201"/>
      <c r="O242" s="201"/>
      <c r="P242" s="201"/>
      <c r="Q242" s="201"/>
      <c r="R242" s="201"/>
      <c r="S242" s="201"/>
      <c r="T242" s="201"/>
      <c r="U242" s="201"/>
      <c r="V242" s="201"/>
      <c r="W242" s="201"/>
      <c r="X242" s="201"/>
      <c r="Y242" s="201"/>
      <c r="Z242" s="201"/>
    </row>
    <row r="243" ht="12.8" customHeight="1" spans="1:26">
      <c r="A243" s="200"/>
      <c r="B243" s="201"/>
      <c r="C243" s="201"/>
      <c r="D243" s="201"/>
      <c r="E243" s="201"/>
      <c r="F243" s="201"/>
      <c r="G243" s="201"/>
      <c r="H243" s="201"/>
      <c r="I243" s="201"/>
      <c r="J243" s="201"/>
      <c r="K243" s="201"/>
      <c r="L243" s="201"/>
      <c r="M243" s="201"/>
      <c r="N243" s="201"/>
      <c r="O243" s="201"/>
      <c r="P243" s="201"/>
      <c r="Q243" s="201"/>
      <c r="R243" s="201"/>
      <c r="S243" s="201"/>
      <c r="T243" s="201"/>
      <c r="U243" s="201"/>
      <c r="V243" s="201"/>
      <c r="W243" s="201"/>
      <c r="X243" s="201"/>
      <c r="Y243" s="201"/>
      <c r="Z243" s="201"/>
    </row>
    <row r="244" ht="12.8" customHeight="1" spans="1:26">
      <c r="A244" s="200"/>
      <c r="B244" s="201"/>
      <c r="C244" s="201"/>
      <c r="D244" s="201"/>
      <c r="E244" s="201"/>
      <c r="F244" s="201"/>
      <c r="G244" s="201"/>
      <c r="H244" s="201"/>
      <c r="I244" s="201"/>
      <c r="J244" s="201"/>
      <c r="K244" s="201"/>
      <c r="L244" s="201"/>
      <c r="M244" s="201"/>
      <c r="N244" s="201"/>
      <c r="O244" s="201"/>
      <c r="P244" s="201"/>
      <c r="Q244" s="201"/>
      <c r="R244" s="201"/>
      <c r="S244" s="201"/>
      <c r="T244" s="201"/>
      <c r="U244" s="201"/>
      <c r="V244" s="201"/>
      <c r="W244" s="201"/>
      <c r="X244" s="201"/>
      <c r="Y244" s="201"/>
      <c r="Z244" s="201"/>
    </row>
    <row r="245" ht="12.8" customHeight="1" spans="1:26">
      <c r="A245" s="200"/>
      <c r="B245" s="201"/>
      <c r="C245" s="201"/>
      <c r="D245" s="201"/>
      <c r="E245" s="201"/>
      <c r="F245" s="201"/>
      <c r="G245" s="201"/>
      <c r="H245" s="201"/>
      <c r="I245" s="201"/>
      <c r="J245" s="201"/>
      <c r="K245" s="201"/>
      <c r="L245" s="201"/>
      <c r="M245" s="201"/>
      <c r="N245" s="201"/>
      <c r="O245" s="201"/>
      <c r="P245" s="201"/>
      <c r="Q245" s="201"/>
      <c r="R245" s="201"/>
      <c r="S245" s="201"/>
      <c r="T245" s="201"/>
      <c r="U245" s="201"/>
      <c r="V245" s="201"/>
      <c r="W245" s="201"/>
      <c r="X245" s="201"/>
      <c r="Y245" s="201"/>
      <c r="Z245" s="201"/>
    </row>
    <row r="246" ht="12.8" customHeight="1" spans="1:26">
      <c r="A246" s="200"/>
      <c r="B246" s="201"/>
      <c r="C246" s="201"/>
      <c r="D246" s="201"/>
      <c r="E246" s="201"/>
      <c r="F246" s="201"/>
      <c r="G246" s="201"/>
      <c r="H246" s="201"/>
      <c r="I246" s="201"/>
      <c r="J246" s="201"/>
      <c r="K246" s="201"/>
      <c r="L246" s="201"/>
      <c r="M246" s="201"/>
      <c r="N246" s="201"/>
      <c r="O246" s="201"/>
      <c r="P246" s="201"/>
      <c r="Q246" s="201"/>
      <c r="R246" s="201"/>
      <c r="S246" s="201"/>
      <c r="T246" s="201"/>
      <c r="U246" s="201"/>
      <c r="V246" s="201"/>
      <c r="W246" s="201"/>
      <c r="X246" s="201"/>
      <c r="Y246" s="201"/>
      <c r="Z246" s="201"/>
    </row>
    <row r="247" ht="12.8" customHeight="1" spans="1:26">
      <c r="A247" s="200"/>
      <c r="B247" s="201"/>
      <c r="C247" s="201"/>
      <c r="D247" s="201"/>
      <c r="E247" s="201"/>
      <c r="F247" s="201"/>
      <c r="G247" s="201"/>
      <c r="H247" s="201"/>
      <c r="I247" s="201"/>
      <c r="J247" s="201"/>
      <c r="K247" s="201"/>
      <c r="L247" s="201"/>
      <c r="M247" s="201"/>
      <c r="N247" s="201"/>
      <c r="O247" s="201"/>
      <c r="P247" s="201"/>
      <c r="Q247" s="201"/>
      <c r="R247" s="201"/>
      <c r="S247" s="201"/>
      <c r="T247" s="201"/>
      <c r="U247" s="201"/>
      <c r="V247" s="201"/>
      <c r="W247" s="201"/>
      <c r="X247" s="201"/>
      <c r="Y247" s="201"/>
      <c r="Z247" s="201"/>
    </row>
    <row r="248" ht="12.8" customHeight="1" spans="1:26">
      <c r="A248" s="200"/>
      <c r="B248" s="201"/>
      <c r="C248" s="201"/>
      <c r="D248" s="201"/>
      <c r="E248" s="201"/>
      <c r="F248" s="201"/>
      <c r="G248" s="201"/>
      <c r="H248" s="201"/>
      <c r="I248" s="201"/>
      <c r="J248" s="201"/>
      <c r="K248" s="201"/>
      <c r="L248" s="201"/>
      <c r="M248" s="201"/>
      <c r="N248" s="201"/>
      <c r="O248" s="201"/>
      <c r="P248" s="201"/>
      <c r="Q248" s="201"/>
      <c r="R248" s="201"/>
      <c r="S248" s="201"/>
      <c r="T248" s="201"/>
      <c r="U248" s="201"/>
      <c r="V248" s="201"/>
      <c r="W248" s="201"/>
      <c r="X248" s="201"/>
      <c r="Y248" s="201"/>
      <c r="Z248" s="201"/>
    </row>
    <row r="249" ht="12.8" customHeight="1" spans="1:26">
      <c r="A249" s="200"/>
      <c r="B249" s="201"/>
      <c r="C249" s="201"/>
      <c r="D249" s="201"/>
      <c r="E249" s="201"/>
      <c r="F249" s="201"/>
      <c r="G249" s="201"/>
      <c r="H249" s="201"/>
      <c r="I249" s="201"/>
      <c r="J249" s="201"/>
      <c r="K249" s="201"/>
      <c r="L249" s="201"/>
      <c r="M249" s="201"/>
      <c r="N249" s="201"/>
      <c r="O249" s="201"/>
      <c r="P249" s="201"/>
      <c r="Q249" s="201"/>
      <c r="R249" s="201"/>
      <c r="S249" s="201"/>
      <c r="T249" s="201"/>
      <c r="U249" s="201"/>
      <c r="V249" s="201"/>
      <c r="W249" s="201"/>
      <c r="X249" s="201"/>
      <c r="Y249" s="201"/>
      <c r="Z249" s="201"/>
    </row>
    <row r="250" ht="12.8" customHeight="1" spans="1:26">
      <c r="A250" s="200"/>
      <c r="B250" s="201"/>
      <c r="C250" s="201"/>
      <c r="D250" s="201"/>
      <c r="E250" s="201"/>
      <c r="F250" s="201"/>
      <c r="G250" s="201"/>
      <c r="H250" s="201"/>
      <c r="I250" s="201"/>
      <c r="J250" s="201"/>
      <c r="K250" s="201"/>
      <c r="L250" s="201"/>
      <c r="M250" s="201"/>
      <c r="N250" s="201"/>
      <c r="O250" s="201"/>
      <c r="P250" s="201"/>
      <c r="Q250" s="201"/>
      <c r="R250" s="201"/>
      <c r="S250" s="201"/>
      <c r="T250" s="201"/>
      <c r="U250" s="201"/>
      <c r="V250" s="201"/>
      <c r="W250" s="201"/>
      <c r="X250" s="201"/>
      <c r="Y250" s="201"/>
      <c r="Z250" s="201"/>
    </row>
    <row r="251" ht="12.8" customHeight="1" spans="1:26">
      <c r="A251" s="200"/>
      <c r="B251" s="201"/>
      <c r="C251" s="201"/>
      <c r="D251" s="201"/>
      <c r="E251" s="201"/>
      <c r="F251" s="201"/>
      <c r="G251" s="201"/>
      <c r="H251" s="201"/>
      <c r="I251" s="201"/>
      <c r="J251" s="201"/>
      <c r="K251" s="201"/>
      <c r="L251" s="201"/>
      <c r="M251" s="201"/>
      <c r="N251" s="201"/>
      <c r="O251" s="201"/>
      <c r="P251" s="201"/>
      <c r="Q251" s="201"/>
      <c r="R251" s="201"/>
      <c r="S251" s="201"/>
      <c r="T251" s="201"/>
      <c r="U251" s="201"/>
      <c r="V251" s="201"/>
      <c r="W251" s="201"/>
      <c r="X251" s="201"/>
      <c r="Y251" s="201"/>
      <c r="Z251" s="201"/>
    </row>
    <row r="252" ht="12.8" customHeight="1" spans="1:26">
      <c r="A252" s="200"/>
      <c r="B252" s="201"/>
      <c r="C252" s="201"/>
      <c r="D252" s="201"/>
      <c r="E252" s="201"/>
      <c r="F252" s="201"/>
      <c r="G252" s="201"/>
      <c r="H252" s="201"/>
      <c r="I252" s="201"/>
      <c r="J252" s="201"/>
      <c r="K252" s="201"/>
      <c r="L252" s="201"/>
      <c r="M252" s="201"/>
      <c r="N252" s="201"/>
      <c r="O252" s="201"/>
      <c r="P252" s="201"/>
      <c r="Q252" s="201"/>
      <c r="R252" s="201"/>
      <c r="S252" s="201"/>
      <c r="T252" s="201"/>
      <c r="U252" s="201"/>
      <c r="V252" s="201"/>
      <c r="W252" s="201"/>
      <c r="X252" s="201"/>
      <c r="Y252" s="201"/>
      <c r="Z252" s="201"/>
    </row>
    <row r="253" ht="12.8" customHeight="1" spans="1:26">
      <c r="A253" s="200"/>
      <c r="B253" s="201"/>
      <c r="C253" s="201"/>
      <c r="D253" s="201"/>
      <c r="E253" s="201"/>
      <c r="F253" s="201"/>
      <c r="G253" s="201"/>
      <c r="H253" s="201"/>
      <c r="I253" s="201"/>
      <c r="J253" s="201"/>
      <c r="K253" s="201"/>
      <c r="L253" s="201"/>
      <c r="M253" s="201"/>
      <c r="N253" s="201"/>
      <c r="O253" s="201"/>
      <c r="P253" s="201"/>
      <c r="Q253" s="201"/>
      <c r="R253" s="201"/>
      <c r="S253" s="201"/>
      <c r="T253" s="201"/>
      <c r="U253" s="201"/>
      <c r="V253" s="201"/>
      <c r="W253" s="201"/>
      <c r="X253" s="201"/>
      <c r="Y253" s="201"/>
      <c r="Z253" s="201"/>
    </row>
    <row r="254" ht="12.8" customHeight="1" spans="1:26">
      <c r="A254" s="200"/>
      <c r="B254" s="201"/>
      <c r="C254" s="201"/>
      <c r="D254" s="201"/>
      <c r="E254" s="201"/>
      <c r="F254" s="201"/>
      <c r="G254" s="201"/>
      <c r="H254" s="201"/>
      <c r="I254" s="201"/>
      <c r="J254" s="201"/>
      <c r="K254" s="201"/>
      <c r="L254" s="201"/>
      <c r="M254" s="201"/>
      <c r="N254" s="201"/>
      <c r="O254" s="201"/>
      <c r="P254" s="201"/>
      <c r="Q254" s="201"/>
      <c r="R254" s="201"/>
      <c r="S254" s="201"/>
      <c r="T254" s="201"/>
      <c r="U254" s="201"/>
      <c r="V254" s="201"/>
      <c r="W254" s="201"/>
      <c r="X254" s="201"/>
      <c r="Y254" s="201"/>
      <c r="Z254" s="201"/>
    </row>
    <row r="255" ht="12.8" customHeight="1" spans="1:26">
      <c r="A255" s="200"/>
      <c r="B255" s="201"/>
      <c r="C255" s="201"/>
      <c r="D255" s="201"/>
      <c r="E255" s="201"/>
      <c r="F255" s="201"/>
      <c r="G255" s="201"/>
      <c r="H255" s="201"/>
      <c r="I255" s="201"/>
      <c r="J255" s="201"/>
      <c r="K255" s="201"/>
      <c r="L255" s="201"/>
      <c r="M255" s="201"/>
      <c r="N255" s="201"/>
      <c r="O255" s="201"/>
      <c r="P255" s="201"/>
      <c r="Q255" s="201"/>
      <c r="R255" s="201"/>
      <c r="S255" s="201"/>
      <c r="T255" s="201"/>
      <c r="U255" s="201"/>
      <c r="V255" s="201"/>
      <c r="W255" s="201"/>
      <c r="X255" s="201"/>
      <c r="Y255" s="201"/>
      <c r="Z255" s="201"/>
    </row>
    <row r="256" ht="12.8" customHeight="1" spans="1:26">
      <c r="A256" s="200"/>
      <c r="B256" s="201"/>
      <c r="C256" s="201"/>
      <c r="D256" s="201"/>
      <c r="E256" s="201"/>
      <c r="F256" s="201"/>
      <c r="G256" s="201"/>
      <c r="H256" s="201"/>
      <c r="I256" s="201"/>
      <c r="J256" s="201"/>
      <c r="K256" s="201"/>
      <c r="L256" s="201"/>
      <c r="M256" s="201"/>
      <c r="N256" s="201"/>
      <c r="O256" s="201"/>
      <c r="P256" s="201"/>
      <c r="Q256" s="201"/>
      <c r="R256" s="201"/>
      <c r="S256" s="201"/>
      <c r="T256" s="201"/>
      <c r="U256" s="201"/>
      <c r="V256" s="201"/>
      <c r="W256" s="201"/>
      <c r="X256" s="201"/>
      <c r="Y256" s="201"/>
      <c r="Z256" s="201"/>
    </row>
    <row r="257" ht="12.8" customHeight="1" spans="1:26">
      <c r="A257" s="200"/>
      <c r="B257" s="201"/>
      <c r="C257" s="201"/>
      <c r="D257" s="201"/>
      <c r="E257" s="201"/>
      <c r="F257" s="201"/>
      <c r="G257" s="201"/>
      <c r="H257" s="201"/>
      <c r="I257" s="201"/>
      <c r="J257" s="201"/>
      <c r="K257" s="201"/>
      <c r="L257" s="201"/>
      <c r="M257" s="201"/>
      <c r="N257" s="201"/>
      <c r="O257" s="201"/>
      <c r="P257" s="201"/>
      <c r="Q257" s="201"/>
      <c r="R257" s="201"/>
      <c r="S257" s="201"/>
      <c r="T257" s="201"/>
      <c r="U257" s="201"/>
      <c r="V257" s="201"/>
      <c r="W257" s="201"/>
      <c r="X257" s="201"/>
      <c r="Y257" s="201"/>
      <c r="Z257" s="201"/>
    </row>
    <row r="258" ht="12.8" customHeight="1" spans="1:26">
      <c r="A258" s="200"/>
      <c r="B258" s="201"/>
      <c r="C258" s="201"/>
      <c r="D258" s="201"/>
      <c r="E258" s="201"/>
      <c r="F258" s="201"/>
      <c r="G258" s="201"/>
      <c r="H258" s="201"/>
      <c r="I258" s="201"/>
      <c r="J258" s="201"/>
      <c r="K258" s="201"/>
      <c r="L258" s="201"/>
      <c r="M258" s="201"/>
      <c r="N258" s="201"/>
      <c r="O258" s="201"/>
      <c r="P258" s="201"/>
      <c r="Q258" s="201"/>
      <c r="R258" s="201"/>
      <c r="S258" s="201"/>
      <c r="T258" s="201"/>
      <c r="U258" s="201"/>
      <c r="V258" s="201"/>
      <c r="W258" s="201"/>
      <c r="X258" s="201"/>
      <c r="Y258" s="201"/>
      <c r="Z258" s="201"/>
    </row>
    <row r="259" ht="12.8" customHeight="1" spans="1:26">
      <c r="A259" s="200"/>
      <c r="B259" s="201"/>
      <c r="C259" s="201"/>
      <c r="D259" s="201"/>
      <c r="E259" s="201"/>
      <c r="F259" s="201"/>
      <c r="G259" s="201"/>
      <c r="H259" s="201"/>
      <c r="I259" s="201"/>
      <c r="J259" s="201"/>
      <c r="K259" s="201"/>
      <c r="L259" s="201"/>
      <c r="M259" s="201"/>
      <c r="N259" s="201"/>
      <c r="O259" s="201"/>
      <c r="P259" s="201"/>
      <c r="Q259" s="201"/>
      <c r="R259" s="201"/>
      <c r="S259" s="201"/>
      <c r="T259" s="201"/>
      <c r="U259" s="201"/>
      <c r="V259" s="201"/>
      <c r="W259" s="201"/>
      <c r="X259" s="201"/>
      <c r="Y259" s="201"/>
      <c r="Z259" s="201"/>
    </row>
    <row r="260" ht="12.8" customHeight="1" spans="1:26">
      <c r="A260" s="200"/>
      <c r="B260" s="201"/>
      <c r="C260" s="201"/>
      <c r="D260" s="201"/>
      <c r="E260" s="201"/>
      <c r="F260" s="201"/>
      <c r="G260" s="201"/>
      <c r="H260" s="201"/>
      <c r="I260" s="201"/>
      <c r="J260" s="201"/>
      <c r="K260" s="201"/>
      <c r="L260" s="201"/>
      <c r="M260" s="201"/>
      <c r="N260" s="201"/>
      <c r="O260" s="201"/>
      <c r="P260" s="201"/>
      <c r="Q260" s="201"/>
      <c r="R260" s="201"/>
      <c r="S260" s="201"/>
      <c r="T260" s="201"/>
      <c r="U260" s="201"/>
      <c r="V260" s="201"/>
      <c r="W260" s="201"/>
      <c r="X260" s="201"/>
      <c r="Y260" s="201"/>
      <c r="Z260" s="201"/>
    </row>
    <row r="261" ht="12.8" customHeight="1" spans="1:26">
      <c r="A261" s="200"/>
      <c r="B261" s="201"/>
      <c r="C261" s="201"/>
      <c r="D261" s="201"/>
      <c r="E261" s="201"/>
      <c r="F261" s="201"/>
      <c r="G261" s="201"/>
      <c r="H261" s="201"/>
      <c r="I261" s="201"/>
      <c r="J261" s="201"/>
      <c r="K261" s="201"/>
      <c r="L261" s="201"/>
      <c r="M261" s="201"/>
      <c r="N261" s="201"/>
      <c r="O261" s="201"/>
      <c r="P261" s="201"/>
      <c r="Q261" s="201"/>
      <c r="R261" s="201"/>
      <c r="S261" s="201"/>
      <c r="T261" s="201"/>
      <c r="U261" s="201"/>
      <c r="V261" s="201"/>
      <c r="W261" s="201"/>
      <c r="X261" s="201"/>
      <c r="Y261" s="201"/>
      <c r="Z261" s="201"/>
    </row>
    <row r="262" ht="12.8" customHeight="1" spans="1:26">
      <c r="A262" s="200"/>
      <c r="B262" s="201"/>
      <c r="C262" s="201"/>
      <c r="D262" s="201"/>
      <c r="E262" s="201"/>
      <c r="F262" s="201"/>
      <c r="G262" s="201"/>
      <c r="H262" s="201"/>
      <c r="I262" s="201"/>
      <c r="J262" s="201"/>
      <c r="K262" s="201"/>
      <c r="L262" s="201"/>
      <c r="M262" s="201"/>
      <c r="N262" s="201"/>
      <c r="O262" s="201"/>
      <c r="P262" s="201"/>
      <c r="Q262" s="201"/>
      <c r="R262" s="201"/>
      <c r="S262" s="201"/>
      <c r="T262" s="201"/>
      <c r="U262" s="201"/>
      <c r="V262" s="201"/>
      <c r="W262" s="201"/>
      <c r="X262" s="201"/>
      <c r="Y262" s="201"/>
      <c r="Z262" s="201"/>
    </row>
    <row r="263" ht="12.8" customHeight="1" spans="1:26">
      <c r="A263" s="200"/>
      <c r="B263" s="201"/>
      <c r="C263" s="201"/>
      <c r="D263" s="201"/>
      <c r="E263" s="201"/>
      <c r="F263" s="201"/>
      <c r="G263" s="201"/>
      <c r="H263" s="201"/>
      <c r="I263" s="201"/>
      <c r="J263" s="201"/>
      <c r="K263" s="201"/>
      <c r="L263" s="201"/>
      <c r="M263" s="201"/>
      <c r="N263" s="201"/>
      <c r="O263" s="201"/>
      <c r="P263" s="201"/>
      <c r="Q263" s="201"/>
      <c r="R263" s="201"/>
      <c r="S263" s="201"/>
      <c r="T263" s="201"/>
      <c r="U263" s="201"/>
      <c r="V263" s="201"/>
      <c r="W263" s="201"/>
      <c r="X263" s="201"/>
      <c r="Y263" s="201"/>
      <c r="Z263" s="201"/>
    </row>
    <row r="264" ht="12.8" customHeight="1" spans="1:26">
      <c r="A264" s="200"/>
      <c r="B264" s="201"/>
      <c r="C264" s="201"/>
      <c r="D264" s="201"/>
      <c r="E264" s="201"/>
      <c r="F264" s="201"/>
      <c r="G264" s="201"/>
      <c r="H264" s="201"/>
      <c r="I264" s="201"/>
      <c r="J264" s="201"/>
      <c r="K264" s="201"/>
      <c r="L264" s="201"/>
      <c r="M264" s="201"/>
      <c r="N264" s="201"/>
      <c r="O264" s="201"/>
      <c r="P264" s="201"/>
      <c r="Q264" s="201"/>
      <c r="R264" s="201"/>
      <c r="S264" s="201"/>
      <c r="T264" s="201"/>
      <c r="U264" s="201"/>
      <c r="V264" s="201"/>
      <c r="W264" s="201"/>
      <c r="X264" s="201"/>
      <c r="Y264" s="201"/>
      <c r="Z264" s="201"/>
    </row>
    <row r="265" ht="12.8" customHeight="1" spans="1:26">
      <c r="A265" s="200"/>
      <c r="B265" s="201"/>
      <c r="C265" s="201"/>
      <c r="D265" s="201"/>
      <c r="E265" s="201"/>
      <c r="F265" s="201"/>
      <c r="G265" s="201"/>
      <c r="H265" s="201"/>
      <c r="I265" s="201"/>
      <c r="J265" s="201"/>
      <c r="K265" s="201"/>
      <c r="L265" s="201"/>
      <c r="M265" s="201"/>
      <c r="N265" s="201"/>
      <c r="O265" s="201"/>
      <c r="P265" s="201"/>
      <c r="Q265" s="201"/>
      <c r="R265" s="201"/>
      <c r="S265" s="201"/>
      <c r="T265" s="201"/>
      <c r="U265" s="201"/>
      <c r="V265" s="201"/>
      <c r="W265" s="201"/>
      <c r="X265" s="201"/>
      <c r="Y265" s="201"/>
      <c r="Z265" s="201"/>
    </row>
    <row r="266" ht="12.8" customHeight="1" spans="1:26">
      <c r="A266" s="200"/>
      <c r="B266" s="201"/>
      <c r="C266" s="201"/>
      <c r="D266" s="201"/>
      <c r="E266" s="201"/>
      <c r="F266" s="201"/>
      <c r="G266" s="201"/>
      <c r="H266" s="201"/>
      <c r="I266" s="201"/>
      <c r="J266" s="201"/>
      <c r="K266" s="201"/>
      <c r="L266" s="201"/>
      <c r="M266" s="201"/>
      <c r="N266" s="201"/>
      <c r="O266" s="201"/>
      <c r="P266" s="201"/>
      <c r="Q266" s="201"/>
      <c r="R266" s="201"/>
      <c r="S266" s="201"/>
      <c r="T266" s="201"/>
      <c r="U266" s="201"/>
      <c r="V266" s="201"/>
      <c r="W266" s="201"/>
      <c r="X266" s="201"/>
      <c r="Y266" s="201"/>
      <c r="Z266" s="201"/>
    </row>
    <row r="267" ht="12.8" customHeight="1" spans="1:26">
      <c r="A267" s="200"/>
      <c r="B267" s="201"/>
      <c r="C267" s="201"/>
      <c r="D267" s="201"/>
      <c r="E267" s="201"/>
      <c r="F267" s="201"/>
      <c r="G267" s="201"/>
      <c r="H267" s="201"/>
      <c r="I267" s="201"/>
      <c r="J267" s="201"/>
      <c r="K267" s="201"/>
      <c r="L267" s="201"/>
      <c r="M267" s="201"/>
      <c r="N267" s="201"/>
      <c r="O267" s="201"/>
      <c r="P267" s="201"/>
      <c r="Q267" s="201"/>
      <c r="R267" s="201"/>
      <c r="S267" s="201"/>
      <c r="T267" s="201"/>
      <c r="U267" s="201"/>
      <c r="V267" s="201"/>
      <c r="W267" s="201"/>
      <c r="X267" s="201"/>
      <c r="Y267" s="201"/>
      <c r="Z267" s="201"/>
    </row>
    <row r="268" ht="12.8" customHeight="1" spans="1:26">
      <c r="A268" s="200"/>
      <c r="B268" s="201"/>
      <c r="C268" s="201"/>
      <c r="D268" s="201"/>
      <c r="E268" s="201"/>
      <c r="F268" s="201"/>
      <c r="G268" s="201"/>
      <c r="H268" s="201"/>
      <c r="I268" s="201"/>
      <c r="J268" s="201"/>
      <c r="K268" s="201"/>
      <c r="L268" s="201"/>
      <c r="M268" s="201"/>
      <c r="N268" s="201"/>
      <c r="O268" s="201"/>
      <c r="P268" s="201"/>
      <c r="Q268" s="201"/>
      <c r="R268" s="201"/>
      <c r="S268" s="201"/>
      <c r="T268" s="201"/>
      <c r="U268" s="201"/>
      <c r="V268" s="201"/>
      <c r="W268" s="201"/>
      <c r="X268" s="201"/>
      <c r="Y268" s="201"/>
      <c r="Z268" s="201"/>
    </row>
    <row r="269" ht="12.8" customHeight="1" spans="1:26">
      <c r="A269" s="200"/>
      <c r="B269" s="201"/>
      <c r="C269" s="201"/>
      <c r="D269" s="201"/>
      <c r="E269" s="201"/>
      <c r="F269" s="201"/>
      <c r="G269" s="201"/>
      <c r="H269" s="201"/>
      <c r="I269" s="201"/>
      <c r="J269" s="201"/>
      <c r="K269" s="201"/>
      <c r="L269" s="201"/>
      <c r="M269" s="201"/>
      <c r="N269" s="201"/>
      <c r="O269" s="201"/>
      <c r="P269" s="201"/>
      <c r="Q269" s="201"/>
      <c r="R269" s="201"/>
      <c r="S269" s="201"/>
      <c r="T269" s="201"/>
      <c r="U269" s="201"/>
      <c r="V269" s="201"/>
      <c r="W269" s="201"/>
      <c r="X269" s="201"/>
      <c r="Y269" s="201"/>
      <c r="Z269" s="201"/>
    </row>
    <row r="270" ht="12.8" customHeight="1" spans="1:26">
      <c r="A270" s="200"/>
      <c r="B270" s="201"/>
      <c r="C270" s="201"/>
      <c r="D270" s="201"/>
      <c r="E270" s="201"/>
      <c r="F270" s="201"/>
      <c r="G270" s="201"/>
      <c r="H270" s="201"/>
      <c r="I270" s="201"/>
      <c r="J270" s="201"/>
      <c r="K270" s="201"/>
      <c r="L270" s="201"/>
      <c r="M270" s="201"/>
      <c r="N270" s="201"/>
      <c r="O270" s="201"/>
      <c r="P270" s="201"/>
      <c r="Q270" s="201"/>
      <c r="R270" s="201"/>
      <c r="S270" s="201"/>
      <c r="T270" s="201"/>
      <c r="U270" s="201"/>
      <c r="V270" s="201"/>
      <c r="W270" s="201"/>
      <c r="X270" s="201"/>
      <c r="Y270" s="201"/>
      <c r="Z270" s="201"/>
    </row>
    <row r="271" ht="12.8" customHeight="1" spans="1:26">
      <c r="A271" s="200"/>
      <c r="B271" s="201"/>
      <c r="C271" s="201"/>
      <c r="D271" s="201"/>
      <c r="E271" s="201"/>
      <c r="F271" s="201"/>
      <c r="G271" s="201"/>
      <c r="H271" s="201"/>
      <c r="I271" s="201"/>
      <c r="J271" s="201"/>
      <c r="K271" s="201"/>
      <c r="L271" s="201"/>
      <c r="M271" s="201"/>
      <c r="N271" s="201"/>
      <c r="O271" s="201"/>
      <c r="P271" s="201"/>
      <c r="Q271" s="201"/>
      <c r="R271" s="201"/>
      <c r="S271" s="201"/>
      <c r="T271" s="201"/>
      <c r="U271" s="201"/>
      <c r="V271" s="201"/>
      <c r="W271" s="201"/>
      <c r="X271" s="201"/>
      <c r="Y271" s="201"/>
      <c r="Z271" s="201"/>
    </row>
    <row r="272" ht="12.8" customHeight="1" spans="1:26">
      <c r="A272" s="200"/>
      <c r="B272" s="201"/>
      <c r="C272" s="201"/>
      <c r="D272" s="201"/>
      <c r="E272" s="201"/>
      <c r="F272" s="201"/>
      <c r="G272" s="201"/>
      <c r="H272" s="201"/>
      <c r="I272" s="201"/>
      <c r="J272" s="201"/>
      <c r="K272" s="201"/>
      <c r="L272" s="201"/>
      <c r="M272" s="201"/>
      <c r="N272" s="201"/>
      <c r="O272" s="201"/>
      <c r="P272" s="201"/>
      <c r="Q272" s="201"/>
      <c r="R272" s="201"/>
      <c r="S272" s="201"/>
      <c r="T272" s="201"/>
      <c r="U272" s="201"/>
      <c r="V272" s="201"/>
      <c r="W272" s="201"/>
      <c r="X272" s="201"/>
      <c r="Y272" s="201"/>
      <c r="Z272" s="201"/>
    </row>
    <row r="273" ht="12.8" customHeight="1" spans="1:26">
      <c r="A273" s="200"/>
      <c r="B273" s="201"/>
      <c r="C273" s="201"/>
      <c r="D273" s="201"/>
      <c r="E273" s="201"/>
      <c r="F273" s="201"/>
      <c r="G273" s="201"/>
      <c r="H273" s="201"/>
      <c r="I273" s="201"/>
      <c r="J273" s="201"/>
      <c r="K273" s="201"/>
      <c r="L273" s="201"/>
      <c r="M273" s="201"/>
      <c r="N273" s="201"/>
      <c r="O273" s="201"/>
      <c r="P273" s="201"/>
      <c r="Q273" s="201"/>
      <c r="R273" s="201"/>
      <c r="S273" s="201"/>
      <c r="T273" s="201"/>
      <c r="U273" s="201"/>
      <c r="V273" s="201"/>
      <c r="W273" s="201"/>
      <c r="X273" s="201"/>
      <c r="Y273" s="201"/>
      <c r="Z273" s="201"/>
    </row>
    <row r="274" ht="12.8" customHeight="1" spans="1:26">
      <c r="A274" s="200"/>
      <c r="B274" s="201"/>
      <c r="C274" s="201"/>
      <c r="D274" s="201"/>
      <c r="E274" s="201"/>
      <c r="F274" s="201"/>
      <c r="G274" s="201"/>
      <c r="H274" s="201"/>
      <c r="I274" s="201"/>
      <c r="J274" s="201"/>
      <c r="K274" s="201"/>
      <c r="L274" s="201"/>
      <c r="M274" s="201"/>
      <c r="N274" s="201"/>
      <c r="O274" s="201"/>
      <c r="P274" s="201"/>
      <c r="Q274" s="201"/>
      <c r="R274" s="201"/>
      <c r="S274" s="201"/>
      <c r="T274" s="201"/>
      <c r="U274" s="201"/>
      <c r="V274" s="201"/>
      <c r="W274" s="201"/>
      <c r="X274" s="201"/>
      <c r="Y274" s="201"/>
      <c r="Z274" s="201"/>
    </row>
    <row r="275" ht="12.8" customHeight="1" spans="1:26">
      <c r="A275" s="200"/>
      <c r="B275" s="201"/>
      <c r="C275" s="201"/>
      <c r="D275" s="201"/>
      <c r="E275" s="201"/>
      <c r="F275" s="201"/>
      <c r="G275" s="201"/>
      <c r="H275" s="201"/>
      <c r="I275" s="201"/>
      <c r="J275" s="201"/>
      <c r="K275" s="201"/>
      <c r="L275" s="201"/>
      <c r="M275" s="201"/>
      <c r="N275" s="201"/>
      <c r="O275" s="201"/>
      <c r="P275" s="201"/>
      <c r="Q275" s="201"/>
      <c r="R275" s="201"/>
      <c r="S275" s="201"/>
      <c r="T275" s="201"/>
      <c r="U275" s="201"/>
      <c r="V275" s="201"/>
      <c r="W275" s="201"/>
      <c r="X275" s="201"/>
      <c r="Y275" s="201"/>
      <c r="Z275" s="201"/>
    </row>
    <row r="276" ht="12.8" customHeight="1" spans="1:26">
      <c r="A276" s="200"/>
      <c r="B276" s="201"/>
      <c r="C276" s="201"/>
      <c r="D276" s="201"/>
      <c r="E276" s="201"/>
      <c r="F276" s="201"/>
      <c r="G276" s="201"/>
      <c r="H276" s="201"/>
      <c r="I276" s="201"/>
      <c r="J276" s="201"/>
      <c r="K276" s="201"/>
      <c r="L276" s="201"/>
      <c r="M276" s="201"/>
      <c r="N276" s="201"/>
      <c r="O276" s="201"/>
      <c r="P276" s="201"/>
      <c r="Q276" s="201"/>
      <c r="R276" s="201"/>
      <c r="S276" s="201"/>
      <c r="T276" s="201"/>
      <c r="U276" s="201"/>
      <c r="V276" s="201"/>
      <c r="W276" s="201"/>
      <c r="X276" s="201"/>
      <c r="Y276" s="201"/>
      <c r="Z276" s="201"/>
    </row>
    <row r="277" ht="12.8" customHeight="1" spans="1:26">
      <c r="A277" s="200"/>
      <c r="B277" s="201"/>
      <c r="C277" s="201"/>
      <c r="D277" s="201"/>
      <c r="E277" s="201"/>
      <c r="F277" s="201"/>
      <c r="G277" s="201"/>
      <c r="H277" s="201"/>
      <c r="I277" s="201"/>
      <c r="J277" s="201"/>
      <c r="K277" s="201"/>
      <c r="L277" s="201"/>
      <c r="M277" s="201"/>
      <c r="N277" s="201"/>
      <c r="O277" s="201"/>
      <c r="P277" s="201"/>
      <c r="Q277" s="201"/>
      <c r="R277" s="201"/>
      <c r="S277" s="201"/>
      <c r="T277" s="201"/>
      <c r="U277" s="201"/>
      <c r="V277" s="201"/>
      <c r="W277" s="201"/>
      <c r="X277" s="201"/>
      <c r="Y277" s="201"/>
      <c r="Z277" s="201"/>
    </row>
    <row r="278" ht="12.8" customHeight="1" spans="1:26">
      <c r="A278" s="200"/>
      <c r="B278" s="201"/>
      <c r="C278" s="201"/>
      <c r="D278" s="201"/>
      <c r="E278" s="201"/>
      <c r="F278" s="201"/>
      <c r="G278" s="201"/>
      <c r="H278" s="201"/>
      <c r="I278" s="201"/>
      <c r="J278" s="201"/>
      <c r="K278" s="201"/>
      <c r="L278" s="201"/>
      <c r="M278" s="201"/>
      <c r="N278" s="201"/>
      <c r="O278" s="201"/>
      <c r="P278" s="201"/>
      <c r="Q278" s="201"/>
      <c r="R278" s="201"/>
      <c r="S278" s="201"/>
      <c r="T278" s="201"/>
      <c r="U278" s="201"/>
      <c r="V278" s="201"/>
      <c r="W278" s="201"/>
      <c r="X278" s="201"/>
      <c r="Y278" s="201"/>
      <c r="Z278" s="201"/>
    </row>
    <row r="279" ht="12.8" customHeight="1" spans="1:26">
      <c r="A279" s="200"/>
      <c r="B279" s="201"/>
      <c r="C279" s="201"/>
      <c r="D279" s="201"/>
      <c r="E279" s="201"/>
      <c r="F279" s="201"/>
      <c r="G279" s="201"/>
      <c r="H279" s="201"/>
      <c r="I279" s="201"/>
      <c r="J279" s="201"/>
      <c r="K279" s="201"/>
      <c r="L279" s="201"/>
      <c r="M279" s="201"/>
      <c r="N279" s="201"/>
      <c r="O279" s="201"/>
      <c r="P279" s="201"/>
      <c r="Q279" s="201"/>
      <c r="R279" s="201"/>
      <c r="S279" s="201"/>
      <c r="T279" s="201"/>
      <c r="U279" s="201"/>
      <c r="V279" s="201"/>
      <c r="W279" s="201"/>
      <c r="X279" s="201"/>
      <c r="Y279" s="201"/>
      <c r="Z279" s="201"/>
    </row>
    <row r="280" ht="12.8" customHeight="1" spans="1:26">
      <c r="A280" s="200"/>
      <c r="B280" s="201"/>
      <c r="C280" s="201"/>
      <c r="D280" s="201"/>
      <c r="E280" s="201"/>
      <c r="F280" s="201"/>
      <c r="G280" s="201"/>
      <c r="H280" s="201"/>
      <c r="I280" s="201"/>
      <c r="J280" s="201"/>
      <c r="K280" s="201"/>
      <c r="L280" s="201"/>
      <c r="M280" s="201"/>
      <c r="N280" s="201"/>
      <c r="O280" s="201"/>
      <c r="P280" s="201"/>
      <c r="Q280" s="201"/>
      <c r="R280" s="201"/>
      <c r="S280" s="201"/>
      <c r="T280" s="201"/>
      <c r="U280" s="201"/>
      <c r="V280" s="201"/>
      <c r="W280" s="201"/>
      <c r="X280" s="201"/>
      <c r="Y280" s="201"/>
      <c r="Z280" s="201"/>
    </row>
    <row r="281" ht="12.8" customHeight="1" spans="1:26">
      <c r="A281" s="200"/>
      <c r="B281" s="201"/>
      <c r="C281" s="201"/>
      <c r="D281" s="201"/>
      <c r="E281" s="201"/>
      <c r="F281" s="201"/>
      <c r="G281" s="201"/>
      <c r="H281" s="201"/>
      <c r="I281" s="201"/>
      <c r="J281" s="201"/>
      <c r="K281" s="201"/>
      <c r="L281" s="201"/>
      <c r="M281" s="201"/>
      <c r="N281" s="201"/>
      <c r="O281" s="201"/>
      <c r="P281" s="201"/>
      <c r="Q281" s="201"/>
      <c r="R281" s="201"/>
      <c r="S281" s="201"/>
      <c r="T281" s="201"/>
      <c r="U281" s="201"/>
      <c r="V281" s="201"/>
      <c r="W281" s="201"/>
      <c r="X281" s="201"/>
      <c r="Y281" s="201"/>
      <c r="Z281" s="201"/>
    </row>
    <row r="282" ht="12.8" customHeight="1" spans="1:26">
      <c r="A282" s="200"/>
      <c r="B282" s="201"/>
      <c r="C282" s="201"/>
      <c r="D282" s="201"/>
      <c r="E282" s="201"/>
      <c r="F282" s="201"/>
      <c r="G282" s="201"/>
      <c r="H282" s="201"/>
      <c r="I282" s="201"/>
      <c r="J282" s="201"/>
      <c r="K282" s="201"/>
      <c r="L282" s="201"/>
      <c r="M282" s="201"/>
      <c r="N282" s="201"/>
      <c r="O282" s="201"/>
      <c r="P282" s="201"/>
      <c r="Q282" s="201"/>
      <c r="R282" s="201"/>
      <c r="S282" s="201"/>
      <c r="T282" s="201"/>
      <c r="U282" s="201"/>
      <c r="V282" s="201"/>
      <c r="W282" s="201"/>
      <c r="X282" s="201"/>
      <c r="Y282" s="201"/>
      <c r="Z282" s="201"/>
    </row>
    <row r="283" ht="12.8" customHeight="1" spans="1:26">
      <c r="A283" s="200"/>
      <c r="B283" s="201"/>
      <c r="C283" s="201"/>
      <c r="D283" s="201"/>
      <c r="E283" s="201"/>
      <c r="F283" s="201"/>
      <c r="G283" s="201"/>
      <c r="H283" s="201"/>
      <c r="I283" s="201"/>
      <c r="J283" s="201"/>
      <c r="K283" s="201"/>
      <c r="L283" s="201"/>
      <c r="M283" s="201"/>
      <c r="N283" s="201"/>
      <c r="O283" s="201"/>
      <c r="P283" s="201"/>
      <c r="Q283" s="201"/>
      <c r="R283" s="201"/>
      <c r="S283" s="201"/>
      <c r="T283" s="201"/>
      <c r="U283" s="201"/>
      <c r="V283" s="201"/>
      <c r="W283" s="201"/>
      <c r="X283" s="201"/>
      <c r="Y283" s="201"/>
      <c r="Z283" s="201"/>
    </row>
    <row r="284" ht="12.8" customHeight="1" spans="1:26">
      <c r="A284" s="200"/>
      <c r="B284" s="201"/>
      <c r="C284" s="201"/>
      <c r="D284" s="201"/>
      <c r="E284" s="201"/>
      <c r="F284" s="201"/>
      <c r="G284" s="201"/>
      <c r="H284" s="201"/>
      <c r="I284" s="201"/>
      <c r="J284" s="201"/>
      <c r="K284" s="201"/>
      <c r="L284" s="201"/>
      <c r="M284" s="201"/>
      <c r="N284" s="201"/>
      <c r="O284" s="201"/>
      <c r="P284" s="201"/>
      <c r="Q284" s="201"/>
      <c r="R284" s="201"/>
      <c r="S284" s="201"/>
      <c r="T284" s="201"/>
      <c r="U284" s="201"/>
      <c r="V284" s="201"/>
      <c r="W284" s="201"/>
      <c r="X284" s="201"/>
      <c r="Y284" s="201"/>
      <c r="Z284" s="201"/>
    </row>
    <row r="285" ht="12.8" customHeight="1" spans="1:26">
      <c r="A285" s="200"/>
      <c r="B285" s="201"/>
      <c r="C285" s="201"/>
      <c r="D285" s="201"/>
      <c r="E285" s="201"/>
      <c r="F285" s="201"/>
      <c r="G285" s="201"/>
      <c r="H285" s="201"/>
      <c r="I285" s="201"/>
      <c r="J285" s="201"/>
      <c r="K285" s="201"/>
      <c r="L285" s="201"/>
      <c r="M285" s="201"/>
      <c r="N285" s="201"/>
      <c r="O285" s="201"/>
      <c r="P285" s="201"/>
      <c r="Q285" s="201"/>
      <c r="R285" s="201"/>
      <c r="S285" s="201"/>
      <c r="T285" s="201"/>
      <c r="U285" s="201"/>
      <c r="V285" s="201"/>
      <c r="W285" s="201"/>
      <c r="X285" s="201"/>
      <c r="Y285" s="201"/>
      <c r="Z285" s="201"/>
    </row>
    <row r="286" ht="12.8" customHeight="1" spans="1:26">
      <c r="A286" s="200"/>
      <c r="B286" s="201"/>
      <c r="C286" s="201"/>
      <c r="D286" s="201"/>
      <c r="E286" s="201"/>
      <c r="F286" s="201"/>
      <c r="G286" s="201"/>
      <c r="H286" s="201"/>
      <c r="I286" s="201"/>
      <c r="J286" s="201"/>
      <c r="K286" s="201"/>
      <c r="L286" s="201"/>
      <c r="M286" s="201"/>
      <c r="N286" s="201"/>
      <c r="O286" s="201"/>
      <c r="P286" s="201"/>
      <c r="Q286" s="201"/>
      <c r="R286" s="201"/>
      <c r="S286" s="201"/>
      <c r="T286" s="201"/>
      <c r="U286" s="201"/>
      <c r="V286" s="201"/>
      <c r="W286" s="201"/>
      <c r="X286" s="201"/>
      <c r="Y286" s="201"/>
      <c r="Z286" s="201"/>
    </row>
    <row r="287" ht="12.8" customHeight="1" spans="1:26">
      <c r="A287" s="200"/>
      <c r="B287" s="201"/>
      <c r="C287" s="201"/>
      <c r="D287" s="201"/>
      <c r="E287" s="201"/>
      <c r="F287" s="201"/>
      <c r="G287" s="201"/>
      <c r="H287" s="201"/>
      <c r="I287" s="201"/>
      <c r="J287" s="201"/>
      <c r="K287" s="201"/>
      <c r="L287" s="201"/>
      <c r="M287" s="201"/>
      <c r="N287" s="201"/>
      <c r="O287" s="201"/>
      <c r="P287" s="201"/>
      <c r="Q287" s="201"/>
      <c r="R287" s="201"/>
      <c r="S287" s="201"/>
      <c r="T287" s="201"/>
      <c r="U287" s="201"/>
      <c r="V287" s="201"/>
      <c r="W287" s="201"/>
      <c r="X287" s="201"/>
      <c r="Y287" s="201"/>
      <c r="Z287" s="201"/>
    </row>
    <row r="288" ht="12.8" customHeight="1" spans="1:26">
      <c r="A288" s="200"/>
      <c r="B288" s="201"/>
      <c r="C288" s="201"/>
      <c r="D288" s="201"/>
      <c r="E288" s="201"/>
      <c r="F288" s="201"/>
      <c r="G288" s="201"/>
      <c r="H288" s="201"/>
      <c r="I288" s="201"/>
      <c r="J288" s="201"/>
      <c r="K288" s="201"/>
      <c r="L288" s="201"/>
      <c r="M288" s="201"/>
      <c r="N288" s="201"/>
      <c r="O288" s="201"/>
      <c r="P288" s="201"/>
      <c r="Q288" s="201"/>
      <c r="R288" s="201"/>
      <c r="S288" s="201"/>
      <c r="T288" s="201"/>
      <c r="U288" s="201"/>
      <c r="V288" s="201"/>
      <c r="W288" s="201"/>
      <c r="X288" s="201"/>
      <c r="Y288" s="201"/>
      <c r="Z288" s="201"/>
    </row>
    <row r="289" ht="12.8" customHeight="1" spans="1:26">
      <c r="A289" s="200"/>
      <c r="B289" s="201"/>
      <c r="C289" s="201"/>
      <c r="D289" s="201"/>
      <c r="E289" s="201"/>
      <c r="F289" s="201"/>
      <c r="G289" s="201"/>
      <c r="H289" s="201"/>
      <c r="I289" s="201"/>
      <c r="J289" s="201"/>
      <c r="K289" s="201"/>
      <c r="L289" s="201"/>
      <c r="M289" s="201"/>
      <c r="N289" s="201"/>
      <c r="O289" s="201"/>
      <c r="P289" s="201"/>
      <c r="Q289" s="201"/>
      <c r="R289" s="201"/>
      <c r="S289" s="201"/>
      <c r="T289" s="201"/>
      <c r="U289" s="201"/>
      <c r="V289" s="201"/>
      <c r="W289" s="201"/>
      <c r="X289" s="201"/>
      <c r="Y289" s="201"/>
      <c r="Z289" s="201"/>
    </row>
    <row r="290" ht="12.8" customHeight="1" spans="1:26">
      <c r="A290" s="200"/>
      <c r="B290" s="201"/>
      <c r="C290" s="201"/>
      <c r="D290" s="201"/>
      <c r="E290" s="201"/>
      <c r="F290" s="201"/>
      <c r="G290" s="201"/>
      <c r="H290" s="201"/>
      <c r="I290" s="201"/>
      <c r="J290" s="201"/>
      <c r="K290" s="201"/>
      <c r="L290" s="201"/>
      <c r="M290" s="201"/>
      <c r="N290" s="201"/>
      <c r="O290" s="201"/>
      <c r="P290" s="201"/>
      <c r="Q290" s="201"/>
      <c r="R290" s="201"/>
      <c r="S290" s="201"/>
      <c r="T290" s="201"/>
      <c r="U290" s="201"/>
      <c r="V290" s="201"/>
      <c r="W290" s="201"/>
      <c r="X290" s="201"/>
      <c r="Y290" s="201"/>
      <c r="Z290" s="201"/>
    </row>
    <row r="291" ht="12.8" customHeight="1" spans="1:26">
      <c r="A291" s="200"/>
      <c r="B291" s="201"/>
      <c r="C291" s="201"/>
      <c r="D291" s="201"/>
      <c r="E291" s="201"/>
      <c r="F291" s="201"/>
      <c r="G291" s="201"/>
      <c r="H291" s="201"/>
      <c r="I291" s="201"/>
      <c r="J291" s="201"/>
      <c r="K291" s="201"/>
      <c r="L291" s="201"/>
      <c r="M291" s="201"/>
      <c r="N291" s="201"/>
      <c r="O291" s="201"/>
      <c r="P291" s="201"/>
      <c r="Q291" s="201"/>
      <c r="R291" s="201"/>
      <c r="S291" s="201"/>
      <c r="T291" s="201"/>
      <c r="U291" s="201"/>
      <c r="V291" s="201"/>
      <c r="W291" s="201"/>
      <c r="X291" s="201"/>
      <c r="Y291" s="201"/>
      <c r="Z291" s="201"/>
    </row>
    <row r="292" ht="12.8" customHeight="1" spans="1:26">
      <c r="A292" s="200"/>
      <c r="B292" s="201"/>
      <c r="C292" s="201"/>
      <c r="D292" s="201"/>
      <c r="E292" s="201"/>
      <c r="F292" s="201"/>
      <c r="G292" s="201"/>
      <c r="H292" s="201"/>
      <c r="I292" s="201"/>
      <c r="J292" s="201"/>
      <c r="K292" s="201"/>
      <c r="L292" s="201"/>
      <c r="M292" s="201"/>
      <c r="N292" s="201"/>
      <c r="O292" s="201"/>
      <c r="P292" s="201"/>
      <c r="Q292" s="201"/>
      <c r="R292" s="201"/>
      <c r="S292" s="201"/>
      <c r="T292" s="201"/>
      <c r="U292" s="201"/>
      <c r="V292" s="201"/>
      <c r="W292" s="201"/>
      <c r="X292" s="201"/>
      <c r="Y292" s="201"/>
      <c r="Z292" s="201"/>
    </row>
    <row r="293" ht="12.8" customHeight="1" spans="1:26">
      <c r="A293" s="200"/>
      <c r="B293" s="201"/>
      <c r="C293" s="201"/>
      <c r="D293" s="201"/>
      <c r="E293" s="201"/>
      <c r="F293" s="201"/>
      <c r="G293" s="201"/>
      <c r="H293" s="201"/>
      <c r="I293" s="201"/>
      <c r="J293" s="201"/>
      <c r="K293" s="201"/>
      <c r="L293" s="201"/>
      <c r="M293" s="201"/>
      <c r="N293" s="201"/>
      <c r="O293" s="201"/>
      <c r="P293" s="201"/>
      <c r="Q293" s="201"/>
      <c r="R293" s="201"/>
      <c r="S293" s="201"/>
      <c r="T293" s="201"/>
      <c r="U293" s="201"/>
      <c r="V293" s="201"/>
      <c r="W293" s="201"/>
      <c r="X293" s="201"/>
      <c r="Y293" s="201"/>
      <c r="Z293" s="201"/>
    </row>
    <row r="294" ht="12.8" customHeight="1" spans="1:26">
      <c r="A294" s="200"/>
      <c r="B294" s="201"/>
      <c r="C294" s="201"/>
      <c r="D294" s="201"/>
      <c r="E294" s="201"/>
      <c r="F294" s="201"/>
      <c r="G294" s="201"/>
      <c r="H294" s="201"/>
      <c r="I294" s="201"/>
      <c r="J294" s="201"/>
      <c r="K294" s="201"/>
      <c r="L294" s="201"/>
      <c r="M294" s="201"/>
      <c r="N294" s="201"/>
      <c r="O294" s="201"/>
      <c r="P294" s="201"/>
      <c r="Q294" s="201"/>
      <c r="R294" s="201"/>
      <c r="S294" s="201"/>
      <c r="T294" s="201"/>
      <c r="U294" s="201"/>
      <c r="V294" s="201"/>
      <c r="W294" s="201"/>
      <c r="X294" s="201"/>
      <c r="Y294" s="201"/>
      <c r="Z294" s="201"/>
    </row>
    <row r="295" ht="12.8" customHeight="1" spans="1:26">
      <c r="A295" s="200"/>
      <c r="B295" s="201"/>
      <c r="C295" s="201"/>
      <c r="D295" s="201"/>
      <c r="E295" s="201"/>
      <c r="F295" s="201"/>
      <c r="G295" s="201"/>
      <c r="H295" s="201"/>
      <c r="I295" s="201"/>
      <c r="J295" s="201"/>
      <c r="K295" s="201"/>
      <c r="L295" s="201"/>
      <c r="M295" s="201"/>
      <c r="N295" s="201"/>
      <c r="O295" s="201"/>
      <c r="P295" s="201"/>
      <c r="Q295" s="201"/>
      <c r="R295" s="201"/>
      <c r="S295" s="201"/>
      <c r="T295" s="201"/>
      <c r="U295" s="201"/>
      <c r="V295" s="201"/>
      <c r="W295" s="201"/>
      <c r="X295" s="201"/>
      <c r="Y295" s="201"/>
      <c r="Z295" s="201"/>
    </row>
    <row r="296" ht="12.8" customHeight="1" spans="1:26">
      <c r="A296" s="200"/>
      <c r="B296" s="201"/>
      <c r="C296" s="201"/>
      <c r="D296" s="201"/>
      <c r="E296" s="201"/>
      <c r="F296" s="201"/>
      <c r="G296" s="201"/>
      <c r="H296" s="201"/>
      <c r="I296" s="201"/>
      <c r="J296" s="201"/>
      <c r="K296" s="201"/>
      <c r="L296" s="201"/>
      <c r="M296" s="201"/>
      <c r="N296" s="201"/>
      <c r="O296" s="201"/>
      <c r="P296" s="201"/>
      <c r="Q296" s="201"/>
      <c r="R296" s="201"/>
      <c r="S296" s="201"/>
      <c r="T296" s="201"/>
      <c r="U296" s="201"/>
      <c r="V296" s="201"/>
      <c r="W296" s="201"/>
      <c r="X296" s="201"/>
      <c r="Y296" s="201"/>
      <c r="Z296" s="201"/>
    </row>
    <row r="297" ht="12.8" customHeight="1" spans="1:26">
      <c r="A297" s="200"/>
      <c r="B297" s="201"/>
      <c r="C297" s="201"/>
      <c r="D297" s="201"/>
      <c r="E297" s="201"/>
      <c r="F297" s="201"/>
      <c r="G297" s="201"/>
      <c r="H297" s="201"/>
      <c r="I297" s="201"/>
      <c r="J297" s="201"/>
      <c r="K297" s="201"/>
      <c r="L297" s="201"/>
      <c r="M297" s="201"/>
      <c r="N297" s="201"/>
      <c r="O297" s="201"/>
      <c r="P297" s="201"/>
      <c r="Q297" s="201"/>
      <c r="R297" s="201"/>
      <c r="S297" s="201"/>
      <c r="T297" s="201"/>
      <c r="U297" s="201"/>
      <c r="V297" s="201"/>
      <c r="W297" s="201"/>
      <c r="X297" s="201"/>
      <c r="Y297" s="201"/>
      <c r="Z297" s="201"/>
    </row>
    <row r="298" ht="12.8" customHeight="1" spans="1:26">
      <c r="A298" s="200"/>
      <c r="B298" s="201"/>
      <c r="C298" s="201"/>
      <c r="D298" s="201"/>
      <c r="E298" s="201"/>
      <c r="F298" s="201"/>
      <c r="G298" s="201"/>
      <c r="H298" s="201"/>
      <c r="I298" s="201"/>
      <c r="J298" s="201"/>
      <c r="K298" s="201"/>
      <c r="L298" s="201"/>
      <c r="M298" s="201"/>
      <c r="N298" s="201"/>
      <c r="O298" s="201"/>
      <c r="P298" s="201"/>
      <c r="Q298" s="201"/>
      <c r="R298" s="201"/>
      <c r="S298" s="201"/>
      <c r="T298" s="201"/>
      <c r="U298" s="201"/>
      <c r="V298" s="201"/>
      <c r="W298" s="201"/>
      <c r="X298" s="201"/>
      <c r="Y298" s="201"/>
      <c r="Z298" s="201"/>
    </row>
    <row r="299" ht="12.8" customHeight="1" spans="1:26">
      <c r="A299" s="200"/>
      <c r="B299" s="201"/>
      <c r="C299" s="201"/>
      <c r="D299" s="201"/>
      <c r="E299" s="201"/>
      <c r="F299" s="201"/>
      <c r="G299" s="201"/>
      <c r="H299" s="201"/>
      <c r="I299" s="201"/>
      <c r="J299" s="201"/>
      <c r="K299" s="201"/>
      <c r="L299" s="201"/>
      <c r="M299" s="201"/>
      <c r="N299" s="201"/>
      <c r="O299" s="201"/>
      <c r="P299" s="201"/>
      <c r="Q299" s="201"/>
      <c r="R299" s="201"/>
      <c r="S299" s="201"/>
      <c r="T299" s="201"/>
      <c r="U299" s="201"/>
      <c r="V299" s="201"/>
      <c r="W299" s="201"/>
      <c r="X299" s="201"/>
      <c r="Y299" s="201"/>
      <c r="Z299" s="201"/>
    </row>
    <row r="300" ht="12.8" customHeight="1" spans="1:26">
      <c r="A300" s="200"/>
      <c r="B300" s="201"/>
      <c r="C300" s="201"/>
      <c r="D300" s="201"/>
      <c r="E300" s="201"/>
      <c r="F300" s="201"/>
      <c r="G300" s="201"/>
      <c r="H300" s="201"/>
      <c r="I300" s="201"/>
      <c r="J300" s="201"/>
      <c r="K300" s="201"/>
      <c r="L300" s="201"/>
      <c r="M300" s="201"/>
      <c r="N300" s="201"/>
      <c r="O300" s="201"/>
      <c r="P300" s="201"/>
      <c r="Q300" s="201"/>
      <c r="R300" s="201"/>
      <c r="S300" s="201"/>
      <c r="T300" s="201"/>
      <c r="U300" s="201"/>
      <c r="V300" s="201"/>
      <c r="W300" s="201"/>
      <c r="X300" s="201"/>
      <c r="Y300" s="201"/>
      <c r="Z300" s="201"/>
    </row>
    <row r="301" ht="12.8" customHeight="1" spans="1:26">
      <c r="A301" s="200"/>
      <c r="B301" s="201"/>
      <c r="C301" s="201"/>
      <c r="D301" s="201"/>
      <c r="E301" s="201"/>
      <c r="F301" s="201"/>
      <c r="G301" s="201"/>
      <c r="H301" s="201"/>
      <c r="I301" s="201"/>
      <c r="J301" s="201"/>
      <c r="K301" s="201"/>
      <c r="L301" s="201"/>
      <c r="M301" s="201"/>
      <c r="N301" s="201"/>
      <c r="O301" s="201"/>
      <c r="P301" s="201"/>
      <c r="Q301" s="201"/>
      <c r="R301" s="201"/>
      <c r="S301" s="201"/>
      <c r="T301" s="201"/>
      <c r="U301" s="201"/>
      <c r="V301" s="201"/>
      <c r="W301" s="201"/>
      <c r="X301" s="201"/>
      <c r="Y301" s="201"/>
      <c r="Z301" s="201"/>
    </row>
    <row r="302" ht="12.8" customHeight="1" spans="1:26">
      <c r="A302" s="200"/>
      <c r="B302" s="201"/>
      <c r="C302" s="201"/>
      <c r="D302" s="201"/>
      <c r="E302" s="201"/>
      <c r="F302" s="201"/>
      <c r="G302" s="201"/>
      <c r="H302" s="201"/>
      <c r="I302" s="201"/>
      <c r="J302" s="201"/>
      <c r="K302" s="201"/>
      <c r="L302" s="201"/>
      <c r="M302" s="201"/>
      <c r="N302" s="201"/>
      <c r="O302" s="201"/>
      <c r="P302" s="201"/>
      <c r="Q302" s="201"/>
      <c r="R302" s="201"/>
      <c r="S302" s="201"/>
      <c r="T302" s="201"/>
      <c r="U302" s="201"/>
      <c r="V302" s="201"/>
      <c r="W302" s="201"/>
      <c r="X302" s="201"/>
      <c r="Y302" s="201"/>
      <c r="Z302" s="201"/>
    </row>
    <row r="303" ht="12.8" customHeight="1" spans="1:26">
      <c r="A303" s="200"/>
      <c r="B303" s="201"/>
      <c r="C303" s="201"/>
      <c r="D303" s="201"/>
      <c r="E303" s="201"/>
      <c r="F303" s="201"/>
      <c r="G303" s="201"/>
      <c r="H303" s="201"/>
      <c r="I303" s="201"/>
      <c r="J303" s="201"/>
      <c r="K303" s="201"/>
      <c r="L303" s="201"/>
      <c r="M303" s="201"/>
      <c r="N303" s="201"/>
      <c r="O303" s="201"/>
      <c r="P303" s="201"/>
      <c r="Q303" s="201"/>
      <c r="R303" s="201"/>
      <c r="S303" s="201"/>
      <c r="T303" s="201"/>
      <c r="U303" s="201"/>
      <c r="V303" s="201"/>
      <c r="W303" s="201"/>
      <c r="X303" s="201"/>
      <c r="Y303" s="201"/>
      <c r="Z303" s="201"/>
    </row>
    <row r="304" ht="12.8" customHeight="1" spans="1:26">
      <c r="A304" s="200"/>
      <c r="B304" s="201"/>
      <c r="C304" s="201"/>
      <c r="D304" s="201"/>
      <c r="E304" s="201"/>
      <c r="F304" s="201"/>
      <c r="G304" s="201"/>
      <c r="H304" s="201"/>
      <c r="I304" s="201"/>
      <c r="J304" s="201"/>
      <c r="K304" s="201"/>
      <c r="L304" s="201"/>
      <c r="M304" s="201"/>
      <c r="N304" s="201"/>
      <c r="O304" s="201"/>
      <c r="P304" s="201"/>
      <c r="Q304" s="201"/>
      <c r="R304" s="201"/>
      <c r="S304" s="201"/>
      <c r="T304" s="201"/>
      <c r="U304" s="201"/>
      <c r="V304" s="201"/>
      <c r="W304" s="201"/>
      <c r="X304" s="201"/>
      <c r="Y304" s="201"/>
      <c r="Z304" s="201"/>
    </row>
    <row r="305" ht="12.8" customHeight="1" spans="1:26">
      <c r="A305" s="200"/>
      <c r="B305" s="201"/>
      <c r="C305" s="201"/>
      <c r="D305" s="201"/>
      <c r="E305" s="201"/>
      <c r="F305" s="201"/>
      <c r="G305" s="201"/>
      <c r="H305" s="201"/>
      <c r="I305" s="201"/>
      <c r="J305" s="201"/>
      <c r="K305" s="201"/>
      <c r="L305" s="201"/>
      <c r="M305" s="201"/>
      <c r="N305" s="201"/>
      <c r="O305" s="201"/>
      <c r="P305" s="201"/>
      <c r="Q305" s="201"/>
      <c r="R305" s="201"/>
      <c r="S305" s="201"/>
      <c r="T305" s="201"/>
      <c r="U305" s="201"/>
      <c r="V305" s="201"/>
      <c r="W305" s="201"/>
      <c r="X305" s="201"/>
      <c r="Y305" s="201"/>
      <c r="Z305" s="201"/>
    </row>
    <row r="306" ht="12.8" customHeight="1" spans="1:26">
      <c r="A306" s="200"/>
      <c r="B306" s="201"/>
      <c r="C306" s="201"/>
      <c r="D306" s="201"/>
      <c r="E306" s="201"/>
      <c r="F306" s="201"/>
      <c r="G306" s="201"/>
      <c r="H306" s="201"/>
      <c r="I306" s="201"/>
      <c r="J306" s="201"/>
      <c r="K306" s="201"/>
      <c r="L306" s="201"/>
      <c r="M306" s="201"/>
      <c r="N306" s="201"/>
      <c r="O306" s="201"/>
      <c r="P306" s="201"/>
      <c r="Q306" s="201"/>
      <c r="R306" s="201"/>
      <c r="S306" s="201"/>
      <c r="T306" s="201"/>
      <c r="U306" s="201"/>
      <c r="V306" s="201"/>
      <c r="W306" s="201"/>
      <c r="X306" s="201"/>
      <c r="Y306" s="201"/>
      <c r="Z306" s="201"/>
    </row>
    <row r="307" ht="12.8" customHeight="1" spans="1:26">
      <c r="A307" s="200"/>
      <c r="B307" s="201"/>
      <c r="C307" s="201"/>
      <c r="D307" s="201"/>
      <c r="E307" s="201"/>
      <c r="F307" s="201"/>
      <c r="G307" s="201"/>
      <c r="H307" s="201"/>
      <c r="I307" s="201"/>
      <c r="J307" s="201"/>
      <c r="K307" s="201"/>
      <c r="L307" s="201"/>
      <c r="M307" s="201"/>
      <c r="N307" s="201"/>
      <c r="O307" s="201"/>
      <c r="P307" s="201"/>
      <c r="Q307" s="201"/>
      <c r="R307" s="201"/>
      <c r="S307" s="201"/>
      <c r="T307" s="201"/>
      <c r="U307" s="201"/>
      <c r="V307" s="201"/>
      <c r="W307" s="201"/>
      <c r="X307" s="201"/>
      <c r="Y307" s="201"/>
      <c r="Z307" s="201"/>
    </row>
    <row r="308" ht="12.8" customHeight="1" spans="1:26">
      <c r="A308" s="200"/>
      <c r="B308" s="201"/>
      <c r="C308" s="201"/>
      <c r="D308" s="201"/>
      <c r="E308" s="201"/>
      <c r="F308" s="201"/>
      <c r="G308" s="201"/>
      <c r="H308" s="201"/>
      <c r="I308" s="201"/>
      <c r="J308" s="201"/>
      <c r="K308" s="201"/>
      <c r="L308" s="201"/>
      <c r="M308" s="201"/>
      <c r="N308" s="201"/>
      <c r="O308" s="201"/>
      <c r="P308" s="201"/>
      <c r="Q308" s="201"/>
      <c r="R308" s="201"/>
      <c r="S308" s="201"/>
      <c r="T308" s="201"/>
      <c r="U308" s="201"/>
      <c r="V308" s="201"/>
      <c r="W308" s="201"/>
      <c r="X308" s="201"/>
      <c r="Y308" s="201"/>
      <c r="Z308" s="201"/>
    </row>
    <row r="309" ht="12.8" customHeight="1" spans="1:26">
      <c r="A309" s="200"/>
      <c r="B309" s="201"/>
      <c r="C309" s="201"/>
      <c r="D309" s="201"/>
      <c r="E309" s="201"/>
      <c r="F309" s="201"/>
      <c r="G309" s="201"/>
      <c r="H309" s="201"/>
      <c r="I309" s="201"/>
      <c r="J309" s="201"/>
      <c r="K309" s="201"/>
      <c r="L309" s="201"/>
      <c r="M309" s="201"/>
      <c r="N309" s="201"/>
      <c r="O309" s="201"/>
      <c r="P309" s="201"/>
      <c r="Q309" s="201"/>
      <c r="R309" s="201"/>
      <c r="S309" s="201"/>
      <c r="T309" s="201"/>
      <c r="U309" s="201"/>
      <c r="V309" s="201"/>
      <c r="W309" s="201"/>
      <c r="X309" s="201"/>
      <c r="Y309" s="201"/>
      <c r="Z309" s="201"/>
    </row>
    <row r="310" ht="12.8" customHeight="1" spans="1:26">
      <c r="A310" s="200"/>
      <c r="B310" s="201"/>
      <c r="C310" s="201"/>
      <c r="D310" s="201"/>
      <c r="E310" s="201"/>
      <c r="F310" s="201"/>
      <c r="G310" s="201"/>
      <c r="H310" s="201"/>
      <c r="I310" s="201"/>
      <c r="J310" s="201"/>
      <c r="K310" s="201"/>
      <c r="L310" s="201"/>
      <c r="M310" s="201"/>
      <c r="N310" s="201"/>
      <c r="O310" s="201"/>
      <c r="P310" s="201"/>
      <c r="Q310" s="201"/>
      <c r="R310" s="201"/>
      <c r="S310" s="201"/>
      <c r="T310" s="201"/>
      <c r="U310" s="201"/>
      <c r="V310" s="201"/>
      <c r="W310" s="201"/>
      <c r="X310" s="201"/>
      <c r="Y310" s="201"/>
      <c r="Z310" s="201"/>
    </row>
    <row r="311" ht="12.8" customHeight="1" spans="1:26">
      <c r="A311" s="200"/>
      <c r="B311" s="201"/>
      <c r="C311" s="201"/>
      <c r="D311" s="201"/>
      <c r="E311" s="201"/>
      <c r="F311" s="201"/>
      <c r="G311" s="201"/>
      <c r="H311" s="201"/>
      <c r="I311" s="201"/>
      <c r="J311" s="201"/>
      <c r="K311" s="201"/>
      <c r="L311" s="201"/>
      <c r="M311" s="201"/>
      <c r="N311" s="201"/>
      <c r="O311" s="201"/>
      <c r="P311" s="201"/>
      <c r="Q311" s="201"/>
      <c r="R311" s="201"/>
      <c r="S311" s="201"/>
      <c r="T311" s="201"/>
      <c r="U311" s="201"/>
      <c r="V311" s="201"/>
      <c r="W311" s="201"/>
      <c r="X311" s="201"/>
      <c r="Y311" s="201"/>
      <c r="Z311" s="201"/>
    </row>
    <row r="312" ht="12.8" customHeight="1" spans="1:26">
      <c r="A312" s="200"/>
      <c r="B312" s="201"/>
      <c r="C312" s="201"/>
      <c r="D312" s="201"/>
      <c r="E312" s="201"/>
      <c r="F312" s="201"/>
      <c r="G312" s="201"/>
      <c r="H312" s="201"/>
      <c r="I312" s="201"/>
      <c r="J312" s="201"/>
      <c r="K312" s="201"/>
      <c r="L312" s="201"/>
      <c r="M312" s="201"/>
      <c r="N312" s="201"/>
      <c r="O312" s="201"/>
      <c r="P312" s="201"/>
      <c r="Q312" s="201"/>
      <c r="R312" s="201"/>
      <c r="S312" s="201"/>
      <c r="T312" s="201"/>
      <c r="U312" s="201"/>
      <c r="V312" s="201"/>
      <c r="W312" s="201"/>
      <c r="X312" s="201"/>
      <c r="Y312" s="201"/>
      <c r="Z312" s="201"/>
    </row>
    <row r="313" ht="12.8" customHeight="1" spans="1:26">
      <c r="A313" s="200"/>
      <c r="B313" s="201"/>
      <c r="C313" s="201"/>
      <c r="D313" s="201"/>
      <c r="E313" s="201"/>
      <c r="F313" s="201"/>
      <c r="G313" s="201"/>
      <c r="H313" s="201"/>
      <c r="I313" s="201"/>
      <c r="J313" s="201"/>
      <c r="K313" s="201"/>
      <c r="L313" s="201"/>
      <c r="M313" s="201"/>
      <c r="N313" s="201"/>
      <c r="O313" s="201"/>
      <c r="P313" s="201"/>
      <c r="Q313" s="201"/>
      <c r="R313" s="201"/>
      <c r="S313" s="201"/>
      <c r="T313" s="201"/>
      <c r="U313" s="201"/>
      <c r="V313" s="201"/>
      <c r="W313" s="201"/>
      <c r="X313" s="201"/>
      <c r="Y313" s="201"/>
      <c r="Z313" s="201"/>
    </row>
    <row r="314" ht="12.8" customHeight="1" spans="1:26">
      <c r="A314" s="200"/>
      <c r="B314" s="201"/>
      <c r="C314" s="201"/>
      <c r="D314" s="201"/>
      <c r="E314" s="201"/>
      <c r="F314" s="201"/>
      <c r="G314" s="201"/>
      <c r="H314" s="201"/>
      <c r="I314" s="201"/>
      <c r="J314" s="201"/>
      <c r="K314" s="201"/>
      <c r="L314" s="201"/>
      <c r="M314" s="201"/>
      <c r="N314" s="201"/>
      <c r="O314" s="201"/>
      <c r="P314" s="201"/>
      <c r="Q314" s="201"/>
      <c r="R314" s="201"/>
      <c r="S314" s="201"/>
      <c r="T314" s="201"/>
      <c r="U314" s="201"/>
      <c r="V314" s="201"/>
      <c r="W314" s="201"/>
      <c r="X314" s="201"/>
      <c r="Y314" s="201"/>
      <c r="Z314" s="201"/>
    </row>
    <row r="315" ht="12.8" customHeight="1" spans="1:26">
      <c r="A315" s="200"/>
      <c r="B315" s="201"/>
      <c r="C315" s="201"/>
      <c r="D315" s="201"/>
      <c r="E315" s="201"/>
      <c r="F315" s="201"/>
      <c r="G315" s="201"/>
      <c r="H315" s="201"/>
      <c r="I315" s="201"/>
      <c r="J315" s="201"/>
      <c r="K315" s="201"/>
      <c r="L315" s="201"/>
      <c r="M315" s="201"/>
      <c r="N315" s="201"/>
      <c r="O315" s="201"/>
      <c r="P315" s="201"/>
      <c r="Q315" s="201"/>
      <c r="R315" s="201"/>
      <c r="S315" s="201"/>
      <c r="T315" s="201"/>
      <c r="U315" s="201"/>
      <c r="V315" s="201"/>
      <c r="W315" s="201"/>
      <c r="X315" s="201"/>
      <c r="Y315" s="201"/>
      <c r="Z315" s="201"/>
    </row>
    <row r="316" ht="12.8" customHeight="1" spans="1:26">
      <c r="A316" s="200"/>
      <c r="B316" s="201"/>
      <c r="C316" s="201"/>
      <c r="D316" s="201"/>
      <c r="E316" s="201"/>
      <c r="F316" s="201"/>
      <c r="G316" s="201"/>
      <c r="H316" s="201"/>
      <c r="I316" s="201"/>
      <c r="J316" s="201"/>
      <c r="K316" s="201"/>
      <c r="L316" s="201"/>
      <c r="M316" s="201"/>
      <c r="N316" s="201"/>
      <c r="O316" s="201"/>
      <c r="P316" s="201"/>
      <c r="Q316" s="201"/>
      <c r="R316" s="201"/>
      <c r="S316" s="201"/>
      <c r="T316" s="201"/>
      <c r="U316" s="201"/>
      <c r="V316" s="201"/>
      <c r="W316" s="201"/>
      <c r="X316" s="201"/>
      <c r="Y316" s="201"/>
      <c r="Z316" s="201"/>
    </row>
    <row r="317" ht="12.8" customHeight="1" spans="1:26">
      <c r="A317" s="200"/>
      <c r="B317" s="201"/>
      <c r="C317" s="201"/>
      <c r="D317" s="201"/>
      <c r="E317" s="201"/>
      <c r="F317" s="201"/>
      <c r="G317" s="201"/>
      <c r="H317" s="201"/>
      <c r="I317" s="201"/>
      <c r="J317" s="201"/>
      <c r="K317" s="201"/>
      <c r="L317" s="201"/>
      <c r="M317" s="201"/>
      <c r="N317" s="201"/>
      <c r="O317" s="201"/>
      <c r="P317" s="201"/>
      <c r="Q317" s="201"/>
      <c r="R317" s="201"/>
      <c r="S317" s="201"/>
      <c r="T317" s="201"/>
      <c r="U317" s="201"/>
      <c r="V317" s="201"/>
      <c r="W317" s="201"/>
      <c r="X317" s="201"/>
      <c r="Y317" s="201"/>
      <c r="Z317" s="201"/>
    </row>
    <row r="318" ht="12.8" customHeight="1" spans="1:26">
      <c r="A318" s="200"/>
      <c r="B318" s="201"/>
      <c r="C318" s="201"/>
      <c r="D318" s="201"/>
      <c r="E318" s="201"/>
      <c r="F318" s="201"/>
      <c r="G318" s="201"/>
      <c r="H318" s="201"/>
      <c r="I318" s="201"/>
      <c r="J318" s="201"/>
      <c r="K318" s="201"/>
      <c r="L318" s="201"/>
      <c r="M318" s="201"/>
      <c r="N318" s="201"/>
      <c r="O318" s="201"/>
      <c r="P318" s="201"/>
      <c r="Q318" s="201"/>
      <c r="R318" s="201"/>
      <c r="S318" s="201"/>
      <c r="T318" s="201"/>
      <c r="U318" s="201"/>
      <c r="V318" s="201"/>
      <c r="W318" s="201"/>
      <c r="X318" s="201"/>
      <c r="Y318" s="201"/>
      <c r="Z318" s="201"/>
    </row>
    <row r="319" ht="12.8" customHeight="1" spans="1:26">
      <c r="A319" s="200"/>
      <c r="B319" s="201"/>
      <c r="C319" s="201"/>
      <c r="D319" s="201"/>
      <c r="E319" s="201"/>
      <c r="F319" s="201"/>
      <c r="G319" s="201"/>
      <c r="H319" s="201"/>
      <c r="I319" s="201"/>
      <c r="J319" s="201"/>
      <c r="K319" s="201"/>
      <c r="L319" s="201"/>
      <c r="M319" s="201"/>
      <c r="N319" s="201"/>
      <c r="O319" s="201"/>
      <c r="P319" s="201"/>
      <c r="Q319" s="201"/>
      <c r="R319" s="201"/>
      <c r="S319" s="201"/>
      <c r="T319" s="201"/>
      <c r="U319" s="201"/>
      <c r="V319" s="201"/>
      <c r="W319" s="201"/>
      <c r="X319" s="201"/>
      <c r="Y319" s="201"/>
      <c r="Z319" s="201"/>
    </row>
    <row r="320" ht="12.8" customHeight="1" spans="1:26">
      <c r="A320" s="200"/>
      <c r="B320" s="201"/>
      <c r="C320" s="201"/>
      <c r="D320" s="201"/>
      <c r="E320" s="201"/>
      <c r="F320" s="201"/>
      <c r="G320" s="201"/>
      <c r="H320" s="201"/>
      <c r="I320" s="201"/>
      <c r="J320" s="201"/>
      <c r="K320" s="201"/>
      <c r="L320" s="201"/>
      <c r="M320" s="201"/>
      <c r="N320" s="201"/>
      <c r="O320" s="201"/>
      <c r="P320" s="201"/>
      <c r="Q320" s="201"/>
      <c r="R320" s="201"/>
      <c r="S320" s="201"/>
      <c r="T320" s="201"/>
      <c r="U320" s="201"/>
      <c r="V320" s="201"/>
      <c r="W320" s="201"/>
      <c r="X320" s="201"/>
      <c r="Y320" s="201"/>
      <c r="Z320" s="201"/>
    </row>
    <row r="321" ht="12.8" customHeight="1" spans="1:26">
      <c r="A321" s="200"/>
      <c r="B321" s="201"/>
      <c r="C321" s="201"/>
      <c r="D321" s="201"/>
      <c r="E321" s="201"/>
      <c r="F321" s="201"/>
      <c r="G321" s="201"/>
      <c r="H321" s="201"/>
      <c r="I321" s="201"/>
      <c r="J321" s="201"/>
      <c r="K321" s="201"/>
      <c r="L321" s="201"/>
      <c r="M321" s="201"/>
      <c r="N321" s="201"/>
      <c r="O321" s="201"/>
      <c r="P321" s="201"/>
      <c r="Q321" s="201"/>
      <c r="R321" s="201"/>
      <c r="S321" s="201"/>
      <c r="T321" s="201"/>
      <c r="U321" s="201"/>
      <c r="V321" s="201"/>
      <c r="W321" s="201"/>
      <c r="X321" s="201"/>
      <c r="Y321" s="201"/>
      <c r="Z321" s="201"/>
    </row>
    <row r="322" ht="12.8" customHeight="1" spans="1:26">
      <c r="A322" s="200"/>
      <c r="B322" s="201"/>
      <c r="C322" s="201"/>
      <c r="D322" s="201"/>
      <c r="E322" s="201"/>
      <c r="F322" s="201"/>
      <c r="G322" s="201"/>
      <c r="H322" s="201"/>
      <c r="I322" s="201"/>
      <c r="J322" s="201"/>
      <c r="K322" s="201"/>
      <c r="L322" s="201"/>
      <c r="M322" s="201"/>
      <c r="N322" s="201"/>
      <c r="O322" s="201"/>
      <c r="P322" s="201"/>
      <c r="Q322" s="201"/>
      <c r="R322" s="201"/>
      <c r="S322" s="201"/>
      <c r="T322" s="201"/>
      <c r="U322" s="201"/>
      <c r="V322" s="201"/>
      <c r="W322" s="201"/>
      <c r="X322" s="201"/>
      <c r="Y322" s="201"/>
      <c r="Z322" s="201"/>
    </row>
    <row r="323" ht="12.8" customHeight="1" spans="1:26">
      <c r="A323" s="200"/>
      <c r="B323" s="201"/>
      <c r="C323" s="201"/>
      <c r="D323" s="201"/>
      <c r="E323" s="201"/>
      <c r="F323" s="201"/>
      <c r="G323" s="201"/>
      <c r="H323" s="201"/>
      <c r="I323" s="201"/>
      <c r="J323" s="201"/>
      <c r="K323" s="201"/>
      <c r="L323" s="201"/>
      <c r="M323" s="201"/>
      <c r="N323" s="201"/>
      <c r="O323" s="201"/>
      <c r="P323" s="201"/>
      <c r="Q323" s="201"/>
      <c r="R323" s="201"/>
      <c r="S323" s="201"/>
      <c r="T323" s="201"/>
      <c r="U323" s="201"/>
      <c r="V323" s="201"/>
      <c r="W323" s="201"/>
      <c r="X323" s="201"/>
      <c r="Y323" s="201"/>
      <c r="Z323" s="201"/>
    </row>
    <row r="324" ht="12.8" customHeight="1" spans="1:26">
      <c r="A324" s="200"/>
      <c r="B324" s="201"/>
      <c r="C324" s="201"/>
      <c r="D324" s="201"/>
      <c r="E324" s="201"/>
      <c r="F324" s="201"/>
      <c r="G324" s="201"/>
      <c r="H324" s="201"/>
      <c r="I324" s="201"/>
      <c r="J324" s="201"/>
      <c r="K324" s="201"/>
      <c r="L324" s="201"/>
      <c r="M324" s="201"/>
      <c r="N324" s="201"/>
      <c r="O324" s="201"/>
      <c r="P324" s="201"/>
      <c r="Q324" s="201"/>
      <c r="R324" s="201"/>
      <c r="S324" s="201"/>
      <c r="T324" s="201"/>
      <c r="U324" s="201"/>
      <c r="V324" s="201"/>
      <c r="W324" s="201"/>
      <c r="X324" s="201"/>
      <c r="Y324" s="201"/>
      <c r="Z324" s="201"/>
    </row>
    <row r="325" ht="12.8" customHeight="1" spans="1:26">
      <c r="A325" s="200"/>
      <c r="B325" s="201"/>
      <c r="C325" s="201"/>
      <c r="D325" s="201"/>
      <c r="E325" s="201"/>
      <c r="F325" s="201"/>
      <c r="G325" s="201"/>
      <c r="H325" s="201"/>
      <c r="I325" s="201"/>
      <c r="J325" s="201"/>
      <c r="K325" s="201"/>
      <c r="L325" s="201"/>
      <c r="M325" s="201"/>
      <c r="N325" s="201"/>
      <c r="O325" s="201"/>
      <c r="P325" s="201"/>
      <c r="Q325" s="201"/>
      <c r="R325" s="201"/>
      <c r="S325" s="201"/>
      <c r="T325" s="201"/>
      <c r="U325" s="201"/>
      <c r="V325" s="201"/>
      <c r="W325" s="201"/>
      <c r="X325" s="201"/>
      <c r="Y325" s="201"/>
      <c r="Z325" s="201"/>
    </row>
    <row r="326" ht="12.8" customHeight="1" spans="1:26">
      <c r="A326" s="200"/>
      <c r="B326" s="201"/>
      <c r="C326" s="201"/>
      <c r="D326" s="201"/>
      <c r="E326" s="201"/>
      <c r="F326" s="201"/>
      <c r="G326" s="201"/>
      <c r="H326" s="201"/>
      <c r="I326" s="201"/>
      <c r="J326" s="201"/>
      <c r="K326" s="201"/>
      <c r="L326" s="201"/>
      <c r="M326" s="201"/>
      <c r="N326" s="201"/>
      <c r="O326" s="201"/>
      <c r="P326" s="201"/>
      <c r="Q326" s="201"/>
      <c r="R326" s="201"/>
      <c r="S326" s="201"/>
      <c r="T326" s="201"/>
      <c r="U326" s="201"/>
      <c r="V326" s="201"/>
      <c r="W326" s="201"/>
      <c r="X326" s="201"/>
      <c r="Y326" s="201"/>
      <c r="Z326" s="201"/>
    </row>
    <row r="327" ht="12.8" customHeight="1" spans="1:26">
      <c r="A327" s="200"/>
      <c r="B327" s="201"/>
      <c r="C327" s="201"/>
      <c r="D327" s="201"/>
      <c r="E327" s="201"/>
      <c r="F327" s="201"/>
      <c r="G327" s="201"/>
      <c r="H327" s="201"/>
      <c r="I327" s="201"/>
      <c r="J327" s="201"/>
      <c r="K327" s="201"/>
      <c r="L327" s="201"/>
      <c r="M327" s="201"/>
      <c r="N327" s="201"/>
      <c r="O327" s="201"/>
      <c r="P327" s="201"/>
      <c r="Q327" s="201"/>
      <c r="R327" s="201"/>
      <c r="S327" s="201"/>
      <c r="T327" s="201"/>
      <c r="U327" s="201"/>
      <c r="V327" s="201"/>
      <c r="W327" s="201"/>
      <c r="X327" s="201"/>
      <c r="Y327" s="201"/>
      <c r="Z327" s="201"/>
    </row>
    <row r="328" ht="12.8" customHeight="1" spans="1:26">
      <c r="A328" s="200"/>
      <c r="B328" s="201"/>
      <c r="C328" s="201"/>
      <c r="D328" s="201"/>
      <c r="E328" s="201"/>
      <c r="F328" s="201"/>
      <c r="G328" s="201"/>
      <c r="H328" s="201"/>
      <c r="I328" s="201"/>
      <c r="J328" s="201"/>
      <c r="K328" s="201"/>
      <c r="L328" s="201"/>
      <c r="M328" s="201"/>
      <c r="N328" s="201"/>
      <c r="O328" s="201"/>
      <c r="P328" s="201"/>
      <c r="Q328" s="201"/>
      <c r="R328" s="201"/>
      <c r="S328" s="201"/>
      <c r="T328" s="201"/>
      <c r="U328" s="201"/>
      <c r="V328" s="201"/>
      <c r="W328" s="201"/>
      <c r="X328" s="201"/>
      <c r="Y328" s="201"/>
      <c r="Z328" s="201"/>
    </row>
    <row r="329" ht="12.8" customHeight="1" spans="1:26">
      <c r="A329" s="200"/>
      <c r="B329" s="201"/>
      <c r="C329" s="201"/>
      <c r="D329" s="201"/>
      <c r="E329" s="201"/>
      <c r="F329" s="201"/>
      <c r="G329" s="201"/>
      <c r="H329" s="201"/>
      <c r="I329" s="201"/>
      <c r="J329" s="201"/>
      <c r="K329" s="201"/>
      <c r="L329" s="201"/>
      <c r="M329" s="201"/>
      <c r="N329" s="201"/>
      <c r="O329" s="201"/>
      <c r="P329" s="201"/>
      <c r="Q329" s="201"/>
      <c r="R329" s="201"/>
      <c r="S329" s="201"/>
      <c r="T329" s="201"/>
      <c r="U329" s="201"/>
      <c r="V329" s="201"/>
      <c r="W329" s="201"/>
      <c r="X329" s="201"/>
      <c r="Y329" s="201"/>
      <c r="Z329" s="201"/>
    </row>
    <row r="330" ht="12.8" customHeight="1" spans="1:26">
      <c r="A330" s="200"/>
      <c r="B330" s="201"/>
      <c r="C330" s="201"/>
      <c r="D330" s="201"/>
      <c r="E330" s="201"/>
      <c r="F330" s="201"/>
      <c r="G330" s="201"/>
      <c r="H330" s="201"/>
      <c r="I330" s="201"/>
      <c r="J330" s="201"/>
      <c r="K330" s="201"/>
      <c r="L330" s="201"/>
      <c r="M330" s="201"/>
      <c r="N330" s="201"/>
      <c r="O330" s="201"/>
      <c r="P330" s="201"/>
      <c r="Q330" s="201"/>
      <c r="R330" s="201"/>
      <c r="S330" s="201"/>
      <c r="T330" s="201"/>
      <c r="U330" s="201"/>
      <c r="V330" s="201"/>
      <c r="W330" s="201"/>
      <c r="X330" s="201"/>
      <c r="Y330" s="201"/>
      <c r="Z330" s="201"/>
    </row>
    <row r="331" ht="12.8" customHeight="1" spans="1:26">
      <c r="A331" s="200"/>
      <c r="B331" s="201"/>
      <c r="C331" s="201"/>
      <c r="D331" s="201"/>
      <c r="E331" s="201"/>
      <c r="F331" s="201"/>
      <c r="G331" s="201"/>
      <c r="H331" s="201"/>
      <c r="I331" s="201"/>
      <c r="J331" s="201"/>
      <c r="K331" s="201"/>
      <c r="L331" s="201"/>
      <c r="M331" s="201"/>
      <c r="N331" s="201"/>
      <c r="O331" s="201"/>
      <c r="P331" s="201"/>
      <c r="Q331" s="201"/>
      <c r="R331" s="201"/>
      <c r="S331" s="201"/>
      <c r="T331" s="201"/>
      <c r="U331" s="201"/>
      <c r="V331" s="201"/>
      <c r="W331" s="201"/>
      <c r="X331" s="201"/>
      <c r="Y331" s="201"/>
      <c r="Z331" s="201"/>
    </row>
    <row r="332" ht="12.8" customHeight="1" spans="1:26">
      <c r="A332" s="200"/>
      <c r="B332" s="201"/>
      <c r="C332" s="201"/>
      <c r="D332" s="201"/>
      <c r="E332" s="201"/>
      <c r="F332" s="201"/>
      <c r="G332" s="201"/>
      <c r="H332" s="201"/>
      <c r="I332" s="201"/>
      <c r="J332" s="201"/>
      <c r="K332" s="201"/>
      <c r="L332" s="201"/>
      <c r="M332" s="201"/>
      <c r="N332" s="201"/>
      <c r="O332" s="201"/>
      <c r="P332" s="201"/>
      <c r="Q332" s="201"/>
      <c r="R332" s="201"/>
      <c r="S332" s="201"/>
      <c r="T332" s="201"/>
      <c r="U332" s="201"/>
      <c r="V332" s="201"/>
      <c r="W332" s="201"/>
      <c r="X332" s="201"/>
      <c r="Y332" s="201"/>
      <c r="Z332" s="201"/>
    </row>
    <row r="333" ht="12.8" customHeight="1" spans="1:26">
      <c r="A333" s="200"/>
      <c r="B333" s="201"/>
      <c r="C333" s="201"/>
      <c r="D333" s="201"/>
      <c r="E333" s="201"/>
      <c r="F333" s="201"/>
      <c r="G333" s="201"/>
      <c r="H333" s="201"/>
      <c r="I333" s="201"/>
      <c r="J333" s="201"/>
      <c r="K333" s="201"/>
      <c r="L333" s="201"/>
      <c r="M333" s="201"/>
      <c r="N333" s="201"/>
      <c r="O333" s="201"/>
      <c r="P333" s="201"/>
      <c r="Q333" s="201"/>
      <c r="R333" s="201"/>
      <c r="S333" s="201"/>
      <c r="T333" s="201"/>
      <c r="U333" s="201"/>
      <c r="V333" s="201"/>
      <c r="W333" s="201"/>
      <c r="X333" s="201"/>
      <c r="Y333" s="201"/>
      <c r="Z333" s="201"/>
    </row>
    <row r="334" ht="12.8" customHeight="1" spans="1:26">
      <c r="A334" s="200"/>
      <c r="B334" s="201"/>
      <c r="C334" s="201"/>
      <c r="D334" s="201"/>
      <c r="E334" s="201"/>
      <c r="F334" s="201"/>
      <c r="G334" s="201"/>
      <c r="H334" s="201"/>
      <c r="I334" s="201"/>
      <c r="J334" s="201"/>
      <c r="K334" s="201"/>
      <c r="L334" s="201"/>
      <c r="M334" s="201"/>
      <c r="N334" s="201"/>
      <c r="O334" s="201"/>
      <c r="P334" s="201"/>
      <c r="Q334" s="201"/>
      <c r="R334" s="201"/>
      <c r="S334" s="201"/>
      <c r="T334" s="201"/>
      <c r="U334" s="201"/>
      <c r="V334" s="201"/>
      <c r="W334" s="201"/>
      <c r="X334" s="201"/>
      <c r="Y334" s="201"/>
      <c r="Z334" s="201"/>
    </row>
    <row r="335" ht="12.8" customHeight="1" spans="1:26">
      <c r="A335" s="200"/>
      <c r="B335" s="201"/>
      <c r="C335" s="201"/>
      <c r="D335" s="201"/>
      <c r="E335" s="201"/>
      <c r="F335" s="201"/>
      <c r="G335" s="201"/>
      <c r="H335" s="201"/>
      <c r="I335" s="201"/>
      <c r="J335" s="201"/>
      <c r="K335" s="201"/>
      <c r="L335" s="201"/>
      <c r="M335" s="201"/>
      <c r="N335" s="201"/>
      <c r="O335" s="201"/>
      <c r="P335" s="201"/>
      <c r="Q335" s="201"/>
      <c r="R335" s="201"/>
      <c r="S335" s="201"/>
      <c r="T335" s="201"/>
      <c r="U335" s="201"/>
      <c r="V335" s="201"/>
      <c r="W335" s="201"/>
      <c r="X335" s="201"/>
      <c r="Y335" s="201"/>
      <c r="Z335" s="201"/>
    </row>
    <row r="336" ht="12.8" customHeight="1" spans="1:26">
      <c r="A336" s="200"/>
      <c r="B336" s="201"/>
      <c r="C336" s="201"/>
      <c r="D336" s="201"/>
      <c r="E336" s="201"/>
      <c r="F336" s="201"/>
      <c r="G336" s="201"/>
      <c r="H336" s="201"/>
      <c r="I336" s="201"/>
      <c r="J336" s="201"/>
      <c r="K336" s="201"/>
      <c r="L336" s="201"/>
      <c r="M336" s="201"/>
      <c r="N336" s="201"/>
      <c r="O336" s="201"/>
      <c r="P336" s="201"/>
      <c r="Q336" s="201"/>
      <c r="R336" s="201"/>
      <c r="S336" s="201"/>
      <c r="T336" s="201"/>
      <c r="U336" s="201"/>
      <c r="V336" s="201"/>
      <c r="W336" s="201"/>
      <c r="X336" s="201"/>
      <c r="Y336" s="201"/>
      <c r="Z336" s="201"/>
    </row>
    <row r="337" ht="12.8" customHeight="1" spans="1:26">
      <c r="A337" s="200"/>
      <c r="B337" s="201"/>
      <c r="C337" s="201"/>
      <c r="D337" s="201"/>
      <c r="E337" s="201"/>
      <c r="F337" s="201"/>
      <c r="G337" s="201"/>
      <c r="H337" s="201"/>
      <c r="I337" s="201"/>
      <c r="J337" s="201"/>
      <c r="K337" s="201"/>
      <c r="L337" s="201"/>
      <c r="M337" s="201"/>
      <c r="N337" s="201"/>
      <c r="O337" s="201"/>
      <c r="P337" s="201"/>
      <c r="Q337" s="201"/>
      <c r="R337" s="201"/>
      <c r="S337" s="201"/>
      <c r="T337" s="201"/>
      <c r="U337" s="201"/>
      <c r="V337" s="201"/>
      <c r="W337" s="201"/>
      <c r="X337" s="201"/>
      <c r="Y337" s="201"/>
      <c r="Z337" s="201"/>
    </row>
    <row r="338" ht="12.8" customHeight="1" spans="1:26">
      <c r="A338" s="200"/>
      <c r="B338" s="201"/>
      <c r="C338" s="201"/>
      <c r="D338" s="201"/>
      <c r="E338" s="201"/>
      <c r="F338" s="201"/>
      <c r="G338" s="201"/>
      <c r="H338" s="201"/>
      <c r="I338" s="201"/>
      <c r="J338" s="201"/>
      <c r="K338" s="201"/>
      <c r="L338" s="201"/>
      <c r="M338" s="201"/>
      <c r="N338" s="201"/>
      <c r="O338" s="201"/>
      <c r="P338" s="201"/>
      <c r="Q338" s="201"/>
      <c r="R338" s="201"/>
      <c r="S338" s="201"/>
      <c r="T338" s="201"/>
      <c r="U338" s="201"/>
      <c r="V338" s="201"/>
      <c r="W338" s="201"/>
      <c r="X338" s="201"/>
      <c r="Y338" s="201"/>
      <c r="Z338" s="201"/>
    </row>
    <row r="339" ht="12.8" customHeight="1" spans="1:26">
      <c r="A339" s="200"/>
      <c r="B339" s="201"/>
      <c r="C339" s="201"/>
      <c r="D339" s="201"/>
      <c r="E339" s="201"/>
      <c r="F339" s="201"/>
      <c r="G339" s="201"/>
      <c r="H339" s="201"/>
      <c r="I339" s="201"/>
      <c r="J339" s="201"/>
      <c r="K339" s="201"/>
      <c r="L339" s="201"/>
      <c r="M339" s="201"/>
      <c r="N339" s="201"/>
      <c r="O339" s="201"/>
      <c r="P339" s="201"/>
      <c r="Q339" s="201"/>
      <c r="R339" s="201"/>
      <c r="S339" s="201"/>
      <c r="T339" s="201"/>
      <c r="U339" s="201"/>
      <c r="V339" s="201"/>
      <c r="W339" s="201"/>
      <c r="X339" s="201"/>
      <c r="Y339" s="201"/>
      <c r="Z339" s="201"/>
    </row>
    <row r="340" ht="12.8" customHeight="1" spans="1:26">
      <c r="A340" s="200"/>
      <c r="B340" s="201"/>
      <c r="C340" s="201"/>
      <c r="D340" s="201"/>
      <c r="E340" s="201"/>
      <c r="F340" s="201"/>
      <c r="G340" s="201"/>
      <c r="H340" s="201"/>
      <c r="I340" s="201"/>
      <c r="J340" s="201"/>
      <c r="K340" s="201"/>
      <c r="L340" s="201"/>
      <c r="M340" s="201"/>
      <c r="N340" s="201"/>
      <c r="O340" s="201"/>
      <c r="P340" s="201"/>
      <c r="Q340" s="201"/>
      <c r="R340" s="201"/>
      <c r="S340" s="201"/>
      <c r="T340" s="201"/>
      <c r="U340" s="201"/>
      <c r="V340" s="201"/>
      <c r="W340" s="201"/>
      <c r="X340" s="201"/>
      <c r="Y340" s="201"/>
      <c r="Z340" s="201"/>
    </row>
    <row r="341" ht="12.8" customHeight="1" spans="1:26">
      <c r="A341" s="200"/>
      <c r="B341" s="201"/>
      <c r="C341" s="201"/>
      <c r="D341" s="201"/>
      <c r="E341" s="201"/>
      <c r="F341" s="201"/>
      <c r="G341" s="201"/>
      <c r="H341" s="201"/>
      <c r="I341" s="201"/>
      <c r="J341" s="201"/>
      <c r="K341" s="201"/>
      <c r="L341" s="201"/>
      <c r="M341" s="201"/>
      <c r="N341" s="201"/>
      <c r="O341" s="201"/>
      <c r="P341" s="201"/>
      <c r="Q341" s="201"/>
      <c r="R341" s="201"/>
      <c r="S341" s="201"/>
      <c r="T341" s="201"/>
      <c r="U341" s="201"/>
      <c r="V341" s="201"/>
      <c r="W341" s="201"/>
      <c r="X341" s="201"/>
      <c r="Y341" s="201"/>
      <c r="Z341" s="201"/>
    </row>
    <row r="342" ht="12.8" customHeight="1" spans="1:26">
      <c r="A342" s="200"/>
      <c r="B342" s="201"/>
      <c r="C342" s="201"/>
      <c r="D342" s="201"/>
      <c r="E342" s="201"/>
      <c r="F342" s="201"/>
      <c r="G342" s="201"/>
      <c r="H342" s="201"/>
      <c r="I342" s="201"/>
      <c r="J342" s="201"/>
      <c r="K342" s="201"/>
      <c r="L342" s="201"/>
      <c r="M342" s="201"/>
      <c r="N342" s="201"/>
      <c r="O342" s="201"/>
      <c r="P342" s="201"/>
      <c r="Q342" s="201"/>
      <c r="R342" s="201"/>
      <c r="S342" s="201"/>
      <c r="T342" s="201"/>
      <c r="U342" s="201"/>
      <c r="V342" s="201"/>
      <c r="W342" s="201"/>
      <c r="X342" s="201"/>
      <c r="Y342" s="201"/>
      <c r="Z342" s="201"/>
    </row>
    <row r="343" ht="12.8" customHeight="1" spans="1:26">
      <c r="A343" s="200"/>
      <c r="B343" s="201"/>
      <c r="C343" s="201"/>
      <c r="D343" s="201"/>
      <c r="E343" s="201"/>
      <c r="F343" s="201"/>
      <c r="G343" s="201"/>
      <c r="H343" s="201"/>
      <c r="I343" s="201"/>
      <c r="J343" s="201"/>
      <c r="K343" s="201"/>
      <c r="L343" s="201"/>
      <c r="M343" s="201"/>
      <c r="N343" s="201"/>
      <c r="O343" s="201"/>
      <c r="P343" s="201"/>
      <c r="Q343" s="201"/>
      <c r="R343" s="201"/>
      <c r="S343" s="201"/>
      <c r="T343" s="201"/>
      <c r="U343" s="201"/>
      <c r="V343" s="201"/>
      <c r="W343" s="201"/>
      <c r="X343" s="201"/>
      <c r="Y343" s="201"/>
      <c r="Z343" s="201"/>
    </row>
    <row r="344" ht="12.8" customHeight="1" spans="1:26">
      <c r="A344" s="200"/>
      <c r="B344" s="201"/>
      <c r="C344" s="201"/>
      <c r="D344" s="201"/>
      <c r="E344" s="201"/>
      <c r="F344" s="201"/>
      <c r="G344" s="201"/>
      <c r="H344" s="201"/>
      <c r="I344" s="201"/>
      <c r="J344" s="201"/>
      <c r="K344" s="201"/>
      <c r="L344" s="201"/>
      <c r="M344" s="201"/>
      <c r="N344" s="201"/>
      <c r="O344" s="201"/>
      <c r="P344" s="201"/>
      <c r="Q344" s="201"/>
      <c r="R344" s="201"/>
      <c r="S344" s="201"/>
      <c r="T344" s="201"/>
      <c r="U344" s="201"/>
      <c r="V344" s="201"/>
      <c r="W344" s="201"/>
      <c r="X344" s="201"/>
      <c r="Y344" s="201"/>
      <c r="Z344" s="201"/>
    </row>
    <row r="345" ht="12.8" customHeight="1" spans="1:26">
      <c r="A345" s="200"/>
      <c r="B345" s="201"/>
      <c r="C345" s="201"/>
      <c r="D345" s="201"/>
      <c r="E345" s="201"/>
      <c r="F345" s="201"/>
      <c r="G345" s="201"/>
      <c r="H345" s="201"/>
      <c r="I345" s="201"/>
      <c r="J345" s="201"/>
      <c r="K345" s="201"/>
      <c r="L345" s="201"/>
      <c r="M345" s="201"/>
      <c r="N345" s="201"/>
      <c r="O345" s="201"/>
      <c r="P345" s="201"/>
      <c r="Q345" s="201"/>
      <c r="R345" s="201"/>
      <c r="S345" s="201"/>
      <c r="T345" s="201"/>
      <c r="U345" s="201"/>
      <c r="V345" s="201"/>
      <c r="W345" s="201"/>
      <c r="X345" s="201"/>
      <c r="Y345" s="201"/>
      <c r="Z345" s="201"/>
    </row>
    <row r="346" ht="12.8" customHeight="1" spans="1:26">
      <c r="A346" s="200"/>
      <c r="B346" s="201"/>
      <c r="C346" s="201"/>
      <c r="D346" s="201"/>
      <c r="E346" s="201"/>
      <c r="F346" s="201"/>
      <c r="G346" s="201"/>
      <c r="H346" s="201"/>
      <c r="I346" s="201"/>
      <c r="J346" s="201"/>
      <c r="K346" s="201"/>
      <c r="L346" s="201"/>
      <c r="M346" s="201"/>
      <c r="N346" s="201"/>
      <c r="O346" s="201"/>
      <c r="P346" s="201"/>
      <c r="Q346" s="201"/>
      <c r="R346" s="201"/>
      <c r="S346" s="201"/>
      <c r="T346" s="201"/>
      <c r="U346" s="201"/>
      <c r="V346" s="201"/>
      <c r="W346" s="201"/>
      <c r="X346" s="201"/>
      <c r="Y346" s="201"/>
      <c r="Z346" s="201"/>
    </row>
    <row r="347" ht="12.8" customHeight="1" spans="1:26">
      <c r="A347" s="200"/>
      <c r="B347" s="201"/>
      <c r="C347" s="201"/>
      <c r="D347" s="201"/>
      <c r="E347" s="201"/>
      <c r="F347" s="201"/>
      <c r="G347" s="201"/>
      <c r="H347" s="201"/>
      <c r="I347" s="201"/>
      <c r="J347" s="201"/>
      <c r="K347" s="201"/>
      <c r="L347" s="201"/>
      <c r="M347" s="201"/>
      <c r="N347" s="201"/>
      <c r="O347" s="201"/>
      <c r="P347" s="201"/>
      <c r="Q347" s="201"/>
      <c r="R347" s="201"/>
      <c r="S347" s="201"/>
      <c r="T347" s="201"/>
      <c r="U347" s="201"/>
      <c r="V347" s="201"/>
      <c r="W347" s="201"/>
      <c r="X347" s="201"/>
      <c r="Y347" s="201"/>
      <c r="Z347" s="201"/>
    </row>
    <row r="348" ht="12.8" customHeight="1" spans="1:26">
      <c r="A348" s="200"/>
      <c r="B348" s="201"/>
      <c r="C348" s="201"/>
      <c r="D348" s="201"/>
      <c r="E348" s="201"/>
      <c r="F348" s="201"/>
      <c r="G348" s="201"/>
      <c r="H348" s="201"/>
      <c r="I348" s="201"/>
      <c r="J348" s="201"/>
      <c r="K348" s="201"/>
      <c r="L348" s="201"/>
      <c r="M348" s="201"/>
      <c r="N348" s="201"/>
      <c r="O348" s="201"/>
      <c r="P348" s="201"/>
      <c r="Q348" s="201"/>
      <c r="R348" s="201"/>
      <c r="S348" s="201"/>
      <c r="T348" s="201"/>
      <c r="U348" s="201"/>
      <c r="V348" s="201"/>
      <c r="W348" s="201"/>
      <c r="X348" s="201"/>
      <c r="Y348" s="201"/>
      <c r="Z348" s="201"/>
    </row>
    <row r="349" ht="12.8" customHeight="1" spans="1:26">
      <c r="A349" s="200"/>
      <c r="B349" s="201"/>
      <c r="C349" s="201"/>
      <c r="D349" s="201"/>
      <c r="E349" s="201"/>
      <c r="F349" s="201"/>
      <c r="G349" s="201"/>
      <c r="H349" s="201"/>
      <c r="I349" s="201"/>
      <c r="J349" s="201"/>
      <c r="K349" s="201"/>
      <c r="L349" s="201"/>
      <c r="M349" s="201"/>
      <c r="N349" s="201"/>
      <c r="O349" s="201"/>
      <c r="P349" s="201"/>
      <c r="Q349" s="201"/>
      <c r="R349" s="201"/>
      <c r="S349" s="201"/>
      <c r="T349" s="201"/>
      <c r="U349" s="201"/>
      <c r="V349" s="201"/>
      <c r="W349" s="201"/>
      <c r="X349" s="201"/>
      <c r="Y349" s="201"/>
      <c r="Z349" s="201"/>
    </row>
    <row r="350" ht="12.8" customHeight="1" spans="1:26">
      <c r="A350" s="200"/>
      <c r="B350" s="201"/>
      <c r="C350" s="201"/>
      <c r="D350" s="201"/>
      <c r="E350" s="201"/>
      <c r="F350" s="201"/>
      <c r="G350" s="201"/>
      <c r="H350" s="201"/>
      <c r="I350" s="201"/>
      <c r="J350" s="201"/>
      <c r="K350" s="201"/>
      <c r="L350" s="201"/>
      <c r="M350" s="201"/>
      <c r="N350" s="201"/>
      <c r="O350" s="201"/>
      <c r="P350" s="201"/>
      <c r="Q350" s="201"/>
      <c r="R350" s="201"/>
      <c r="S350" s="201"/>
      <c r="T350" s="201"/>
      <c r="U350" s="201"/>
      <c r="V350" s="201"/>
      <c r="W350" s="201"/>
      <c r="X350" s="201"/>
      <c r="Y350" s="201"/>
      <c r="Z350" s="201"/>
    </row>
    <row r="351" ht="12.8" customHeight="1" spans="1:26">
      <c r="A351" s="200"/>
      <c r="B351" s="201"/>
      <c r="C351" s="201"/>
      <c r="D351" s="201"/>
      <c r="E351" s="201"/>
      <c r="F351" s="201"/>
      <c r="G351" s="201"/>
      <c r="H351" s="201"/>
      <c r="I351" s="201"/>
      <c r="J351" s="201"/>
      <c r="K351" s="201"/>
      <c r="L351" s="201"/>
      <c r="M351" s="201"/>
      <c r="N351" s="201"/>
      <c r="O351" s="201"/>
      <c r="P351" s="201"/>
      <c r="Q351" s="201"/>
      <c r="R351" s="201"/>
      <c r="S351" s="201"/>
      <c r="T351" s="201"/>
      <c r="U351" s="201"/>
      <c r="V351" s="201"/>
      <c r="W351" s="201"/>
      <c r="X351" s="201"/>
      <c r="Y351" s="201"/>
      <c r="Z351" s="201"/>
    </row>
    <row r="352" ht="12.8" customHeight="1" spans="1:26">
      <c r="A352" s="200"/>
      <c r="B352" s="201"/>
      <c r="C352" s="201"/>
      <c r="D352" s="201"/>
      <c r="E352" s="201"/>
      <c r="F352" s="201"/>
      <c r="G352" s="201"/>
      <c r="H352" s="201"/>
      <c r="I352" s="201"/>
      <c r="J352" s="201"/>
      <c r="K352" s="201"/>
      <c r="L352" s="201"/>
      <c r="M352" s="201"/>
      <c r="N352" s="201"/>
      <c r="O352" s="201"/>
      <c r="P352" s="201"/>
      <c r="Q352" s="201"/>
      <c r="R352" s="201"/>
      <c r="S352" s="201"/>
      <c r="T352" s="201"/>
      <c r="U352" s="201"/>
      <c r="V352" s="201"/>
      <c r="W352" s="201"/>
      <c r="X352" s="201"/>
      <c r="Y352" s="201"/>
      <c r="Z352" s="201"/>
    </row>
    <row r="353" ht="12.8" customHeight="1" spans="1:26">
      <c r="A353" s="200"/>
      <c r="B353" s="201"/>
      <c r="C353" s="201"/>
      <c r="D353" s="201"/>
      <c r="E353" s="201"/>
      <c r="F353" s="201"/>
      <c r="G353" s="201"/>
      <c r="H353" s="201"/>
      <c r="I353" s="201"/>
      <c r="J353" s="201"/>
      <c r="K353" s="201"/>
      <c r="L353" s="201"/>
      <c r="M353" s="201"/>
      <c r="N353" s="201"/>
      <c r="O353" s="201"/>
      <c r="P353" s="201"/>
      <c r="Q353" s="201"/>
      <c r="R353" s="201"/>
      <c r="S353" s="201"/>
      <c r="T353" s="201"/>
      <c r="U353" s="201"/>
      <c r="V353" s="201"/>
      <c r="W353" s="201"/>
      <c r="X353" s="201"/>
      <c r="Y353" s="201"/>
      <c r="Z353" s="201"/>
    </row>
    <row r="354" ht="12.8" customHeight="1" spans="1:26">
      <c r="A354" s="200"/>
      <c r="B354" s="201"/>
      <c r="C354" s="201"/>
      <c r="D354" s="201"/>
      <c r="E354" s="201"/>
      <c r="F354" s="201"/>
      <c r="G354" s="201"/>
      <c r="H354" s="201"/>
      <c r="I354" s="201"/>
      <c r="J354" s="201"/>
      <c r="K354" s="201"/>
      <c r="L354" s="201"/>
      <c r="M354" s="201"/>
      <c r="N354" s="201"/>
      <c r="O354" s="201"/>
      <c r="P354" s="201"/>
      <c r="Q354" s="201"/>
      <c r="R354" s="201"/>
      <c r="S354" s="201"/>
      <c r="T354" s="201"/>
      <c r="U354" s="201"/>
      <c r="V354" s="201"/>
      <c r="W354" s="201"/>
      <c r="X354" s="201"/>
      <c r="Y354" s="201"/>
      <c r="Z354" s="201"/>
    </row>
    <row r="355" ht="12.8" customHeight="1" spans="1:26">
      <c r="A355" s="200"/>
      <c r="B355" s="201"/>
      <c r="C355" s="201"/>
      <c r="D355" s="201"/>
      <c r="E355" s="201"/>
      <c r="F355" s="201"/>
      <c r="G355" s="201"/>
      <c r="H355" s="201"/>
      <c r="I355" s="201"/>
      <c r="J355" s="201"/>
      <c r="K355" s="201"/>
      <c r="L355" s="201"/>
      <c r="M355" s="201"/>
      <c r="N355" s="201"/>
      <c r="O355" s="201"/>
      <c r="P355" s="201"/>
      <c r="Q355" s="201"/>
      <c r="R355" s="201"/>
      <c r="S355" s="201"/>
      <c r="T355" s="201"/>
      <c r="U355" s="201"/>
      <c r="V355" s="201"/>
      <c r="W355" s="201"/>
      <c r="X355" s="201"/>
      <c r="Y355" s="201"/>
      <c r="Z355" s="201"/>
    </row>
    <row r="356" ht="12.8" customHeight="1" spans="1:26">
      <c r="A356" s="200"/>
      <c r="B356" s="201"/>
      <c r="C356" s="201"/>
      <c r="D356" s="201"/>
      <c r="E356" s="201"/>
      <c r="F356" s="201"/>
      <c r="G356" s="201"/>
      <c r="H356" s="201"/>
      <c r="I356" s="201"/>
      <c r="J356" s="201"/>
      <c r="K356" s="201"/>
      <c r="L356" s="201"/>
      <c r="M356" s="201"/>
      <c r="N356" s="201"/>
      <c r="O356" s="201"/>
      <c r="P356" s="201"/>
      <c r="Q356" s="201"/>
      <c r="R356" s="201"/>
      <c r="S356" s="201"/>
      <c r="T356" s="201"/>
      <c r="U356" s="201"/>
      <c r="V356" s="201"/>
      <c r="W356" s="201"/>
      <c r="X356" s="201"/>
      <c r="Y356" s="201"/>
      <c r="Z356" s="201"/>
    </row>
    <row r="357" ht="12.8" customHeight="1" spans="1:26">
      <c r="A357" s="200"/>
      <c r="B357" s="201"/>
      <c r="C357" s="201"/>
      <c r="D357" s="201"/>
      <c r="E357" s="201"/>
      <c r="F357" s="201"/>
      <c r="G357" s="201"/>
      <c r="H357" s="201"/>
      <c r="I357" s="201"/>
      <c r="J357" s="201"/>
      <c r="K357" s="201"/>
      <c r="L357" s="201"/>
      <c r="M357" s="201"/>
      <c r="N357" s="201"/>
      <c r="O357" s="201"/>
      <c r="P357" s="201"/>
      <c r="Q357" s="201"/>
      <c r="R357" s="201"/>
      <c r="S357" s="201"/>
      <c r="T357" s="201"/>
      <c r="U357" s="201"/>
      <c r="V357" s="201"/>
      <c r="W357" s="201"/>
      <c r="X357" s="201"/>
      <c r="Y357" s="201"/>
      <c r="Z357" s="201"/>
    </row>
    <row r="358" ht="12.8" customHeight="1" spans="1:26">
      <c r="A358" s="200"/>
      <c r="B358" s="201"/>
      <c r="C358" s="201"/>
      <c r="D358" s="201"/>
      <c r="E358" s="201"/>
      <c r="F358" s="201"/>
      <c r="G358" s="201"/>
      <c r="H358" s="201"/>
      <c r="I358" s="201"/>
      <c r="J358" s="201"/>
      <c r="K358" s="201"/>
      <c r="L358" s="201"/>
      <c r="M358" s="201"/>
      <c r="N358" s="201"/>
      <c r="O358" s="201"/>
      <c r="P358" s="201"/>
      <c r="Q358" s="201"/>
      <c r="R358" s="201"/>
      <c r="S358" s="201"/>
      <c r="T358" s="201"/>
      <c r="U358" s="201"/>
      <c r="V358" s="201"/>
      <c r="W358" s="201"/>
      <c r="X358" s="201"/>
      <c r="Y358" s="201"/>
      <c r="Z358" s="201"/>
    </row>
    <row r="359" ht="12.8" customHeight="1" spans="1:26">
      <c r="A359" s="200"/>
      <c r="B359" s="201"/>
      <c r="C359" s="201"/>
      <c r="D359" s="201"/>
      <c r="E359" s="201"/>
      <c r="F359" s="201"/>
      <c r="G359" s="201"/>
      <c r="H359" s="201"/>
      <c r="I359" s="201"/>
      <c r="J359" s="201"/>
      <c r="K359" s="201"/>
      <c r="L359" s="201"/>
      <c r="M359" s="201"/>
      <c r="N359" s="201"/>
      <c r="O359" s="201"/>
      <c r="P359" s="201"/>
      <c r="Q359" s="201"/>
      <c r="R359" s="201"/>
      <c r="S359" s="201"/>
      <c r="T359" s="201"/>
      <c r="U359" s="201"/>
      <c r="V359" s="201"/>
      <c r="W359" s="201"/>
      <c r="X359" s="201"/>
      <c r="Y359" s="201"/>
      <c r="Z359" s="201"/>
    </row>
    <row r="360" ht="12.8" customHeight="1" spans="1:26">
      <c r="A360" s="200"/>
      <c r="B360" s="201"/>
      <c r="C360" s="201"/>
      <c r="D360" s="201"/>
      <c r="E360" s="201"/>
      <c r="F360" s="201"/>
      <c r="G360" s="201"/>
      <c r="H360" s="201"/>
      <c r="I360" s="201"/>
      <c r="J360" s="201"/>
      <c r="K360" s="201"/>
      <c r="L360" s="201"/>
      <c r="M360" s="201"/>
      <c r="N360" s="201"/>
      <c r="O360" s="201"/>
      <c r="P360" s="201"/>
      <c r="Q360" s="201"/>
      <c r="R360" s="201"/>
      <c r="S360" s="201"/>
      <c r="T360" s="201"/>
      <c r="U360" s="201"/>
      <c r="V360" s="201"/>
      <c r="W360" s="201"/>
      <c r="X360" s="201"/>
      <c r="Y360" s="201"/>
      <c r="Z360" s="201"/>
    </row>
    <row r="361" ht="12.8" customHeight="1" spans="1:26">
      <c r="A361" s="200"/>
      <c r="B361" s="201"/>
      <c r="C361" s="201"/>
      <c r="D361" s="201"/>
      <c r="E361" s="201"/>
      <c r="F361" s="201"/>
      <c r="G361" s="201"/>
      <c r="H361" s="201"/>
      <c r="I361" s="201"/>
      <c r="J361" s="201"/>
      <c r="K361" s="201"/>
      <c r="L361" s="201"/>
      <c r="M361" s="201"/>
      <c r="N361" s="201"/>
      <c r="O361" s="201"/>
      <c r="P361" s="201"/>
      <c r="Q361" s="201"/>
      <c r="R361" s="201"/>
      <c r="S361" s="201"/>
      <c r="T361" s="201"/>
      <c r="U361" s="201"/>
      <c r="V361" s="201"/>
      <c r="W361" s="201"/>
      <c r="X361" s="201"/>
      <c r="Y361" s="201"/>
      <c r="Z361" s="201"/>
    </row>
    <row r="362" ht="12.8" customHeight="1" spans="1:26">
      <c r="A362" s="200"/>
      <c r="B362" s="201"/>
      <c r="C362" s="201"/>
      <c r="D362" s="201"/>
      <c r="E362" s="201"/>
      <c r="F362" s="201"/>
      <c r="G362" s="201"/>
      <c r="H362" s="201"/>
      <c r="I362" s="201"/>
      <c r="J362" s="201"/>
      <c r="K362" s="201"/>
      <c r="L362" s="201"/>
      <c r="M362" s="201"/>
      <c r="N362" s="201"/>
      <c r="O362" s="201"/>
      <c r="P362" s="201"/>
      <c r="Q362" s="201"/>
      <c r="R362" s="201"/>
      <c r="S362" s="201"/>
      <c r="T362" s="201"/>
      <c r="U362" s="201"/>
      <c r="V362" s="201"/>
      <c r="W362" s="201"/>
      <c r="X362" s="201"/>
      <c r="Y362" s="201"/>
      <c r="Z362" s="201"/>
    </row>
    <row r="363" ht="12.8" customHeight="1" spans="1:26">
      <c r="A363" s="200"/>
      <c r="B363" s="201"/>
      <c r="C363" s="201"/>
      <c r="D363" s="201"/>
      <c r="E363" s="201"/>
      <c r="F363" s="201"/>
      <c r="G363" s="201"/>
      <c r="H363" s="201"/>
      <c r="I363" s="201"/>
      <c r="J363" s="201"/>
      <c r="K363" s="201"/>
      <c r="L363" s="201"/>
      <c r="M363" s="201"/>
      <c r="N363" s="201"/>
      <c r="O363" s="201"/>
      <c r="P363" s="201"/>
      <c r="Q363" s="201"/>
      <c r="R363" s="201"/>
      <c r="S363" s="201"/>
      <c r="T363" s="201"/>
      <c r="U363" s="201"/>
      <c r="V363" s="201"/>
      <c r="W363" s="201"/>
      <c r="X363" s="201"/>
      <c r="Y363" s="201"/>
      <c r="Z363" s="201"/>
    </row>
    <row r="364" ht="12.8" customHeight="1" spans="1:26">
      <c r="A364" s="200"/>
      <c r="B364" s="201"/>
      <c r="C364" s="201"/>
      <c r="D364" s="201"/>
      <c r="E364" s="201"/>
      <c r="F364" s="201"/>
      <c r="G364" s="201"/>
      <c r="H364" s="201"/>
      <c r="I364" s="201"/>
      <c r="J364" s="201"/>
      <c r="K364" s="201"/>
      <c r="L364" s="201"/>
      <c r="M364" s="201"/>
      <c r="N364" s="201"/>
      <c r="O364" s="201"/>
      <c r="P364" s="201"/>
      <c r="Q364" s="201"/>
      <c r="R364" s="201"/>
      <c r="S364" s="201"/>
      <c r="T364" s="201"/>
      <c r="U364" s="201"/>
      <c r="V364" s="201"/>
      <c r="W364" s="201"/>
      <c r="X364" s="201"/>
      <c r="Y364" s="201"/>
      <c r="Z364" s="201"/>
    </row>
    <row r="365" ht="12.8" customHeight="1" spans="1:26">
      <c r="A365" s="200"/>
      <c r="B365" s="201"/>
      <c r="C365" s="201"/>
      <c r="D365" s="201"/>
      <c r="E365" s="201"/>
      <c r="F365" s="201"/>
      <c r="G365" s="201"/>
      <c r="H365" s="201"/>
      <c r="I365" s="201"/>
      <c r="J365" s="201"/>
      <c r="K365" s="201"/>
      <c r="L365" s="201"/>
      <c r="M365" s="201"/>
      <c r="N365" s="201"/>
      <c r="O365" s="201"/>
      <c r="P365" s="201"/>
      <c r="Q365" s="201"/>
      <c r="R365" s="201"/>
      <c r="S365" s="201"/>
      <c r="T365" s="201"/>
      <c r="U365" s="201"/>
      <c r="V365" s="201"/>
      <c r="W365" s="201"/>
      <c r="X365" s="201"/>
      <c r="Y365" s="201"/>
      <c r="Z365" s="201"/>
    </row>
    <row r="366" ht="12.8" customHeight="1" spans="1:26">
      <c r="A366" s="200"/>
      <c r="B366" s="201"/>
      <c r="C366" s="201"/>
      <c r="D366" s="201"/>
      <c r="E366" s="201"/>
      <c r="F366" s="201"/>
      <c r="G366" s="201"/>
      <c r="H366" s="201"/>
      <c r="I366" s="201"/>
      <c r="J366" s="201"/>
      <c r="K366" s="201"/>
      <c r="L366" s="201"/>
      <c r="M366" s="201"/>
      <c r="N366" s="201"/>
      <c r="O366" s="201"/>
      <c r="P366" s="201"/>
      <c r="Q366" s="201"/>
      <c r="R366" s="201"/>
      <c r="S366" s="201"/>
      <c r="T366" s="201"/>
      <c r="U366" s="201"/>
      <c r="V366" s="201"/>
      <c r="W366" s="201"/>
      <c r="X366" s="201"/>
      <c r="Y366" s="201"/>
      <c r="Z366" s="201"/>
    </row>
    <row r="367" ht="12.8" customHeight="1" spans="1:26">
      <c r="A367" s="200"/>
      <c r="B367" s="201"/>
      <c r="C367" s="201"/>
      <c r="D367" s="201"/>
      <c r="E367" s="201"/>
      <c r="F367" s="201"/>
      <c r="G367" s="201"/>
      <c r="H367" s="201"/>
      <c r="I367" s="201"/>
      <c r="J367" s="201"/>
      <c r="K367" s="201"/>
      <c r="L367" s="201"/>
      <c r="M367" s="201"/>
      <c r="N367" s="201"/>
      <c r="O367" s="201"/>
      <c r="P367" s="201"/>
      <c r="Q367" s="201"/>
      <c r="R367" s="201"/>
      <c r="S367" s="201"/>
      <c r="T367" s="201"/>
      <c r="U367" s="201"/>
      <c r="V367" s="201"/>
      <c r="W367" s="201"/>
      <c r="X367" s="201"/>
      <c r="Y367" s="201"/>
      <c r="Z367" s="201"/>
    </row>
    <row r="368" ht="12.8" customHeight="1" spans="1:26">
      <c r="A368" s="200"/>
      <c r="B368" s="201"/>
      <c r="C368" s="201"/>
      <c r="D368" s="201"/>
      <c r="E368" s="201"/>
      <c r="F368" s="201"/>
      <c r="G368" s="201"/>
      <c r="H368" s="201"/>
      <c r="I368" s="201"/>
      <c r="J368" s="201"/>
      <c r="K368" s="201"/>
      <c r="L368" s="201"/>
      <c r="M368" s="201"/>
      <c r="N368" s="201"/>
      <c r="O368" s="201"/>
      <c r="P368" s="201"/>
      <c r="Q368" s="201"/>
      <c r="R368" s="201"/>
      <c r="S368" s="201"/>
      <c r="T368" s="201"/>
      <c r="U368" s="201"/>
      <c r="V368" s="201"/>
      <c r="W368" s="201"/>
      <c r="X368" s="201"/>
      <c r="Y368" s="201"/>
      <c r="Z368" s="201"/>
    </row>
    <row r="369" ht="12.8" customHeight="1" spans="1:26">
      <c r="A369" s="200"/>
      <c r="B369" s="201"/>
      <c r="C369" s="201"/>
      <c r="D369" s="201"/>
      <c r="E369" s="201"/>
      <c r="F369" s="201"/>
      <c r="G369" s="201"/>
      <c r="H369" s="201"/>
      <c r="I369" s="201"/>
      <c r="J369" s="201"/>
      <c r="K369" s="201"/>
      <c r="L369" s="201"/>
      <c r="M369" s="201"/>
      <c r="N369" s="201"/>
      <c r="O369" s="201"/>
      <c r="P369" s="201"/>
      <c r="Q369" s="201"/>
      <c r="R369" s="201"/>
      <c r="S369" s="201"/>
      <c r="T369" s="201"/>
      <c r="U369" s="201"/>
      <c r="V369" s="201"/>
      <c r="W369" s="201"/>
      <c r="X369" s="201"/>
      <c r="Y369" s="201"/>
      <c r="Z369" s="201"/>
    </row>
    <row r="370" ht="12.8" customHeight="1" spans="1:26">
      <c r="A370" s="200"/>
      <c r="B370" s="201"/>
      <c r="C370" s="201"/>
      <c r="D370" s="201"/>
      <c r="E370" s="201"/>
      <c r="F370" s="201"/>
      <c r="G370" s="201"/>
      <c r="H370" s="201"/>
      <c r="I370" s="201"/>
      <c r="J370" s="201"/>
      <c r="K370" s="201"/>
      <c r="L370" s="201"/>
      <c r="M370" s="201"/>
      <c r="N370" s="201"/>
      <c r="O370" s="201"/>
      <c r="P370" s="201"/>
      <c r="Q370" s="201"/>
      <c r="R370" s="201"/>
      <c r="S370" s="201"/>
      <c r="T370" s="201"/>
      <c r="U370" s="201"/>
      <c r="V370" s="201"/>
      <c r="W370" s="201"/>
      <c r="X370" s="201"/>
      <c r="Y370" s="201"/>
      <c r="Z370" s="201"/>
    </row>
    <row r="371" ht="12.8" customHeight="1" spans="1:26">
      <c r="A371" s="200"/>
      <c r="B371" s="201"/>
      <c r="C371" s="201"/>
      <c r="D371" s="201"/>
      <c r="E371" s="201"/>
      <c r="F371" s="201"/>
      <c r="G371" s="201"/>
      <c r="H371" s="201"/>
      <c r="I371" s="201"/>
      <c r="J371" s="201"/>
      <c r="K371" s="201"/>
      <c r="L371" s="201"/>
      <c r="M371" s="201"/>
      <c r="N371" s="201"/>
      <c r="O371" s="201"/>
      <c r="P371" s="201"/>
      <c r="Q371" s="201"/>
      <c r="R371" s="201"/>
      <c r="S371" s="201"/>
      <c r="T371" s="201"/>
      <c r="U371" s="201"/>
      <c r="V371" s="201"/>
      <c r="W371" s="201"/>
      <c r="X371" s="201"/>
      <c r="Y371" s="201"/>
      <c r="Z371" s="201"/>
    </row>
    <row r="372" ht="12.8" customHeight="1" spans="1:26">
      <c r="A372" s="200"/>
      <c r="B372" s="201"/>
      <c r="C372" s="201"/>
      <c r="D372" s="201"/>
      <c r="E372" s="201"/>
      <c r="F372" s="201"/>
      <c r="G372" s="201"/>
      <c r="H372" s="201"/>
      <c r="I372" s="201"/>
      <c r="J372" s="201"/>
      <c r="K372" s="201"/>
      <c r="L372" s="201"/>
      <c r="M372" s="201"/>
      <c r="N372" s="201"/>
      <c r="O372" s="201"/>
      <c r="P372" s="201"/>
      <c r="Q372" s="201"/>
      <c r="R372" s="201"/>
      <c r="S372" s="201"/>
      <c r="T372" s="201"/>
      <c r="U372" s="201"/>
      <c r="V372" s="201"/>
      <c r="W372" s="201"/>
      <c r="X372" s="201"/>
      <c r="Y372" s="201"/>
      <c r="Z372" s="201"/>
    </row>
    <row r="373" ht="12.8" customHeight="1" spans="1:26">
      <c r="A373" s="200"/>
      <c r="B373" s="201"/>
      <c r="C373" s="201"/>
      <c r="D373" s="201"/>
      <c r="E373" s="201"/>
      <c r="F373" s="201"/>
      <c r="G373" s="201"/>
      <c r="H373" s="201"/>
      <c r="I373" s="201"/>
      <c r="J373" s="201"/>
      <c r="K373" s="201"/>
      <c r="L373" s="201"/>
      <c r="M373" s="201"/>
      <c r="N373" s="201"/>
      <c r="O373" s="201"/>
      <c r="P373" s="201"/>
      <c r="Q373" s="201"/>
      <c r="R373" s="201"/>
      <c r="S373" s="201"/>
      <c r="T373" s="201"/>
      <c r="U373" s="201"/>
      <c r="V373" s="201"/>
      <c r="W373" s="201"/>
      <c r="X373" s="201"/>
      <c r="Y373" s="201"/>
      <c r="Z373" s="201"/>
    </row>
    <row r="374" ht="12.8" customHeight="1" spans="1:26">
      <c r="A374" s="200"/>
      <c r="B374" s="201"/>
      <c r="C374" s="201"/>
      <c r="D374" s="201"/>
      <c r="E374" s="201"/>
      <c r="F374" s="201"/>
      <c r="G374" s="201"/>
      <c r="H374" s="201"/>
      <c r="I374" s="201"/>
      <c r="J374" s="201"/>
      <c r="K374" s="201"/>
      <c r="L374" s="201"/>
      <c r="M374" s="201"/>
      <c r="N374" s="201"/>
      <c r="O374" s="201"/>
      <c r="P374" s="201"/>
      <c r="Q374" s="201"/>
      <c r="R374" s="201"/>
      <c r="S374" s="201"/>
      <c r="T374" s="201"/>
      <c r="U374" s="201"/>
      <c r="V374" s="201"/>
      <c r="W374" s="201"/>
      <c r="X374" s="201"/>
      <c r="Y374" s="201"/>
      <c r="Z374" s="201"/>
    </row>
    <row r="375" ht="12.8" customHeight="1" spans="1:26">
      <c r="A375" s="200"/>
      <c r="B375" s="201"/>
      <c r="C375" s="201"/>
      <c r="D375" s="201"/>
      <c r="E375" s="201"/>
      <c r="F375" s="201"/>
      <c r="G375" s="201"/>
      <c r="H375" s="201"/>
      <c r="I375" s="201"/>
      <c r="J375" s="201"/>
      <c r="K375" s="201"/>
      <c r="L375" s="201"/>
      <c r="M375" s="201"/>
      <c r="N375" s="201"/>
      <c r="O375" s="201"/>
      <c r="P375" s="201"/>
      <c r="Q375" s="201"/>
      <c r="R375" s="201"/>
      <c r="S375" s="201"/>
      <c r="T375" s="201"/>
      <c r="U375" s="201"/>
      <c r="V375" s="201"/>
      <c r="W375" s="201"/>
      <c r="X375" s="201"/>
      <c r="Y375" s="201"/>
      <c r="Z375" s="201"/>
    </row>
    <row r="376" ht="12.8" customHeight="1" spans="1:26">
      <c r="A376" s="200"/>
      <c r="B376" s="201"/>
      <c r="C376" s="201"/>
      <c r="D376" s="201"/>
      <c r="E376" s="201"/>
      <c r="F376" s="201"/>
      <c r="G376" s="201"/>
      <c r="H376" s="201"/>
      <c r="I376" s="201"/>
      <c r="J376" s="201"/>
      <c r="K376" s="201"/>
      <c r="L376" s="201"/>
      <c r="M376" s="201"/>
      <c r="N376" s="201"/>
      <c r="O376" s="201"/>
      <c r="P376" s="201"/>
      <c r="Q376" s="201"/>
      <c r="R376" s="201"/>
      <c r="S376" s="201"/>
      <c r="T376" s="201"/>
      <c r="U376" s="201"/>
      <c r="V376" s="201"/>
      <c r="W376" s="201"/>
      <c r="X376" s="201"/>
      <c r="Y376" s="201"/>
      <c r="Z376" s="201"/>
    </row>
    <row r="377" ht="12.8" customHeight="1" spans="1:26">
      <c r="A377" s="200"/>
      <c r="B377" s="201"/>
      <c r="C377" s="201"/>
      <c r="D377" s="201"/>
      <c r="E377" s="201"/>
      <c r="F377" s="201"/>
      <c r="G377" s="201"/>
      <c r="H377" s="201"/>
      <c r="I377" s="201"/>
      <c r="J377" s="201"/>
      <c r="K377" s="201"/>
      <c r="L377" s="201"/>
      <c r="M377" s="201"/>
      <c r="N377" s="201"/>
      <c r="O377" s="201"/>
      <c r="P377" s="201"/>
      <c r="Q377" s="201"/>
      <c r="R377" s="201"/>
      <c r="S377" s="201"/>
      <c r="T377" s="201"/>
      <c r="U377" s="201"/>
      <c r="V377" s="201"/>
      <c r="W377" s="201"/>
      <c r="X377" s="201"/>
      <c r="Y377" s="201"/>
      <c r="Z377" s="201"/>
    </row>
    <row r="378" ht="12.8" customHeight="1" spans="1:26">
      <c r="A378" s="200"/>
      <c r="B378" s="201"/>
      <c r="C378" s="201"/>
      <c r="D378" s="201"/>
      <c r="E378" s="201"/>
      <c r="F378" s="201"/>
      <c r="G378" s="201"/>
      <c r="H378" s="201"/>
      <c r="I378" s="201"/>
      <c r="J378" s="201"/>
      <c r="K378" s="201"/>
      <c r="L378" s="201"/>
      <c r="M378" s="201"/>
      <c r="N378" s="201"/>
      <c r="O378" s="201"/>
      <c r="P378" s="201"/>
      <c r="Q378" s="201"/>
      <c r="R378" s="201"/>
      <c r="S378" s="201"/>
      <c r="T378" s="201"/>
      <c r="U378" s="201"/>
      <c r="V378" s="201"/>
      <c r="W378" s="201"/>
      <c r="X378" s="201"/>
      <c r="Y378" s="201"/>
      <c r="Z378" s="201"/>
    </row>
    <row r="379" ht="12.8" customHeight="1" spans="1:26">
      <c r="A379" s="200"/>
      <c r="B379" s="201"/>
      <c r="C379" s="201"/>
      <c r="D379" s="201"/>
      <c r="E379" s="201"/>
      <c r="F379" s="201"/>
      <c r="G379" s="201"/>
      <c r="H379" s="201"/>
      <c r="I379" s="201"/>
      <c r="J379" s="201"/>
      <c r="K379" s="201"/>
      <c r="L379" s="201"/>
      <c r="M379" s="201"/>
      <c r="N379" s="201"/>
      <c r="O379" s="201"/>
      <c r="P379" s="201"/>
      <c r="Q379" s="201"/>
      <c r="R379" s="201"/>
      <c r="S379" s="201"/>
      <c r="T379" s="201"/>
      <c r="U379" s="201"/>
      <c r="V379" s="201"/>
      <c r="W379" s="201"/>
      <c r="X379" s="201"/>
      <c r="Y379" s="201"/>
      <c r="Z379" s="201"/>
    </row>
    <row r="380" ht="12.8" customHeight="1" spans="1:26">
      <c r="A380" s="200"/>
      <c r="B380" s="201"/>
      <c r="C380" s="201"/>
      <c r="D380" s="201"/>
      <c r="E380" s="201"/>
      <c r="F380" s="201"/>
      <c r="G380" s="201"/>
      <c r="H380" s="201"/>
      <c r="I380" s="201"/>
      <c r="J380" s="201"/>
      <c r="K380" s="201"/>
      <c r="L380" s="201"/>
      <c r="M380" s="201"/>
      <c r="N380" s="201"/>
      <c r="O380" s="201"/>
      <c r="P380" s="201"/>
      <c r="Q380" s="201"/>
      <c r="R380" s="201"/>
      <c r="S380" s="201"/>
      <c r="T380" s="201"/>
      <c r="U380" s="201"/>
      <c r="V380" s="201"/>
      <c r="W380" s="201"/>
      <c r="X380" s="201"/>
      <c r="Y380" s="201"/>
      <c r="Z380" s="201"/>
    </row>
    <row r="381" ht="12.8" customHeight="1" spans="1:26">
      <c r="A381" s="200"/>
      <c r="B381" s="201"/>
      <c r="C381" s="201"/>
      <c r="D381" s="201"/>
      <c r="E381" s="201"/>
      <c r="F381" s="201"/>
      <c r="G381" s="201"/>
      <c r="H381" s="201"/>
      <c r="I381" s="201"/>
      <c r="J381" s="201"/>
      <c r="K381" s="201"/>
      <c r="L381" s="201"/>
      <c r="M381" s="201"/>
      <c r="N381" s="201"/>
      <c r="O381" s="201"/>
      <c r="P381" s="201"/>
      <c r="Q381" s="201"/>
      <c r="R381" s="201"/>
      <c r="S381" s="201"/>
      <c r="T381" s="201"/>
      <c r="U381" s="201"/>
      <c r="V381" s="201"/>
      <c r="W381" s="201"/>
      <c r="X381" s="201"/>
      <c r="Y381" s="201"/>
      <c r="Z381" s="201"/>
    </row>
    <row r="382" ht="12.8" customHeight="1" spans="1:26">
      <c r="A382" s="200"/>
      <c r="B382" s="201"/>
      <c r="C382" s="201"/>
      <c r="D382" s="201"/>
      <c r="E382" s="201"/>
      <c r="F382" s="201"/>
      <c r="G382" s="201"/>
      <c r="H382" s="201"/>
      <c r="I382" s="201"/>
      <c r="J382" s="201"/>
      <c r="K382" s="201"/>
      <c r="L382" s="201"/>
      <c r="M382" s="201"/>
      <c r="N382" s="201"/>
      <c r="O382" s="201"/>
      <c r="P382" s="201"/>
      <c r="Q382" s="201"/>
      <c r="R382" s="201"/>
      <c r="S382" s="201"/>
      <c r="T382" s="201"/>
      <c r="U382" s="201"/>
      <c r="V382" s="201"/>
      <c r="W382" s="201"/>
      <c r="X382" s="201"/>
      <c r="Y382" s="201"/>
      <c r="Z382" s="201"/>
    </row>
    <row r="383" ht="12.8" customHeight="1" spans="1:26">
      <c r="A383" s="200"/>
      <c r="B383" s="201"/>
      <c r="C383" s="201"/>
      <c r="D383" s="201"/>
      <c r="E383" s="201"/>
      <c r="F383" s="201"/>
      <c r="G383" s="201"/>
      <c r="H383" s="201"/>
      <c r="I383" s="201"/>
      <c r="J383" s="201"/>
      <c r="K383" s="201"/>
      <c r="L383" s="201"/>
      <c r="M383" s="201"/>
      <c r="N383" s="201"/>
      <c r="O383" s="201"/>
      <c r="P383" s="201"/>
      <c r="Q383" s="201"/>
      <c r="R383" s="201"/>
      <c r="S383" s="201"/>
      <c r="T383" s="201"/>
      <c r="U383" s="201"/>
      <c r="V383" s="201"/>
      <c r="W383" s="201"/>
      <c r="X383" s="201"/>
      <c r="Y383" s="201"/>
      <c r="Z383" s="201"/>
    </row>
    <row r="384" ht="12.8" customHeight="1" spans="1:26">
      <c r="A384" s="200"/>
      <c r="B384" s="201"/>
      <c r="C384" s="201"/>
      <c r="D384" s="201"/>
      <c r="E384" s="201"/>
      <c r="F384" s="201"/>
      <c r="G384" s="201"/>
      <c r="H384" s="201"/>
      <c r="I384" s="201"/>
      <c r="J384" s="201"/>
      <c r="K384" s="201"/>
      <c r="L384" s="201"/>
      <c r="M384" s="201"/>
      <c r="N384" s="201"/>
      <c r="O384" s="201"/>
      <c r="P384" s="201"/>
      <c r="Q384" s="201"/>
      <c r="R384" s="201"/>
      <c r="S384" s="201"/>
      <c r="T384" s="201"/>
      <c r="U384" s="201"/>
      <c r="V384" s="201"/>
      <c r="W384" s="201"/>
      <c r="X384" s="201"/>
      <c r="Y384" s="201"/>
      <c r="Z384" s="201"/>
    </row>
    <row r="385" ht="12.8" customHeight="1" spans="1:26">
      <c r="A385" s="200"/>
      <c r="B385" s="201"/>
      <c r="C385" s="201"/>
      <c r="D385" s="201"/>
      <c r="E385" s="201"/>
      <c r="F385" s="201"/>
      <c r="G385" s="201"/>
      <c r="H385" s="201"/>
      <c r="I385" s="201"/>
      <c r="J385" s="201"/>
      <c r="K385" s="201"/>
      <c r="L385" s="201"/>
      <c r="M385" s="201"/>
      <c r="N385" s="201"/>
      <c r="O385" s="201"/>
      <c r="P385" s="201"/>
      <c r="Q385" s="201"/>
      <c r="R385" s="201"/>
      <c r="S385" s="201"/>
      <c r="T385" s="201"/>
      <c r="U385" s="201"/>
      <c r="V385" s="201"/>
      <c r="W385" s="201"/>
      <c r="X385" s="201"/>
      <c r="Y385" s="201"/>
      <c r="Z385" s="201"/>
    </row>
    <row r="386" ht="12.8" customHeight="1" spans="1:26">
      <c r="A386" s="200"/>
      <c r="B386" s="201"/>
      <c r="C386" s="201"/>
      <c r="D386" s="201"/>
      <c r="E386" s="201"/>
      <c r="F386" s="201"/>
      <c r="G386" s="201"/>
      <c r="H386" s="201"/>
      <c r="I386" s="201"/>
      <c r="J386" s="201"/>
      <c r="K386" s="201"/>
      <c r="L386" s="201"/>
      <c r="M386" s="201"/>
      <c r="N386" s="201"/>
      <c r="O386" s="201"/>
      <c r="P386" s="201"/>
      <c r="Q386" s="201"/>
      <c r="R386" s="201"/>
      <c r="S386" s="201"/>
      <c r="T386" s="201"/>
      <c r="U386" s="201"/>
      <c r="V386" s="201"/>
      <c r="W386" s="201"/>
      <c r="X386" s="201"/>
      <c r="Y386" s="201"/>
      <c r="Z386" s="201"/>
    </row>
    <row r="387" ht="12.8" customHeight="1" spans="1:26">
      <c r="A387" s="200"/>
      <c r="B387" s="201"/>
      <c r="C387" s="201"/>
      <c r="D387" s="201"/>
      <c r="E387" s="201"/>
      <c r="F387" s="201"/>
      <c r="G387" s="201"/>
      <c r="H387" s="201"/>
      <c r="I387" s="201"/>
      <c r="J387" s="201"/>
      <c r="K387" s="201"/>
      <c r="L387" s="201"/>
      <c r="M387" s="201"/>
      <c r="N387" s="201"/>
      <c r="O387" s="201"/>
      <c r="P387" s="201"/>
      <c r="Q387" s="201"/>
      <c r="R387" s="201"/>
      <c r="S387" s="201"/>
      <c r="T387" s="201"/>
      <c r="U387" s="201"/>
      <c r="V387" s="201"/>
      <c r="W387" s="201"/>
      <c r="X387" s="201"/>
      <c r="Y387" s="201"/>
      <c r="Z387" s="201"/>
    </row>
    <row r="388" ht="12.8" customHeight="1" spans="1:26">
      <c r="A388" s="200"/>
      <c r="B388" s="201"/>
      <c r="C388" s="201"/>
      <c r="D388" s="201"/>
      <c r="E388" s="201"/>
      <c r="F388" s="201"/>
      <c r="G388" s="201"/>
      <c r="H388" s="201"/>
      <c r="I388" s="201"/>
      <c r="J388" s="201"/>
      <c r="K388" s="201"/>
      <c r="L388" s="201"/>
      <c r="M388" s="201"/>
      <c r="N388" s="201"/>
      <c r="O388" s="201"/>
      <c r="P388" s="201"/>
      <c r="Q388" s="201"/>
      <c r="R388" s="201"/>
      <c r="S388" s="201"/>
      <c r="T388" s="201"/>
      <c r="U388" s="201"/>
      <c r="V388" s="201"/>
      <c r="W388" s="201"/>
      <c r="X388" s="201"/>
      <c r="Y388" s="201"/>
      <c r="Z388" s="201"/>
    </row>
    <row r="389" ht="12.8" customHeight="1" spans="1:26">
      <c r="A389" s="200"/>
      <c r="B389" s="201"/>
      <c r="C389" s="201"/>
      <c r="D389" s="201"/>
      <c r="E389" s="201"/>
      <c r="F389" s="201"/>
      <c r="G389" s="201"/>
      <c r="H389" s="201"/>
      <c r="I389" s="201"/>
      <c r="J389" s="201"/>
      <c r="K389" s="201"/>
      <c r="L389" s="201"/>
      <c r="M389" s="201"/>
      <c r="N389" s="201"/>
      <c r="O389" s="201"/>
      <c r="P389" s="201"/>
      <c r="Q389" s="201"/>
      <c r="R389" s="201"/>
      <c r="S389" s="201"/>
      <c r="T389" s="201"/>
      <c r="U389" s="201"/>
      <c r="V389" s="201"/>
      <c r="W389" s="201"/>
      <c r="X389" s="201"/>
      <c r="Y389" s="201"/>
      <c r="Z389" s="201"/>
    </row>
    <row r="390" ht="12.8" customHeight="1" spans="1:26">
      <c r="A390" s="200"/>
      <c r="B390" s="201"/>
      <c r="C390" s="201"/>
      <c r="D390" s="201"/>
      <c r="E390" s="201"/>
      <c r="F390" s="201"/>
      <c r="G390" s="201"/>
      <c r="H390" s="201"/>
      <c r="I390" s="201"/>
      <c r="J390" s="201"/>
      <c r="K390" s="201"/>
      <c r="L390" s="201"/>
      <c r="M390" s="201"/>
      <c r="N390" s="201"/>
      <c r="O390" s="201"/>
      <c r="P390" s="201"/>
      <c r="Q390" s="201"/>
      <c r="R390" s="201"/>
      <c r="S390" s="201"/>
      <c r="T390" s="201"/>
      <c r="U390" s="201"/>
      <c r="V390" s="201"/>
      <c r="W390" s="201"/>
      <c r="X390" s="201"/>
      <c r="Y390" s="201"/>
      <c r="Z390" s="201"/>
    </row>
    <row r="391" ht="12.8" customHeight="1" spans="1:26">
      <c r="A391" s="200"/>
      <c r="B391" s="201"/>
      <c r="C391" s="201"/>
      <c r="D391" s="201"/>
      <c r="E391" s="201"/>
      <c r="F391" s="201"/>
      <c r="G391" s="201"/>
      <c r="H391" s="201"/>
      <c r="I391" s="201"/>
      <c r="J391" s="201"/>
      <c r="K391" s="201"/>
      <c r="L391" s="201"/>
      <c r="M391" s="201"/>
      <c r="N391" s="201"/>
      <c r="O391" s="201"/>
      <c r="P391" s="201"/>
      <c r="Q391" s="201"/>
      <c r="R391" s="201"/>
      <c r="S391" s="201"/>
      <c r="T391" s="201"/>
      <c r="U391" s="201"/>
      <c r="V391" s="201"/>
      <c r="W391" s="201"/>
      <c r="X391" s="201"/>
      <c r="Y391" s="201"/>
      <c r="Z391" s="201"/>
    </row>
    <row r="392" ht="12.8" customHeight="1" spans="1:26">
      <c r="A392" s="200"/>
      <c r="B392" s="201"/>
      <c r="C392" s="201"/>
      <c r="D392" s="201"/>
      <c r="E392" s="201"/>
      <c r="F392" s="201"/>
      <c r="G392" s="201"/>
      <c r="H392" s="201"/>
      <c r="I392" s="201"/>
      <c r="J392" s="201"/>
      <c r="K392" s="201"/>
      <c r="L392" s="201"/>
      <c r="M392" s="201"/>
      <c r="N392" s="201"/>
      <c r="O392" s="201"/>
      <c r="P392" s="201"/>
      <c r="Q392" s="201"/>
      <c r="R392" s="201"/>
      <c r="S392" s="201"/>
      <c r="T392" s="201"/>
      <c r="U392" s="201"/>
      <c r="V392" s="201"/>
      <c r="W392" s="201"/>
      <c r="X392" s="201"/>
      <c r="Y392" s="201"/>
      <c r="Z392" s="201"/>
    </row>
    <row r="393" ht="12.8" customHeight="1" spans="1:26">
      <c r="A393" s="200"/>
      <c r="B393" s="201"/>
      <c r="C393" s="201"/>
      <c r="D393" s="201"/>
      <c r="E393" s="201"/>
      <c r="F393" s="201"/>
      <c r="G393" s="201"/>
      <c r="H393" s="201"/>
      <c r="I393" s="201"/>
      <c r="J393" s="201"/>
      <c r="K393" s="201"/>
      <c r="L393" s="201"/>
      <c r="M393" s="201"/>
      <c r="N393" s="201"/>
      <c r="O393" s="201"/>
      <c r="P393" s="201"/>
      <c r="Q393" s="201"/>
      <c r="R393" s="201"/>
      <c r="S393" s="201"/>
      <c r="T393" s="201"/>
      <c r="U393" s="201"/>
      <c r="V393" s="201"/>
      <c r="W393" s="201"/>
      <c r="X393" s="201"/>
      <c r="Y393" s="201"/>
      <c r="Z393" s="201"/>
    </row>
    <row r="394" ht="12.8" customHeight="1" spans="1:26">
      <c r="A394" s="200"/>
      <c r="B394" s="201"/>
      <c r="C394" s="201"/>
      <c r="D394" s="201"/>
      <c r="E394" s="201"/>
      <c r="F394" s="201"/>
      <c r="G394" s="201"/>
      <c r="H394" s="201"/>
      <c r="I394" s="201"/>
      <c r="J394" s="201"/>
      <c r="K394" s="201"/>
      <c r="L394" s="201"/>
      <c r="M394" s="201"/>
      <c r="N394" s="201"/>
      <c r="O394" s="201"/>
      <c r="P394" s="201"/>
      <c r="Q394" s="201"/>
      <c r="R394" s="201"/>
      <c r="S394" s="201"/>
      <c r="T394" s="201"/>
      <c r="U394" s="201"/>
      <c r="V394" s="201"/>
      <c r="W394" s="201"/>
      <c r="X394" s="201"/>
      <c r="Y394" s="201"/>
      <c r="Z394" s="201"/>
    </row>
    <row r="395" ht="12.8" customHeight="1" spans="1:26">
      <c r="A395" s="200"/>
      <c r="B395" s="201"/>
      <c r="C395" s="201"/>
      <c r="D395" s="201"/>
      <c r="E395" s="201"/>
      <c r="F395" s="201"/>
      <c r="G395" s="201"/>
      <c r="H395" s="201"/>
      <c r="I395" s="201"/>
      <c r="J395" s="201"/>
      <c r="K395" s="201"/>
      <c r="L395" s="201"/>
      <c r="M395" s="201"/>
      <c r="N395" s="201"/>
      <c r="O395" s="201"/>
      <c r="P395" s="201"/>
      <c r="Q395" s="201"/>
      <c r="R395" s="201"/>
      <c r="S395" s="201"/>
      <c r="T395" s="201"/>
      <c r="U395" s="201"/>
      <c r="V395" s="201"/>
      <c r="W395" s="201"/>
      <c r="X395" s="201"/>
      <c r="Y395" s="201"/>
      <c r="Z395" s="201"/>
    </row>
    <row r="396" ht="12.8" customHeight="1" spans="1:26">
      <c r="A396" s="200"/>
      <c r="B396" s="201"/>
      <c r="C396" s="201"/>
      <c r="D396" s="201"/>
      <c r="E396" s="201"/>
      <c r="F396" s="201"/>
      <c r="G396" s="201"/>
      <c r="H396" s="201"/>
      <c r="I396" s="201"/>
      <c r="J396" s="201"/>
      <c r="K396" s="201"/>
      <c r="L396" s="201"/>
      <c r="M396" s="201"/>
      <c r="N396" s="201"/>
      <c r="O396" s="201"/>
      <c r="P396" s="201"/>
      <c r="Q396" s="201"/>
      <c r="R396" s="201"/>
      <c r="S396" s="201"/>
      <c r="T396" s="201"/>
      <c r="U396" s="201"/>
      <c r="V396" s="201"/>
      <c r="W396" s="201"/>
      <c r="X396" s="201"/>
      <c r="Y396" s="201"/>
      <c r="Z396" s="201"/>
    </row>
    <row r="397" ht="12.8" customHeight="1" spans="1:26">
      <c r="A397" s="200"/>
      <c r="B397" s="201"/>
      <c r="C397" s="201"/>
      <c r="D397" s="201"/>
      <c r="E397" s="201"/>
      <c r="F397" s="201"/>
      <c r="G397" s="201"/>
      <c r="H397" s="201"/>
      <c r="I397" s="201"/>
      <c r="J397" s="201"/>
      <c r="K397" s="201"/>
      <c r="L397" s="201"/>
      <c r="M397" s="201"/>
      <c r="N397" s="201"/>
      <c r="O397" s="201"/>
      <c r="P397" s="201"/>
      <c r="Q397" s="201"/>
      <c r="R397" s="201"/>
      <c r="S397" s="201"/>
      <c r="T397" s="201"/>
      <c r="U397" s="201"/>
      <c r="V397" s="201"/>
      <c r="W397" s="201"/>
      <c r="X397" s="201"/>
      <c r="Y397" s="201"/>
      <c r="Z397" s="201"/>
    </row>
    <row r="398" ht="12.8" customHeight="1" spans="1:26">
      <c r="A398" s="200"/>
      <c r="B398" s="201"/>
      <c r="C398" s="201"/>
      <c r="D398" s="201"/>
      <c r="E398" s="201"/>
      <c r="F398" s="201"/>
      <c r="G398" s="201"/>
      <c r="H398" s="201"/>
      <c r="I398" s="201"/>
      <c r="J398" s="201"/>
      <c r="K398" s="201"/>
      <c r="L398" s="201"/>
      <c r="M398" s="201"/>
      <c r="N398" s="201"/>
      <c r="O398" s="201"/>
      <c r="P398" s="201"/>
      <c r="Q398" s="201"/>
      <c r="R398" s="201"/>
      <c r="S398" s="201"/>
      <c r="T398" s="201"/>
      <c r="U398" s="201"/>
      <c r="V398" s="201"/>
      <c r="W398" s="201"/>
      <c r="X398" s="201"/>
      <c r="Y398" s="201"/>
      <c r="Z398" s="201"/>
    </row>
    <row r="399" ht="12.8" customHeight="1" spans="1:26">
      <c r="A399" s="200"/>
      <c r="B399" s="201"/>
      <c r="C399" s="201"/>
      <c r="D399" s="201"/>
      <c r="E399" s="201"/>
      <c r="F399" s="201"/>
      <c r="G399" s="201"/>
      <c r="H399" s="201"/>
      <c r="I399" s="201"/>
      <c r="J399" s="201"/>
      <c r="K399" s="201"/>
      <c r="L399" s="201"/>
      <c r="M399" s="201"/>
      <c r="N399" s="201"/>
      <c r="O399" s="201"/>
      <c r="P399" s="201"/>
      <c r="Q399" s="201"/>
      <c r="R399" s="201"/>
      <c r="S399" s="201"/>
      <c r="T399" s="201"/>
      <c r="U399" s="201"/>
      <c r="V399" s="201"/>
      <c r="W399" s="201"/>
      <c r="X399" s="201"/>
      <c r="Y399" s="201"/>
      <c r="Z399" s="201"/>
    </row>
    <row r="400" ht="12.8" customHeight="1" spans="1:26">
      <c r="A400" s="200"/>
      <c r="B400" s="201"/>
      <c r="C400" s="201"/>
      <c r="D400" s="201"/>
      <c r="E400" s="201"/>
      <c r="F400" s="201"/>
      <c r="G400" s="201"/>
      <c r="H400" s="201"/>
      <c r="I400" s="201"/>
      <c r="J400" s="201"/>
      <c r="K400" s="201"/>
      <c r="L400" s="201"/>
      <c r="M400" s="201"/>
      <c r="N400" s="201"/>
      <c r="O400" s="201"/>
      <c r="P400" s="201"/>
      <c r="Q400" s="201"/>
      <c r="R400" s="201"/>
      <c r="S400" s="201"/>
      <c r="T400" s="201"/>
      <c r="U400" s="201"/>
      <c r="V400" s="201"/>
      <c r="W400" s="201"/>
      <c r="X400" s="201"/>
      <c r="Y400" s="201"/>
      <c r="Z400" s="201"/>
    </row>
    <row r="401" ht="12.8" customHeight="1" spans="1:26">
      <c r="A401" s="200"/>
      <c r="B401" s="201"/>
      <c r="C401" s="201"/>
      <c r="D401" s="201"/>
      <c r="E401" s="201"/>
      <c r="F401" s="201"/>
      <c r="G401" s="201"/>
      <c r="H401" s="201"/>
      <c r="I401" s="201"/>
      <c r="J401" s="201"/>
      <c r="K401" s="201"/>
      <c r="L401" s="201"/>
      <c r="M401" s="201"/>
      <c r="N401" s="201"/>
      <c r="O401" s="201"/>
      <c r="P401" s="201"/>
      <c r="Q401" s="201"/>
      <c r="R401" s="201"/>
      <c r="S401" s="201"/>
      <c r="T401" s="201"/>
      <c r="U401" s="201"/>
      <c r="V401" s="201"/>
      <c r="W401" s="201"/>
      <c r="X401" s="201"/>
      <c r="Y401" s="201"/>
      <c r="Z401" s="201"/>
    </row>
    <row r="402" ht="12.8" customHeight="1" spans="1:26">
      <c r="A402" s="200"/>
      <c r="B402" s="201"/>
      <c r="C402" s="201"/>
      <c r="D402" s="201"/>
      <c r="E402" s="201"/>
      <c r="F402" s="201"/>
      <c r="G402" s="201"/>
      <c r="H402" s="201"/>
      <c r="I402" s="201"/>
      <c r="J402" s="201"/>
      <c r="K402" s="201"/>
      <c r="L402" s="201"/>
      <c r="M402" s="201"/>
      <c r="N402" s="201"/>
      <c r="O402" s="201"/>
      <c r="P402" s="201"/>
      <c r="Q402" s="201"/>
      <c r="R402" s="201"/>
      <c r="S402" s="201"/>
      <c r="T402" s="201"/>
      <c r="U402" s="201"/>
      <c r="V402" s="201"/>
      <c r="W402" s="201"/>
      <c r="X402" s="201"/>
      <c r="Y402" s="201"/>
      <c r="Z402" s="201"/>
    </row>
    <row r="403" ht="12.8" customHeight="1" spans="1:26">
      <c r="A403" s="200"/>
      <c r="B403" s="201"/>
      <c r="C403" s="201"/>
      <c r="D403" s="201"/>
      <c r="E403" s="201"/>
      <c r="F403" s="201"/>
      <c r="G403" s="201"/>
      <c r="H403" s="201"/>
      <c r="I403" s="201"/>
      <c r="J403" s="201"/>
      <c r="K403" s="201"/>
      <c r="L403" s="201"/>
      <c r="M403" s="201"/>
      <c r="N403" s="201"/>
      <c r="O403" s="201"/>
      <c r="P403" s="201"/>
      <c r="Q403" s="201"/>
      <c r="R403" s="201"/>
      <c r="S403" s="201"/>
      <c r="T403" s="201"/>
      <c r="U403" s="201"/>
      <c r="V403" s="201"/>
      <c r="W403" s="201"/>
      <c r="X403" s="201"/>
      <c r="Y403" s="201"/>
      <c r="Z403" s="201"/>
    </row>
    <row r="404" ht="12.8" customHeight="1" spans="1:26">
      <c r="A404" s="200"/>
      <c r="B404" s="201"/>
      <c r="C404" s="201"/>
      <c r="D404" s="201"/>
      <c r="E404" s="201"/>
      <c r="F404" s="201"/>
      <c r="G404" s="201"/>
      <c r="H404" s="201"/>
      <c r="I404" s="201"/>
      <c r="J404" s="201"/>
      <c r="K404" s="201"/>
      <c r="L404" s="201"/>
      <c r="M404" s="201"/>
      <c r="N404" s="201"/>
      <c r="O404" s="201"/>
      <c r="P404" s="201"/>
      <c r="Q404" s="201"/>
      <c r="R404" s="201"/>
      <c r="S404" s="201"/>
      <c r="T404" s="201"/>
      <c r="U404" s="201"/>
      <c r="V404" s="201"/>
      <c r="W404" s="201"/>
      <c r="X404" s="201"/>
      <c r="Y404" s="201"/>
      <c r="Z404" s="201"/>
    </row>
    <row r="405" ht="12.8" customHeight="1" spans="1:26">
      <c r="A405" s="200"/>
      <c r="B405" s="201"/>
      <c r="C405" s="201"/>
      <c r="D405" s="201"/>
      <c r="E405" s="201"/>
      <c r="F405" s="201"/>
      <c r="G405" s="201"/>
      <c r="H405" s="201"/>
      <c r="I405" s="201"/>
      <c r="J405" s="201"/>
      <c r="K405" s="201"/>
      <c r="L405" s="201"/>
      <c r="M405" s="201"/>
      <c r="N405" s="201"/>
      <c r="O405" s="201"/>
      <c r="P405" s="201"/>
      <c r="Q405" s="201"/>
      <c r="R405" s="201"/>
      <c r="S405" s="201"/>
      <c r="T405" s="201"/>
      <c r="U405" s="201"/>
      <c r="V405" s="201"/>
      <c r="W405" s="201"/>
      <c r="X405" s="201"/>
      <c r="Y405" s="201"/>
      <c r="Z405" s="201"/>
    </row>
    <row r="406" ht="12.8" customHeight="1" spans="1:26">
      <c r="A406" s="200"/>
      <c r="B406" s="201"/>
      <c r="C406" s="201"/>
      <c r="D406" s="201"/>
      <c r="E406" s="201"/>
      <c r="F406" s="201"/>
      <c r="G406" s="201"/>
      <c r="H406" s="201"/>
      <c r="I406" s="201"/>
      <c r="J406" s="201"/>
      <c r="K406" s="201"/>
      <c r="L406" s="201"/>
      <c r="M406" s="201"/>
      <c r="N406" s="201"/>
      <c r="O406" s="201"/>
      <c r="P406" s="201"/>
      <c r="Q406" s="201"/>
      <c r="R406" s="201"/>
      <c r="S406" s="201"/>
      <c r="T406" s="201"/>
      <c r="U406" s="201"/>
      <c r="V406" s="201"/>
      <c r="W406" s="201"/>
      <c r="X406" s="201"/>
      <c r="Y406" s="201"/>
      <c r="Z406" s="201"/>
    </row>
    <row r="407" ht="12.8" customHeight="1" spans="1:26">
      <c r="A407" s="200"/>
      <c r="B407" s="201"/>
      <c r="C407" s="201"/>
      <c r="D407" s="201"/>
      <c r="E407" s="201"/>
      <c r="F407" s="201"/>
      <c r="G407" s="201"/>
      <c r="H407" s="201"/>
      <c r="I407" s="201"/>
      <c r="J407" s="201"/>
      <c r="K407" s="201"/>
      <c r="L407" s="201"/>
      <c r="M407" s="201"/>
      <c r="N407" s="201"/>
      <c r="O407" s="201"/>
      <c r="P407" s="201"/>
      <c r="Q407" s="201"/>
      <c r="R407" s="201"/>
      <c r="S407" s="201"/>
      <c r="T407" s="201"/>
      <c r="U407" s="201"/>
      <c r="V407" s="201"/>
      <c r="W407" s="201"/>
      <c r="X407" s="201"/>
      <c r="Y407" s="201"/>
      <c r="Z407" s="201"/>
    </row>
    <row r="408" ht="12.8" customHeight="1" spans="1:26">
      <c r="A408" s="200"/>
      <c r="B408" s="201"/>
      <c r="C408" s="201"/>
      <c r="D408" s="201"/>
      <c r="E408" s="201"/>
      <c r="F408" s="201"/>
      <c r="G408" s="201"/>
      <c r="H408" s="201"/>
      <c r="I408" s="201"/>
      <c r="J408" s="201"/>
      <c r="K408" s="201"/>
      <c r="L408" s="201"/>
      <c r="M408" s="201"/>
      <c r="N408" s="201"/>
      <c r="O408" s="201"/>
      <c r="P408" s="201"/>
      <c r="Q408" s="201"/>
      <c r="R408" s="201"/>
      <c r="S408" s="201"/>
      <c r="T408" s="201"/>
      <c r="U408" s="201"/>
      <c r="V408" s="201"/>
      <c r="W408" s="201"/>
      <c r="X408" s="201"/>
      <c r="Y408" s="201"/>
      <c r="Z408" s="201"/>
    </row>
    <row r="409" ht="12.8" customHeight="1" spans="1:26">
      <c r="A409" s="200"/>
      <c r="B409" s="201"/>
      <c r="C409" s="201"/>
      <c r="D409" s="201"/>
      <c r="E409" s="201"/>
      <c r="F409" s="201"/>
      <c r="G409" s="201"/>
      <c r="H409" s="201"/>
      <c r="I409" s="201"/>
      <c r="J409" s="201"/>
      <c r="K409" s="201"/>
      <c r="L409" s="201"/>
      <c r="M409" s="201"/>
      <c r="N409" s="201"/>
      <c r="O409" s="201"/>
      <c r="P409" s="201"/>
      <c r="Q409" s="201"/>
      <c r="R409" s="201"/>
      <c r="S409" s="201"/>
      <c r="T409" s="201"/>
      <c r="U409" s="201"/>
      <c r="V409" s="201"/>
      <c r="W409" s="201"/>
      <c r="X409" s="201"/>
      <c r="Y409" s="201"/>
      <c r="Z409" s="201"/>
    </row>
    <row r="410" ht="12.8" customHeight="1" spans="1:26">
      <c r="A410" s="200"/>
      <c r="B410" s="201"/>
      <c r="C410" s="201"/>
      <c r="D410" s="201"/>
      <c r="E410" s="201"/>
      <c r="F410" s="201"/>
      <c r="G410" s="201"/>
      <c r="H410" s="201"/>
      <c r="I410" s="201"/>
      <c r="J410" s="201"/>
      <c r="K410" s="201"/>
      <c r="L410" s="201"/>
      <c r="M410" s="201"/>
      <c r="N410" s="201"/>
      <c r="O410" s="201"/>
      <c r="P410" s="201"/>
      <c r="Q410" s="201"/>
      <c r="R410" s="201"/>
      <c r="S410" s="201"/>
      <c r="T410" s="201"/>
      <c r="U410" s="201"/>
      <c r="V410" s="201"/>
      <c r="W410" s="201"/>
      <c r="X410" s="201"/>
      <c r="Y410" s="201"/>
      <c r="Z410" s="201"/>
    </row>
    <row r="411" ht="12.8" customHeight="1" spans="1:26">
      <c r="A411" s="200"/>
      <c r="B411" s="201"/>
      <c r="C411" s="201"/>
      <c r="D411" s="201"/>
      <c r="E411" s="201"/>
      <c r="F411" s="201"/>
      <c r="G411" s="201"/>
      <c r="H411" s="201"/>
      <c r="I411" s="201"/>
      <c r="J411" s="201"/>
      <c r="K411" s="201"/>
      <c r="L411" s="201"/>
      <c r="M411" s="201"/>
      <c r="N411" s="201"/>
      <c r="O411" s="201"/>
      <c r="P411" s="201"/>
      <c r="Q411" s="201"/>
      <c r="R411" s="201"/>
      <c r="S411" s="201"/>
      <c r="T411" s="201"/>
      <c r="U411" s="201"/>
      <c r="V411" s="201"/>
      <c r="W411" s="201"/>
      <c r="X411" s="201"/>
      <c r="Y411" s="201"/>
      <c r="Z411" s="201"/>
    </row>
    <row r="412" ht="12.8" customHeight="1" spans="1:26">
      <c r="A412" s="200"/>
      <c r="B412" s="201"/>
      <c r="C412" s="201"/>
      <c r="D412" s="201"/>
      <c r="E412" s="201"/>
      <c r="F412" s="201"/>
      <c r="G412" s="201"/>
      <c r="H412" s="201"/>
      <c r="I412" s="201"/>
      <c r="J412" s="201"/>
      <c r="K412" s="201"/>
      <c r="L412" s="201"/>
      <c r="M412" s="201"/>
      <c r="N412" s="201"/>
      <c r="O412" s="201"/>
      <c r="P412" s="201"/>
      <c r="Q412" s="201"/>
      <c r="R412" s="201"/>
      <c r="S412" s="201"/>
      <c r="T412" s="201"/>
      <c r="U412" s="201"/>
      <c r="V412" s="201"/>
      <c r="W412" s="201"/>
      <c r="X412" s="201"/>
      <c r="Y412" s="201"/>
      <c r="Z412" s="201"/>
    </row>
    <row r="413" ht="12.8" customHeight="1" spans="1:26">
      <c r="A413" s="200"/>
      <c r="B413" s="201"/>
      <c r="C413" s="201"/>
      <c r="D413" s="201"/>
      <c r="E413" s="201"/>
      <c r="F413" s="201"/>
      <c r="G413" s="201"/>
      <c r="H413" s="201"/>
      <c r="I413" s="201"/>
      <c r="J413" s="201"/>
      <c r="K413" s="201"/>
      <c r="L413" s="201"/>
      <c r="M413" s="201"/>
      <c r="N413" s="201"/>
      <c r="O413" s="201"/>
      <c r="P413" s="201"/>
      <c r="Q413" s="201"/>
      <c r="R413" s="201"/>
      <c r="S413" s="201"/>
      <c r="T413" s="201"/>
      <c r="U413" s="201"/>
      <c r="V413" s="201"/>
      <c r="W413" s="201"/>
      <c r="X413" s="201"/>
      <c r="Y413" s="201"/>
      <c r="Z413" s="201"/>
    </row>
    <row r="414" ht="12.8" customHeight="1" spans="1:26">
      <c r="A414" s="200"/>
      <c r="B414" s="201"/>
      <c r="C414" s="201"/>
      <c r="D414" s="201"/>
      <c r="E414" s="201"/>
      <c r="F414" s="201"/>
      <c r="G414" s="201"/>
      <c r="H414" s="201"/>
      <c r="I414" s="201"/>
      <c r="J414" s="201"/>
      <c r="K414" s="201"/>
      <c r="L414" s="201"/>
      <c r="M414" s="201"/>
      <c r="N414" s="201"/>
      <c r="O414" s="201"/>
      <c r="P414" s="201"/>
      <c r="Q414" s="201"/>
      <c r="R414" s="201"/>
      <c r="S414" s="201"/>
      <c r="T414" s="201"/>
      <c r="U414" s="201"/>
      <c r="V414" s="201"/>
      <c r="W414" s="201"/>
      <c r="X414" s="201"/>
      <c r="Y414" s="201"/>
      <c r="Z414" s="201"/>
    </row>
    <row r="415" ht="12.8" customHeight="1" spans="1:26">
      <c r="A415" s="200"/>
      <c r="B415" s="201"/>
      <c r="C415" s="201"/>
      <c r="D415" s="201"/>
      <c r="E415" s="201"/>
      <c r="F415" s="201"/>
      <c r="G415" s="201"/>
      <c r="H415" s="201"/>
      <c r="I415" s="201"/>
      <c r="J415" s="201"/>
      <c r="K415" s="201"/>
      <c r="L415" s="201"/>
      <c r="M415" s="201"/>
      <c r="N415" s="201"/>
      <c r="O415" s="201"/>
      <c r="P415" s="201"/>
      <c r="Q415" s="201"/>
      <c r="R415" s="201"/>
      <c r="S415" s="201"/>
      <c r="T415" s="201"/>
      <c r="U415" s="201"/>
      <c r="V415" s="201"/>
      <c r="W415" s="201"/>
      <c r="X415" s="201"/>
      <c r="Y415" s="201"/>
      <c r="Z415" s="201"/>
    </row>
    <row r="416" ht="12.8" customHeight="1" spans="1:26">
      <c r="A416" s="200"/>
      <c r="B416" s="201"/>
      <c r="C416" s="201"/>
      <c r="D416" s="201"/>
      <c r="E416" s="201"/>
      <c r="F416" s="201"/>
      <c r="G416" s="201"/>
      <c r="H416" s="201"/>
      <c r="I416" s="201"/>
      <c r="J416" s="201"/>
      <c r="K416" s="201"/>
      <c r="L416" s="201"/>
      <c r="M416" s="201"/>
      <c r="N416" s="201"/>
      <c r="O416" s="201"/>
      <c r="P416" s="201"/>
      <c r="Q416" s="201"/>
      <c r="R416" s="201"/>
      <c r="S416" s="201"/>
      <c r="T416" s="201"/>
      <c r="U416" s="201"/>
      <c r="V416" s="201"/>
      <c r="W416" s="201"/>
      <c r="X416" s="201"/>
      <c r="Y416" s="201"/>
      <c r="Z416" s="201"/>
    </row>
    <row r="417" ht="12.8" customHeight="1" spans="1:26">
      <c r="A417" s="200"/>
      <c r="B417" s="201"/>
      <c r="C417" s="201"/>
      <c r="D417" s="201"/>
      <c r="E417" s="201"/>
      <c r="F417" s="201"/>
      <c r="G417" s="201"/>
      <c r="H417" s="201"/>
      <c r="I417" s="201"/>
      <c r="J417" s="201"/>
      <c r="K417" s="201"/>
      <c r="L417" s="201"/>
      <c r="M417" s="201"/>
      <c r="N417" s="201"/>
      <c r="O417" s="201"/>
      <c r="P417" s="201"/>
      <c r="Q417" s="201"/>
      <c r="R417" s="201"/>
      <c r="S417" s="201"/>
      <c r="T417" s="201"/>
      <c r="U417" s="201"/>
      <c r="V417" s="201"/>
      <c r="W417" s="201"/>
      <c r="X417" s="201"/>
      <c r="Y417" s="201"/>
      <c r="Z417" s="201"/>
    </row>
    <row r="418" ht="12.8" customHeight="1" spans="1:26">
      <c r="A418" s="200"/>
      <c r="B418" s="201"/>
      <c r="C418" s="201"/>
      <c r="D418" s="201"/>
      <c r="E418" s="201"/>
      <c r="F418" s="201"/>
      <c r="G418" s="201"/>
      <c r="H418" s="201"/>
      <c r="I418" s="201"/>
      <c r="J418" s="201"/>
      <c r="K418" s="201"/>
      <c r="L418" s="201"/>
      <c r="M418" s="201"/>
      <c r="N418" s="201"/>
      <c r="O418" s="201"/>
      <c r="P418" s="201"/>
      <c r="Q418" s="201"/>
      <c r="R418" s="201"/>
      <c r="S418" s="201"/>
      <c r="T418" s="201"/>
      <c r="U418" s="201"/>
      <c r="V418" s="201"/>
      <c r="W418" s="201"/>
      <c r="X418" s="201"/>
      <c r="Y418" s="201"/>
      <c r="Z418" s="201"/>
    </row>
    <row r="419" ht="12.8" customHeight="1" spans="1:26">
      <c r="A419" s="200"/>
      <c r="B419" s="201"/>
      <c r="C419" s="201"/>
      <c r="D419" s="201"/>
      <c r="E419" s="201"/>
      <c r="F419" s="201"/>
      <c r="G419" s="201"/>
      <c r="H419" s="201"/>
      <c r="I419" s="201"/>
      <c r="J419" s="201"/>
      <c r="K419" s="201"/>
      <c r="L419" s="201"/>
      <c r="M419" s="201"/>
      <c r="N419" s="201"/>
      <c r="O419" s="201"/>
      <c r="P419" s="201"/>
      <c r="Q419" s="201"/>
      <c r="R419" s="201"/>
      <c r="S419" s="201"/>
      <c r="T419" s="201"/>
      <c r="U419" s="201"/>
      <c r="V419" s="201"/>
      <c r="W419" s="201"/>
      <c r="X419" s="201"/>
      <c r="Y419" s="201"/>
      <c r="Z419" s="201"/>
    </row>
    <row r="420" ht="12.8" customHeight="1" spans="1:26">
      <c r="A420" s="200"/>
      <c r="B420" s="201"/>
      <c r="C420" s="201"/>
      <c r="D420" s="201"/>
      <c r="E420" s="201"/>
      <c r="F420" s="201"/>
      <c r="G420" s="201"/>
      <c r="H420" s="201"/>
      <c r="I420" s="201"/>
      <c r="J420" s="201"/>
      <c r="K420" s="201"/>
      <c r="L420" s="201"/>
      <c r="M420" s="201"/>
      <c r="N420" s="201"/>
      <c r="O420" s="201"/>
      <c r="P420" s="201"/>
      <c r="Q420" s="201"/>
      <c r="R420" s="201"/>
      <c r="S420" s="201"/>
      <c r="T420" s="201"/>
      <c r="U420" s="201"/>
      <c r="V420" s="201"/>
      <c r="W420" s="201"/>
      <c r="X420" s="201"/>
      <c r="Y420" s="201"/>
      <c r="Z420" s="201"/>
    </row>
    <row r="421" ht="12.8" customHeight="1" spans="1:26">
      <c r="A421" s="200"/>
      <c r="B421" s="201"/>
      <c r="C421" s="201"/>
      <c r="D421" s="201"/>
      <c r="E421" s="201"/>
      <c r="F421" s="201"/>
      <c r="G421" s="201"/>
      <c r="H421" s="201"/>
      <c r="I421" s="201"/>
      <c r="J421" s="201"/>
      <c r="K421" s="201"/>
      <c r="L421" s="201"/>
      <c r="M421" s="201"/>
      <c r="N421" s="201"/>
      <c r="O421" s="201"/>
      <c r="P421" s="201"/>
      <c r="Q421" s="201"/>
      <c r="R421" s="201"/>
      <c r="S421" s="201"/>
      <c r="T421" s="201"/>
      <c r="U421" s="201"/>
      <c r="V421" s="201"/>
      <c r="W421" s="201"/>
      <c r="X421" s="201"/>
      <c r="Y421" s="201"/>
      <c r="Z421" s="201"/>
    </row>
    <row r="422" ht="12.8" customHeight="1" spans="1:26">
      <c r="A422" s="200"/>
      <c r="B422" s="201"/>
      <c r="C422" s="201"/>
      <c r="D422" s="201"/>
      <c r="E422" s="201"/>
      <c r="F422" s="201"/>
      <c r="G422" s="201"/>
      <c r="H422" s="201"/>
      <c r="I422" s="201"/>
      <c r="J422" s="201"/>
      <c r="K422" s="201"/>
      <c r="L422" s="201"/>
      <c r="M422" s="201"/>
      <c r="N422" s="201"/>
      <c r="O422" s="201"/>
      <c r="P422" s="201"/>
      <c r="Q422" s="201"/>
      <c r="R422" s="201"/>
      <c r="S422" s="201"/>
      <c r="T422" s="201"/>
      <c r="U422" s="201"/>
      <c r="V422" s="201"/>
      <c r="W422" s="201"/>
      <c r="X422" s="201"/>
      <c r="Y422" s="201"/>
      <c r="Z422" s="201"/>
    </row>
    <row r="423" ht="12.8" customHeight="1" spans="1:26">
      <c r="A423" s="200"/>
      <c r="B423" s="201"/>
      <c r="C423" s="201"/>
      <c r="D423" s="201"/>
      <c r="E423" s="201"/>
      <c r="F423" s="201"/>
      <c r="G423" s="201"/>
      <c r="H423" s="201"/>
      <c r="I423" s="201"/>
      <c r="J423" s="201"/>
      <c r="K423" s="201"/>
      <c r="L423" s="201"/>
      <c r="M423" s="201"/>
      <c r="N423" s="201"/>
      <c r="O423" s="201"/>
      <c r="P423" s="201"/>
      <c r="Q423" s="201"/>
      <c r="R423" s="201"/>
      <c r="S423" s="201"/>
      <c r="T423" s="201"/>
      <c r="U423" s="201"/>
      <c r="V423" s="201"/>
      <c r="W423" s="201"/>
      <c r="X423" s="201"/>
      <c r="Y423" s="201"/>
      <c r="Z423" s="201"/>
    </row>
    <row r="424" ht="12.8" customHeight="1" spans="1:26">
      <c r="A424" s="200"/>
      <c r="B424" s="201"/>
      <c r="C424" s="201"/>
      <c r="D424" s="201"/>
      <c r="E424" s="201"/>
      <c r="F424" s="201"/>
      <c r="G424" s="201"/>
      <c r="H424" s="201"/>
      <c r="I424" s="201"/>
      <c r="J424" s="201"/>
      <c r="K424" s="201"/>
      <c r="L424" s="201"/>
      <c r="M424" s="201"/>
      <c r="N424" s="201"/>
      <c r="O424" s="201"/>
      <c r="P424" s="201"/>
      <c r="Q424" s="201"/>
      <c r="R424" s="201"/>
      <c r="S424" s="201"/>
      <c r="T424" s="201"/>
      <c r="U424" s="201"/>
      <c r="V424" s="201"/>
      <c r="W424" s="201"/>
      <c r="X424" s="201"/>
      <c r="Y424" s="201"/>
      <c r="Z424" s="201"/>
    </row>
    <row r="425" ht="12.8" customHeight="1" spans="1:26">
      <c r="A425" s="200"/>
      <c r="B425" s="201"/>
      <c r="C425" s="201"/>
      <c r="D425" s="201"/>
      <c r="E425" s="201"/>
      <c r="F425" s="201"/>
      <c r="G425" s="201"/>
      <c r="H425" s="201"/>
      <c r="I425" s="201"/>
      <c r="J425" s="201"/>
      <c r="K425" s="201"/>
      <c r="L425" s="201"/>
      <c r="M425" s="201"/>
      <c r="N425" s="201"/>
      <c r="O425" s="201"/>
      <c r="P425" s="201"/>
      <c r="Q425" s="201"/>
      <c r="R425" s="201"/>
      <c r="S425" s="201"/>
      <c r="T425" s="201"/>
      <c r="U425" s="201"/>
      <c r="V425" s="201"/>
      <c r="W425" s="201"/>
      <c r="X425" s="201"/>
      <c r="Y425" s="201"/>
      <c r="Z425" s="201"/>
    </row>
    <row r="426" ht="12.8" customHeight="1" spans="1:26">
      <c r="A426" s="200"/>
      <c r="B426" s="201"/>
      <c r="C426" s="201"/>
      <c r="D426" s="201"/>
      <c r="E426" s="201"/>
      <c r="F426" s="201"/>
      <c r="G426" s="201"/>
      <c r="H426" s="201"/>
      <c r="I426" s="201"/>
      <c r="J426" s="201"/>
      <c r="K426" s="201"/>
      <c r="L426" s="201"/>
      <c r="M426" s="201"/>
      <c r="N426" s="201"/>
      <c r="O426" s="201"/>
      <c r="P426" s="201"/>
      <c r="Q426" s="201"/>
      <c r="R426" s="201"/>
      <c r="S426" s="201"/>
      <c r="T426" s="201"/>
      <c r="U426" s="201"/>
      <c r="V426" s="201"/>
      <c r="W426" s="201"/>
      <c r="X426" s="201"/>
      <c r="Y426" s="201"/>
      <c r="Z426" s="201"/>
    </row>
    <row r="427" ht="12.8" customHeight="1" spans="1:26">
      <c r="A427" s="200"/>
      <c r="B427" s="201"/>
      <c r="C427" s="201"/>
      <c r="D427" s="201"/>
      <c r="E427" s="201"/>
      <c r="F427" s="201"/>
      <c r="G427" s="201"/>
      <c r="H427" s="201"/>
      <c r="I427" s="201"/>
      <c r="J427" s="201"/>
      <c r="K427" s="201"/>
      <c r="L427" s="201"/>
      <c r="M427" s="201"/>
      <c r="N427" s="201"/>
      <c r="O427" s="201"/>
      <c r="P427" s="201"/>
      <c r="Q427" s="201"/>
      <c r="R427" s="201"/>
      <c r="S427" s="201"/>
      <c r="T427" s="201"/>
      <c r="U427" s="201"/>
      <c r="V427" s="201"/>
      <c r="W427" s="201"/>
      <c r="X427" s="201"/>
      <c r="Y427" s="201"/>
      <c r="Z427" s="201"/>
    </row>
    <row r="428" ht="12.8" customHeight="1" spans="1:26">
      <c r="A428" s="200"/>
      <c r="B428" s="201"/>
      <c r="C428" s="201"/>
      <c r="D428" s="201"/>
      <c r="E428" s="201"/>
      <c r="F428" s="201"/>
      <c r="G428" s="201"/>
      <c r="H428" s="201"/>
      <c r="I428" s="201"/>
      <c r="J428" s="201"/>
      <c r="K428" s="201"/>
      <c r="L428" s="201"/>
      <c r="M428" s="201"/>
      <c r="N428" s="201"/>
      <c r="O428" s="201"/>
      <c r="P428" s="201"/>
      <c r="Q428" s="201"/>
      <c r="R428" s="201"/>
      <c r="S428" s="201"/>
      <c r="T428" s="201"/>
      <c r="U428" s="201"/>
      <c r="V428" s="201"/>
      <c r="W428" s="201"/>
      <c r="X428" s="201"/>
      <c r="Y428" s="201"/>
      <c r="Z428" s="201"/>
    </row>
    <row r="429" ht="12.8" customHeight="1" spans="1:26">
      <c r="A429" s="200"/>
      <c r="B429" s="201"/>
      <c r="C429" s="201"/>
      <c r="D429" s="201"/>
      <c r="E429" s="201"/>
      <c r="F429" s="201"/>
      <c r="G429" s="201"/>
      <c r="H429" s="201"/>
      <c r="I429" s="201"/>
      <c r="J429" s="201"/>
      <c r="K429" s="201"/>
      <c r="L429" s="201"/>
      <c r="M429" s="201"/>
      <c r="N429" s="201"/>
      <c r="O429" s="201"/>
      <c r="P429" s="201"/>
      <c r="Q429" s="201"/>
      <c r="R429" s="201"/>
      <c r="S429" s="201"/>
      <c r="T429" s="201"/>
      <c r="U429" s="201"/>
      <c r="V429" s="201"/>
      <c r="W429" s="201"/>
      <c r="X429" s="201"/>
      <c r="Y429" s="201"/>
      <c r="Z429" s="201"/>
    </row>
    <row r="430" ht="12.8" customHeight="1" spans="1:26">
      <c r="A430" s="200"/>
      <c r="B430" s="201"/>
      <c r="C430" s="201"/>
      <c r="D430" s="201"/>
      <c r="E430" s="201"/>
      <c r="F430" s="201"/>
      <c r="G430" s="201"/>
      <c r="H430" s="201"/>
      <c r="I430" s="201"/>
      <c r="J430" s="201"/>
      <c r="K430" s="201"/>
      <c r="L430" s="201"/>
      <c r="M430" s="201"/>
      <c r="N430" s="201"/>
      <c r="O430" s="201"/>
      <c r="P430" s="201"/>
      <c r="Q430" s="201"/>
      <c r="R430" s="201"/>
      <c r="S430" s="201"/>
      <c r="T430" s="201"/>
      <c r="U430" s="201"/>
      <c r="V430" s="201"/>
      <c r="W430" s="201"/>
      <c r="X430" s="201"/>
      <c r="Y430" s="201"/>
      <c r="Z430" s="201"/>
    </row>
    <row r="431" ht="12.8" customHeight="1" spans="1:26">
      <c r="A431" s="200"/>
      <c r="B431" s="201"/>
      <c r="C431" s="201"/>
      <c r="D431" s="201"/>
      <c r="E431" s="201"/>
      <c r="F431" s="201"/>
      <c r="G431" s="201"/>
      <c r="H431" s="201"/>
      <c r="I431" s="201"/>
      <c r="J431" s="201"/>
      <c r="K431" s="201"/>
      <c r="L431" s="201"/>
      <c r="M431" s="201"/>
      <c r="N431" s="201"/>
      <c r="O431" s="201"/>
      <c r="P431" s="201"/>
      <c r="Q431" s="201"/>
      <c r="R431" s="201"/>
      <c r="S431" s="201"/>
      <c r="T431" s="201"/>
      <c r="U431" s="201"/>
      <c r="V431" s="201"/>
      <c r="W431" s="201"/>
      <c r="X431" s="201"/>
      <c r="Y431" s="201"/>
      <c r="Z431" s="201"/>
    </row>
    <row r="432" ht="12.8" customHeight="1" spans="1:26">
      <c r="A432" s="200"/>
      <c r="B432" s="201"/>
      <c r="C432" s="201"/>
      <c r="D432" s="201"/>
      <c r="E432" s="201"/>
      <c r="F432" s="201"/>
      <c r="G432" s="201"/>
      <c r="H432" s="201"/>
      <c r="I432" s="201"/>
      <c r="J432" s="201"/>
      <c r="K432" s="201"/>
      <c r="L432" s="201"/>
      <c r="M432" s="201"/>
      <c r="N432" s="201"/>
      <c r="O432" s="201"/>
      <c r="P432" s="201"/>
      <c r="Q432" s="201"/>
      <c r="R432" s="201"/>
      <c r="S432" s="201"/>
      <c r="T432" s="201"/>
      <c r="U432" s="201"/>
      <c r="V432" s="201"/>
      <c r="W432" s="201"/>
      <c r="X432" s="201"/>
      <c r="Y432" s="201"/>
      <c r="Z432" s="201"/>
    </row>
    <row r="433" ht="12.8" customHeight="1" spans="1:26">
      <c r="A433" s="200"/>
      <c r="B433" s="201"/>
      <c r="C433" s="201"/>
      <c r="D433" s="201"/>
      <c r="E433" s="201"/>
      <c r="F433" s="201"/>
      <c r="G433" s="201"/>
      <c r="H433" s="201"/>
      <c r="I433" s="201"/>
      <c r="J433" s="201"/>
      <c r="K433" s="201"/>
      <c r="L433" s="201"/>
      <c r="M433" s="201"/>
      <c r="N433" s="201"/>
      <c r="O433" s="201"/>
      <c r="P433" s="201"/>
      <c r="Q433" s="201"/>
      <c r="R433" s="201"/>
      <c r="S433" s="201"/>
      <c r="T433" s="201"/>
      <c r="U433" s="201"/>
      <c r="V433" s="201"/>
      <c r="W433" s="201"/>
      <c r="X433" s="201"/>
      <c r="Y433" s="201"/>
      <c r="Z433" s="201"/>
    </row>
    <row r="434" ht="12.8" customHeight="1" spans="1:26">
      <c r="A434" s="200"/>
      <c r="B434" s="201"/>
      <c r="C434" s="201"/>
      <c r="D434" s="201"/>
      <c r="E434" s="201"/>
      <c r="F434" s="201"/>
      <c r="G434" s="201"/>
      <c r="H434" s="201"/>
      <c r="I434" s="201"/>
      <c r="J434" s="201"/>
      <c r="K434" s="201"/>
      <c r="L434" s="201"/>
      <c r="M434" s="201"/>
      <c r="N434" s="201"/>
      <c r="O434" s="201"/>
      <c r="P434" s="201"/>
      <c r="Q434" s="201"/>
      <c r="R434" s="201"/>
      <c r="S434" s="201"/>
      <c r="T434" s="201"/>
      <c r="U434" s="201"/>
      <c r="V434" s="201"/>
      <c r="W434" s="201"/>
      <c r="X434" s="201"/>
      <c r="Y434" s="201"/>
      <c r="Z434" s="201"/>
    </row>
    <row r="435" ht="12.8" customHeight="1" spans="1:26">
      <c r="A435" s="200"/>
      <c r="B435" s="201"/>
      <c r="C435" s="201"/>
      <c r="D435" s="201"/>
      <c r="E435" s="201"/>
      <c r="F435" s="201"/>
      <c r="G435" s="201"/>
      <c r="H435" s="201"/>
      <c r="I435" s="201"/>
      <c r="J435" s="201"/>
      <c r="K435" s="201"/>
      <c r="L435" s="201"/>
      <c r="M435" s="201"/>
      <c r="N435" s="201"/>
      <c r="O435" s="201"/>
      <c r="P435" s="201"/>
      <c r="Q435" s="201"/>
      <c r="R435" s="201"/>
      <c r="S435" s="201"/>
      <c r="T435" s="201"/>
      <c r="U435" s="201"/>
      <c r="V435" s="201"/>
      <c r="W435" s="201"/>
      <c r="X435" s="201"/>
      <c r="Y435" s="201"/>
      <c r="Z435" s="201"/>
    </row>
    <row r="436" ht="12.8" customHeight="1" spans="1:26">
      <c r="A436" s="200"/>
      <c r="B436" s="201"/>
      <c r="C436" s="201"/>
      <c r="D436" s="201"/>
      <c r="E436" s="201"/>
      <c r="F436" s="201"/>
      <c r="G436" s="201"/>
      <c r="H436" s="201"/>
      <c r="I436" s="201"/>
      <c r="J436" s="201"/>
      <c r="K436" s="201"/>
      <c r="L436" s="201"/>
      <c r="M436" s="201"/>
      <c r="N436" s="201"/>
      <c r="O436" s="201"/>
      <c r="P436" s="201"/>
      <c r="Q436" s="201"/>
      <c r="R436" s="201"/>
      <c r="S436" s="201"/>
      <c r="T436" s="201"/>
      <c r="U436" s="201"/>
      <c r="V436" s="201"/>
      <c r="W436" s="201"/>
      <c r="X436" s="201"/>
      <c r="Y436" s="201"/>
      <c r="Z436" s="201"/>
    </row>
    <row r="437" ht="12.8" customHeight="1" spans="1:26">
      <c r="A437" s="200"/>
      <c r="B437" s="201"/>
      <c r="C437" s="201"/>
      <c r="D437" s="201"/>
      <c r="E437" s="201"/>
      <c r="F437" s="201"/>
      <c r="G437" s="201"/>
      <c r="H437" s="201"/>
      <c r="I437" s="201"/>
      <c r="J437" s="201"/>
      <c r="K437" s="201"/>
      <c r="L437" s="201"/>
      <c r="M437" s="201"/>
      <c r="N437" s="201"/>
      <c r="O437" s="201"/>
      <c r="P437" s="201"/>
      <c r="Q437" s="201"/>
      <c r="R437" s="201"/>
      <c r="S437" s="201"/>
      <c r="T437" s="201"/>
      <c r="U437" s="201"/>
      <c r="V437" s="201"/>
      <c r="W437" s="201"/>
      <c r="X437" s="201"/>
      <c r="Y437" s="201"/>
      <c r="Z437" s="201"/>
    </row>
    <row r="438" ht="12.8" customHeight="1" spans="1:26">
      <c r="A438" s="200"/>
      <c r="B438" s="201"/>
      <c r="C438" s="201"/>
      <c r="D438" s="201"/>
      <c r="E438" s="201"/>
      <c r="F438" s="201"/>
      <c r="G438" s="201"/>
      <c r="H438" s="201"/>
      <c r="I438" s="201"/>
      <c r="J438" s="201"/>
      <c r="K438" s="201"/>
      <c r="L438" s="201"/>
      <c r="M438" s="201"/>
      <c r="N438" s="201"/>
      <c r="O438" s="201"/>
      <c r="P438" s="201"/>
      <c r="Q438" s="201"/>
      <c r="R438" s="201"/>
      <c r="S438" s="201"/>
      <c r="T438" s="201"/>
      <c r="U438" s="201"/>
      <c r="V438" s="201"/>
      <c r="W438" s="201"/>
      <c r="X438" s="201"/>
      <c r="Y438" s="201"/>
      <c r="Z438" s="201"/>
    </row>
    <row r="439" ht="12.8" customHeight="1" spans="1:26">
      <c r="A439" s="200"/>
      <c r="B439" s="201"/>
      <c r="C439" s="201"/>
      <c r="D439" s="201"/>
      <c r="E439" s="201"/>
      <c r="F439" s="201"/>
      <c r="G439" s="201"/>
      <c r="H439" s="201"/>
      <c r="I439" s="201"/>
      <c r="J439" s="201"/>
      <c r="K439" s="201"/>
      <c r="L439" s="201"/>
      <c r="M439" s="201"/>
      <c r="N439" s="201"/>
      <c r="O439" s="201"/>
      <c r="P439" s="201"/>
      <c r="Q439" s="201"/>
      <c r="R439" s="201"/>
      <c r="S439" s="201"/>
      <c r="T439" s="201"/>
      <c r="U439" s="201"/>
      <c r="V439" s="201"/>
      <c r="W439" s="201"/>
      <c r="X439" s="201"/>
      <c r="Y439" s="201"/>
      <c r="Z439" s="201"/>
    </row>
    <row r="440" ht="12.8" customHeight="1" spans="1:26">
      <c r="A440" s="200"/>
      <c r="B440" s="201"/>
      <c r="C440" s="201"/>
      <c r="D440" s="201"/>
      <c r="E440" s="201"/>
      <c r="F440" s="201"/>
      <c r="G440" s="201"/>
      <c r="H440" s="201"/>
      <c r="I440" s="201"/>
      <c r="J440" s="201"/>
      <c r="K440" s="201"/>
      <c r="L440" s="201"/>
      <c r="M440" s="201"/>
      <c r="N440" s="201"/>
      <c r="O440" s="201"/>
      <c r="P440" s="201"/>
      <c r="Q440" s="201"/>
      <c r="R440" s="201"/>
      <c r="S440" s="201"/>
      <c r="T440" s="201"/>
      <c r="U440" s="201"/>
      <c r="V440" s="201"/>
      <c r="W440" s="201"/>
      <c r="X440" s="201"/>
      <c r="Y440" s="201"/>
      <c r="Z440" s="201"/>
    </row>
    <row r="441" ht="12.8" customHeight="1" spans="1:26">
      <c r="A441" s="200"/>
      <c r="B441" s="201"/>
      <c r="C441" s="201"/>
      <c r="D441" s="201"/>
      <c r="E441" s="201"/>
      <c r="F441" s="201"/>
      <c r="G441" s="201"/>
      <c r="H441" s="201"/>
      <c r="I441" s="201"/>
      <c r="J441" s="201"/>
      <c r="K441" s="201"/>
      <c r="L441" s="201"/>
      <c r="M441" s="201"/>
      <c r="N441" s="201"/>
      <c r="O441" s="201"/>
      <c r="P441" s="201"/>
      <c r="Q441" s="201"/>
      <c r="R441" s="201"/>
      <c r="S441" s="201"/>
      <c r="T441" s="201"/>
      <c r="U441" s="201"/>
      <c r="V441" s="201"/>
      <c r="W441" s="201"/>
      <c r="X441" s="201"/>
      <c r="Y441" s="201"/>
      <c r="Z441" s="201"/>
    </row>
    <row r="442" ht="12.8" customHeight="1" spans="1:26">
      <c r="A442" s="200"/>
      <c r="B442" s="201"/>
      <c r="C442" s="201"/>
      <c r="D442" s="201"/>
      <c r="E442" s="201"/>
      <c r="F442" s="201"/>
      <c r="G442" s="201"/>
      <c r="H442" s="201"/>
      <c r="I442" s="201"/>
      <c r="J442" s="201"/>
      <c r="K442" s="201"/>
      <c r="L442" s="201"/>
      <c r="M442" s="201"/>
      <c r="N442" s="201"/>
      <c r="O442" s="201"/>
      <c r="P442" s="201"/>
      <c r="Q442" s="201"/>
      <c r="R442" s="201"/>
      <c r="S442" s="201"/>
      <c r="T442" s="201"/>
      <c r="U442" s="201"/>
      <c r="V442" s="201"/>
      <c r="W442" s="201"/>
      <c r="X442" s="201"/>
      <c r="Y442" s="201"/>
      <c r="Z442" s="201"/>
    </row>
    <row r="443" ht="12.8" customHeight="1" spans="1:26">
      <c r="A443" s="200"/>
      <c r="B443" s="201"/>
      <c r="C443" s="201"/>
      <c r="D443" s="201"/>
      <c r="E443" s="201"/>
      <c r="F443" s="201"/>
      <c r="G443" s="201"/>
      <c r="H443" s="201"/>
      <c r="I443" s="201"/>
      <c r="J443" s="201"/>
      <c r="K443" s="201"/>
      <c r="L443" s="201"/>
      <c r="M443" s="201"/>
      <c r="N443" s="201"/>
      <c r="O443" s="201"/>
      <c r="P443" s="201"/>
      <c r="Q443" s="201"/>
      <c r="R443" s="201"/>
      <c r="S443" s="201"/>
      <c r="T443" s="201"/>
      <c r="U443" s="201"/>
      <c r="V443" s="201"/>
      <c r="W443" s="201"/>
      <c r="X443" s="201"/>
      <c r="Y443" s="201"/>
      <c r="Z443" s="201"/>
    </row>
    <row r="444" ht="12.8" customHeight="1" spans="1:26">
      <c r="A444" s="200"/>
      <c r="B444" s="201"/>
      <c r="C444" s="201"/>
      <c r="D444" s="201"/>
      <c r="E444" s="201"/>
      <c r="F444" s="201"/>
      <c r="G444" s="201"/>
      <c r="H444" s="201"/>
      <c r="I444" s="201"/>
      <c r="J444" s="201"/>
      <c r="K444" s="201"/>
      <c r="L444" s="201"/>
      <c r="M444" s="201"/>
      <c r="N444" s="201"/>
      <c r="O444" s="201"/>
      <c r="P444" s="201"/>
      <c r="Q444" s="201"/>
      <c r="R444" s="201"/>
      <c r="S444" s="201"/>
      <c r="T444" s="201"/>
      <c r="U444" s="201"/>
      <c r="V444" s="201"/>
      <c r="W444" s="201"/>
      <c r="X444" s="201"/>
      <c r="Y444" s="201"/>
      <c r="Z444" s="201"/>
    </row>
    <row r="445" ht="12.8" customHeight="1" spans="1:26">
      <c r="A445" s="200"/>
      <c r="B445" s="201"/>
      <c r="C445" s="201"/>
      <c r="D445" s="201"/>
      <c r="E445" s="201"/>
      <c r="F445" s="201"/>
      <c r="G445" s="201"/>
      <c r="H445" s="201"/>
      <c r="I445" s="201"/>
      <c r="J445" s="201"/>
      <c r="K445" s="201"/>
      <c r="L445" s="201"/>
      <c r="M445" s="201"/>
      <c r="N445" s="201"/>
      <c r="O445" s="201"/>
      <c r="P445" s="201"/>
      <c r="Q445" s="201"/>
      <c r="R445" s="201"/>
      <c r="S445" s="201"/>
      <c r="T445" s="201"/>
      <c r="U445" s="201"/>
      <c r="V445" s="201"/>
      <c r="W445" s="201"/>
      <c r="X445" s="201"/>
      <c r="Y445" s="201"/>
      <c r="Z445" s="201"/>
    </row>
    <row r="446" ht="12.8" customHeight="1" spans="1:26">
      <c r="A446" s="200"/>
      <c r="B446" s="201"/>
      <c r="C446" s="201"/>
      <c r="D446" s="201"/>
      <c r="E446" s="201"/>
      <c r="F446" s="201"/>
      <c r="G446" s="201"/>
      <c r="H446" s="201"/>
      <c r="I446" s="201"/>
      <c r="J446" s="201"/>
      <c r="K446" s="201"/>
      <c r="L446" s="201"/>
      <c r="M446" s="201"/>
      <c r="N446" s="201"/>
      <c r="O446" s="201"/>
      <c r="P446" s="201"/>
      <c r="Q446" s="201"/>
      <c r="R446" s="201"/>
      <c r="S446" s="201"/>
      <c r="T446" s="201"/>
      <c r="U446" s="201"/>
      <c r="V446" s="201"/>
      <c r="W446" s="201"/>
      <c r="X446" s="201"/>
      <c r="Y446" s="201"/>
      <c r="Z446" s="201"/>
    </row>
    <row r="447" ht="12.8" customHeight="1" spans="1:26">
      <c r="A447" s="200"/>
      <c r="B447" s="201"/>
      <c r="C447" s="201"/>
      <c r="D447" s="201"/>
      <c r="E447" s="201"/>
      <c r="F447" s="201"/>
      <c r="G447" s="201"/>
      <c r="H447" s="201"/>
      <c r="I447" s="201"/>
      <c r="J447" s="201"/>
      <c r="K447" s="201"/>
      <c r="L447" s="201"/>
      <c r="M447" s="201"/>
      <c r="N447" s="201"/>
      <c r="O447" s="201"/>
      <c r="P447" s="201"/>
      <c r="Q447" s="201"/>
      <c r="R447" s="201"/>
      <c r="S447" s="201"/>
      <c r="T447" s="201"/>
      <c r="U447" s="201"/>
      <c r="V447" s="201"/>
      <c r="W447" s="201"/>
      <c r="X447" s="201"/>
      <c r="Y447" s="201"/>
      <c r="Z447" s="201"/>
    </row>
    <row r="448" ht="12.8" customHeight="1" spans="1:26">
      <c r="A448" s="200"/>
      <c r="B448" s="201"/>
      <c r="C448" s="201"/>
      <c r="D448" s="201"/>
      <c r="E448" s="201"/>
      <c r="F448" s="201"/>
      <c r="G448" s="201"/>
      <c r="H448" s="201"/>
      <c r="I448" s="201"/>
      <c r="J448" s="201"/>
      <c r="K448" s="201"/>
      <c r="L448" s="201"/>
      <c r="M448" s="201"/>
      <c r="N448" s="201"/>
      <c r="O448" s="201"/>
      <c r="P448" s="201"/>
      <c r="Q448" s="201"/>
      <c r="R448" s="201"/>
      <c r="S448" s="201"/>
      <c r="T448" s="201"/>
      <c r="U448" s="201"/>
      <c r="V448" s="201"/>
      <c r="W448" s="201"/>
      <c r="X448" s="201"/>
      <c r="Y448" s="201"/>
      <c r="Z448" s="201"/>
    </row>
    <row r="449" ht="12.8" customHeight="1" spans="1:26">
      <c r="A449" s="200"/>
      <c r="B449" s="201"/>
      <c r="C449" s="201"/>
      <c r="D449" s="201"/>
      <c r="E449" s="201"/>
      <c r="F449" s="201"/>
      <c r="G449" s="201"/>
      <c r="H449" s="201"/>
      <c r="I449" s="201"/>
      <c r="J449" s="201"/>
      <c r="K449" s="201"/>
      <c r="L449" s="201"/>
      <c r="M449" s="201"/>
      <c r="N449" s="201"/>
      <c r="O449" s="201"/>
      <c r="P449" s="201"/>
      <c r="Q449" s="201"/>
      <c r="R449" s="201"/>
      <c r="S449" s="201"/>
      <c r="T449" s="201"/>
      <c r="U449" s="201"/>
      <c r="V449" s="201"/>
      <c r="W449" s="201"/>
      <c r="X449" s="201"/>
      <c r="Y449" s="201"/>
      <c r="Z449" s="201"/>
    </row>
    <row r="450" ht="12.8" customHeight="1" spans="1:26">
      <c r="A450" s="200"/>
      <c r="B450" s="201"/>
      <c r="C450" s="201"/>
      <c r="D450" s="201"/>
      <c r="E450" s="201"/>
      <c r="F450" s="201"/>
      <c r="G450" s="201"/>
      <c r="H450" s="201"/>
      <c r="I450" s="201"/>
      <c r="J450" s="201"/>
      <c r="K450" s="201"/>
      <c r="L450" s="201"/>
      <c r="M450" s="201"/>
      <c r="N450" s="201"/>
      <c r="O450" s="201"/>
      <c r="P450" s="201"/>
      <c r="Q450" s="201"/>
      <c r="R450" s="201"/>
      <c r="S450" s="201"/>
      <c r="T450" s="201"/>
      <c r="U450" s="201"/>
      <c r="V450" s="201"/>
      <c r="W450" s="201"/>
      <c r="X450" s="201"/>
      <c r="Y450" s="201"/>
      <c r="Z450" s="201"/>
    </row>
    <row r="451" ht="12.8" customHeight="1" spans="1:26">
      <c r="A451" s="200"/>
      <c r="B451" s="201"/>
      <c r="C451" s="201"/>
      <c r="D451" s="201"/>
      <c r="E451" s="201"/>
      <c r="F451" s="201"/>
      <c r="G451" s="201"/>
      <c r="H451" s="201"/>
      <c r="I451" s="201"/>
      <c r="J451" s="201"/>
      <c r="K451" s="201"/>
      <c r="L451" s="201"/>
      <c r="M451" s="201"/>
      <c r="N451" s="201"/>
      <c r="O451" s="201"/>
      <c r="P451" s="201"/>
      <c r="Q451" s="201"/>
      <c r="R451" s="201"/>
      <c r="S451" s="201"/>
      <c r="T451" s="201"/>
      <c r="U451" s="201"/>
      <c r="V451" s="201"/>
      <c r="W451" s="201"/>
      <c r="X451" s="201"/>
      <c r="Y451" s="201"/>
      <c r="Z451" s="201"/>
    </row>
    <row r="452" ht="12.8" customHeight="1" spans="1:26">
      <c r="A452" s="200"/>
      <c r="B452" s="201"/>
      <c r="C452" s="201"/>
      <c r="D452" s="201"/>
      <c r="E452" s="201"/>
      <c r="F452" s="201"/>
      <c r="G452" s="201"/>
      <c r="H452" s="201"/>
      <c r="I452" s="201"/>
      <c r="J452" s="201"/>
      <c r="K452" s="201"/>
      <c r="L452" s="201"/>
      <c r="M452" s="201"/>
      <c r="N452" s="201"/>
      <c r="O452" s="201"/>
      <c r="P452" s="201"/>
      <c r="Q452" s="201"/>
      <c r="R452" s="201"/>
      <c r="S452" s="201"/>
      <c r="T452" s="201"/>
      <c r="U452" s="201"/>
      <c r="V452" s="201"/>
      <c r="W452" s="201"/>
      <c r="X452" s="201"/>
      <c r="Y452" s="201"/>
      <c r="Z452" s="201"/>
    </row>
    <row r="453" ht="12.8" customHeight="1" spans="1:26">
      <c r="A453" s="200"/>
      <c r="B453" s="201"/>
      <c r="C453" s="201"/>
      <c r="D453" s="201"/>
      <c r="E453" s="201"/>
      <c r="F453" s="201"/>
      <c r="G453" s="201"/>
      <c r="H453" s="201"/>
      <c r="I453" s="201"/>
      <c r="J453" s="201"/>
      <c r="K453" s="201"/>
      <c r="L453" s="201"/>
      <c r="M453" s="201"/>
      <c r="N453" s="201"/>
      <c r="O453" s="201"/>
      <c r="P453" s="201"/>
      <c r="Q453" s="201"/>
      <c r="R453" s="201"/>
      <c r="S453" s="201"/>
      <c r="T453" s="201"/>
      <c r="U453" s="201"/>
      <c r="V453" s="201"/>
      <c r="W453" s="201"/>
      <c r="X453" s="201"/>
      <c r="Y453" s="201"/>
      <c r="Z453" s="201"/>
    </row>
    <row r="454" ht="12.8" customHeight="1" spans="1:26">
      <c r="A454" s="200"/>
      <c r="B454" s="201"/>
      <c r="C454" s="201"/>
      <c r="D454" s="201"/>
      <c r="E454" s="201"/>
      <c r="F454" s="201"/>
      <c r="G454" s="201"/>
      <c r="H454" s="201"/>
      <c r="I454" s="201"/>
      <c r="J454" s="201"/>
      <c r="K454" s="201"/>
      <c r="L454" s="201"/>
      <c r="M454" s="201"/>
      <c r="N454" s="201"/>
      <c r="O454" s="201"/>
      <c r="P454" s="201"/>
      <c r="Q454" s="201"/>
      <c r="R454" s="201"/>
      <c r="S454" s="201"/>
      <c r="T454" s="201"/>
      <c r="U454" s="201"/>
      <c r="V454" s="201"/>
      <c r="W454" s="201"/>
      <c r="X454" s="201"/>
      <c r="Y454" s="201"/>
      <c r="Z454" s="201"/>
    </row>
    <row r="455" ht="12.8" customHeight="1" spans="1:26">
      <c r="A455" s="200"/>
      <c r="B455" s="201"/>
      <c r="C455" s="201"/>
      <c r="D455" s="201"/>
      <c r="E455" s="201"/>
      <c r="F455" s="201"/>
      <c r="G455" s="201"/>
      <c r="H455" s="201"/>
      <c r="I455" s="201"/>
      <c r="J455" s="201"/>
      <c r="K455" s="201"/>
      <c r="L455" s="201"/>
      <c r="M455" s="201"/>
      <c r="N455" s="201"/>
      <c r="O455" s="201"/>
      <c r="P455" s="201"/>
      <c r="Q455" s="201"/>
      <c r="R455" s="201"/>
      <c r="S455" s="201"/>
      <c r="T455" s="201"/>
      <c r="U455" s="201"/>
      <c r="V455" s="201"/>
      <c r="W455" s="201"/>
      <c r="X455" s="201"/>
      <c r="Y455" s="201"/>
      <c r="Z455" s="201"/>
    </row>
    <row r="456" ht="12.8" customHeight="1" spans="1:26">
      <c r="A456" s="200"/>
      <c r="B456" s="201"/>
      <c r="C456" s="201"/>
      <c r="D456" s="201"/>
      <c r="E456" s="201"/>
      <c r="F456" s="201"/>
      <c r="G456" s="201"/>
      <c r="H456" s="201"/>
      <c r="I456" s="201"/>
      <c r="J456" s="201"/>
      <c r="K456" s="201"/>
      <c r="L456" s="201"/>
      <c r="M456" s="201"/>
      <c r="N456" s="201"/>
      <c r="O456" s="201"/>
      <c r="P456" s="201"/>
      <c r="Q456" s="201"/>
      <c r="R456" s="201"/>
      <c r="S456" s="201"/>
      <c r="T456" s="201"/>
      <c r="U456" s="201"/>
      <c r="V456" s="201"/>
      <c r="W456" s="201"/>
      <c r="X456" s="201"/>
      <c r="Y456" s="201"/>
      <c r="Z456" s="201"/>
    </row>
    <row r="457" ht="12.8" customHeight="1" spans="1:26">
      <c r="A457" s="200"/>
      <c r="B457" s="201"/>
      <c r="C457" s="201"/>
      <c r="D457" s="201"/>
      <c r="E457" s="201"/>
      <c r="F457" s="201"/>
      <c r="G457" s="201"/>
      <c r="H457" s="201"/>
      <c r="I457" s="201"/>
      <c r="J457" s="201"/>
      <c r="K457" s="201"/>
      <c r="L457" s="201"/>
      <c r="M457" s="201"/>
      <c r="N457" s="201"/>
      <c r="O457" s="201"/>
      <c r="P457" s="201"/>
      <c r="Q457" s="201"/>
      <c r="R457" s="201"/>
      <c r="S457" s="201"/>
      <c r="T457" s="201"/>
      <c r="U457" s="201"/>
      <c r="V457" s="201"/>
      <c r="W457" s="201"/>
      <c r="X457" s="201"/>
      <c r="Y457" s="201"/>
      <c r="Z457" s="201"/>
    </row>
    <row r="458" ht="12.8" customHeight="1" spans="1:26">
      <c r="A458" s="200"/>
      <c r="B458" s="201"/>
      <c r="C458" s="201"/>
      <c r="D458" s="201"/>
      <c r="E458" s="201"/>
      <c r="F458" s="201"/>
      <c r="G458" s="201"/>
      <c r="H458" s="201"/>
      <c r="I458" s="201"/>
      <c r="J458" s="201"/>
      <c r="K458" s="201"/>
      <c r="L458" s="201"/>
      <c r="M458" s="201"/>
      <c r="N458" s="201"/>
      <c r="O458" s="201"/>
      <c r="P458" s="201"/>
      <c r="Q458" s="201"/>
      <c r="R458" s="201"/>
      <c r="S458" s="201"/>
      <c r="T458" s="201"/>
      <c r="U458" s="201"/>
      <c r="V458" s="201"/>
      <c r="W458" s="201"/>
      <c r="X458" s="201"/>
      <c r="Y458" s="201"/>
      <c r="Z458" s="201"/>
    </row>
    <row r="459" ht="12.8" customHeight="1" spans="1:26">
      <c r="A459" s="200"/>
      <c r="B459" s="201"/>
      <c r="C459" s="201"/>
      <c r="D459" s="201"/>
      <c r="E459" s="201"/>
      <c r="F459" s="201"/>
      <c r="G459" s="201"/>
      <c r="H459" s="201"/>
      <c r="I459" s="201"/>
      <c r="J459" s="201"/>
      <c r="K459" s="201"/>
      <c r="L459" s="201"/>
      <c r="M459" s="201"/>
      <c r="N459" s="201"/>
      <c r="O459" s="201"/>
      <c r="P459" s="201"/>
      <c r="Q459" s="201"/>
      <c r="R459" s="201"/>
      <c r="S459" s="201"/>
      <c r="T459" s="201"/>
      <c r="U459" s="201"/>
      <c r="V459" s="201"/>
      <c r="W459" s="201"/>
      <c r="X459" s="201"/>
      <c r="Y459" s="201"/>
      <c r="Z459" s="201"/>
    </row>
    <row r="460" ht="12.8" customHeight="1" spans="1:26">
      <c r="A460" s="200"/>
      <c r="B460" s="201"/>
      <c r="C460" s="201"/>
      <c r="D460" s="201"/>
      <c r="E460" s="201"/>
      <c r="F460" s="201"/>
      <c r="G460" s="201"/>
      <c r="H460" s="201"/>
      <c r="I460" s="201"/>
      <c r="J460" s="201"/>
      <c r="K460" s="201"/>
      <c r="L460" s="201"/>
      <c r="M460" s="201"/>
      <c r="N460" s="201"/>
      <c r="O460" s="201"/>
      <c r="P460" s="201"/>
      <c r="Q460" s="201"/>
      <c r="R460" s="201"/>
      <c r="S460" s="201"/>
      <c r="T460" s="201"/>
      <c r="U460" s="201"/>
      <c r="V460" s="201"/>
      <c r="W460" s="201"/>
      <c r="X460" s="201"/>
      <c r="Y460" s="201"/>
      <c r="Z460" s="201"/>
    </row>
    <row r="461" ht="12.8" customHeight="1" spans="1:26">
      <c r="A461" s="200"/>
      <c r="B461" s="201"/>
      <c r="C461" s="201"/>
      <c r="D461" s="201"/>
      <c r="E461" s="201"/>
      <c r="F461" s="201"/>
      <c r="G461" s="201"/>
      <c r="H461" s="201"/>
      <c r="I461" s="201"/>
      <c r="J461" s="201"/>
      <c r="K461" s="201"/>
      <c r="L461" s="201"/>
      <c r="M461" s="201"/>
      <c r="N461" s="201"/>
      <c r="O461" s="201"/>
      <c r="P461" s="201"/>
      <c r="Q461" s="201"/>
      <c r="R461" s="201"/>
      <c r="S461" s="201"/>
      <c r="T461" s="201"/>
      <c r="U461" s="201"/>
      <c r="V461" s="201"/>
      <c r="W461" s="201"/>
      <c r="X461" s="201"/>
      <c r="Y461" s="201"/>
      <c r="Z461" s="201"/>
    </row>
    <row r="462" ht="12.8" customHeight="1" spans="1:26">
      <c r="A462" s="200"/>
      <c r="B462" s="201"/>
      <c r="C462" s="201"/>
      <c r="D462" s="201"/>
      <c r="E462" s="201"/>
      <c r="F462" s="201"/>
      <c r="G462" s="201"/>
      <c r="H462" s="201"/>
      <c r="I462" s="201"/>
      <c r="J462" s="201"/>
      <c r="K462" s="201"/>
      <c r="L462" s="201"/>
      <c r="M462" s="201"/>
      <c r="N462" s="201"/>
      <c r="O462" s="201"/>
      <c r="P462" s="201"/>
      <c r="Q462" s="201"/>
      <c r="R462" s="201"/>
      <c r="S462" s="201"/>
      <c r="T462" s="201"/>
      <c r="U462" s="201"/>
      <c r="V462" s="201"/>
      <c r="W462" s="201"/>
      <c r="X462" s="201"/>
      <c r="Y462" s="201"/>
      <c r="Z462" s="201"/>
    </row>
    <row r="463" ht="12.8" customHeight="1" spans="1:26">
      <c r="A463" s="200"/>
      <c r="B463" s="201"/>
      <c r="C463" s="201"/>
      <c r="D463" s="201"/>
      <c r="E463" s="201"/>
      <c r="F463" s="201"/>
      <c r="G463" s="201"/>
      <c r="H463" s="201"/>
      <c r="I463" s="201"/>
      <c r="J463" s="201"/>
      <c r="K463" s="201"/>
      <c r="L463" s="201"/>
      <c r="M463" s="201"/>
      <c r="N463" s="201"/>
      <c r="O463" s="201"/>
      <c r="P463" s="201"/>
      <c r="Q463" s="201"/>
      <c r="R463" s="201"/>
      <c r="S463" s="201"/>
      <c r="T463" s="201"/>
      <c r="U463" s="201"/>
      <c r="V463" s="201"/>
      <c r="W463" s="201"/>
      <c r="X463" s="201"/>
      <c r="Y463" s="201"/>
      <c r="Z463" s="201"/>
    </row>
    <row r="464" ht="12.8" customHeight="1" spans="1:26">
      <c r="A464" s="200"/>
      <c r="B464" s="201"/>
      <c r="C464" s="201"/>
      <c r="D464" s="201"/>
      <c r="E464" s="201"/>
      <c r="F464" s="201"/>
      <c r="G464" s="201"/>
      <c r="H464" s="201"/>
      <c r="I464" s="201"/>
      <c r="J464" s="201"/>
      <c r="K464" s="201"/>
      <c r="L464" s="201"/>
      <c r="M464" s="201"/>
      <c r="N464" s="201"/>
      <c r="O464" s="201"/>
      <c r="P464" s="201"/>
      <c r="Q464" s="201"/>
      <c r="R464" s="201"/>
      <c r="S464" s="201"/>
      <c r="T464" s="201"/>
      <c r="U464" s="201"/>
      <c r="V464" s="201"/>
      <c r="W464" s="201"/>
      <c r="X464" s="201"/>
      <c r="Y464" s="201"/>
      <c r="Z464" s="201"/>
    </row>
    <row r="465" ht="12.8" customHeight="1" spans="1:26">
      <c r="A465" s="200"/>
      <c r="B465" s="201"/>
      <c r="C465" s="201"/>
      <c r="D465" s="201"/>
      <c r="E465" s="201"/>
      <c r="F465" s="201"/>
      <c r="G465" s="201"/>
      <c r="H465" s="201"/>
      <c r="I465" s="201"/>
      <c r="J465" s="201"/>
      <c r="K465" s="201"/>
      <c r="L465" s="201"/>
      <c r="M465" s="201"/>
      <c r="N465" s="201"/>
      <c r="O465" s="201"/>
      <c r="P465" s="201"/>
      <c r="Q465" s="201"/>
      <c r="R465" s="201"/>
      <c r="S465" s="201"/>
      <c r="T465" s="201"/>
      <c r="U465" s="201"/>
      <c r="V465" s="201"/>
      <c r="W465" s="201"/>
      <c r="X465" s="201"/>
      <c r="Y465" s="201"/>
      <c r="Z465" s="201"/>
    </row>
    <row r="466" ht="12.8" customHeight="1" spans="1:26">
      <c r="A466" s="200"/>
      <c r="B466" s="201"/>
      <c r="C466" s="201"/>
      <c r="D466" s="201"/>
      <c r="E466" s="201"/>
      <c r="F466" s="201"/>
      <c r="G466" s="201"/>
      <c r="H466" s="201"/>
      <c r="I466" s="201"/>
      <c r="J466" s="201"/>
      <c r="K466" s="201"/>
      <c r="L466" s="201"/>
      <c r="M466" s="201"/>
      <c r="N466" s="201"/>
      <c r="O466" s="201"/>
      <c r="P466" s="201"/>
      <c r="Q466" s="201"/>
      <c r="R466" s="201"/>
      <c r="S466" s="201"/>
      <c r="T466" s="201"/>
      <c r="U466" s="201"/>
      <c r="V466" s="201"/>
      <c r="W466" s="201"/>
      <c r="X466" s="201"/>
      <c r="Y466" s="201"/>
      <c r="Z466" s="201"/>
    </row>
    <row r="467" ht="12.8" customHeight="1" spans="1:26">
      <c r="A467" s="200"/>
      <c r="B467" s="201"/>
      <c r="C467" s="201"/>
      <c r="D467" s="201"/>
      <c r="E467" s="201"/>
      <c r="F467" s="201"/>
      <c r="G467" s="201"/>
      <c r="H467" s="201"/>
      <c r="I467" s="201"/>
      <c r="J467" s="201"/>
      <c r="K467" s="201"/>
      <c r="L467" s="201"/>
      <c r="M467" s="201"/>
      <c r="N467" s="201"/>
      <c r="O467" s="201"/>
      <c r="P467" s="201"/>
      <c r="Q467" s="201"/>
      <c r="R467" s="201"/>
      <c r="S467" s="201"/>
      <c r="T467" s="201"/>
      <c r="U467" s="201"/>
      <c r="V467" s="201"/>
      <c r="W467" s="201"/>
      <c r="X467" s="201"/>
      <c r="Y467" s="201"/>
      <c r="Z467" s="201"/>
    </row>
    <row r="468" ht="12.8" customHeight="1" spans="1:26">
      <c r="A468" s="200"/>
      <c r="B468" s="201"/>
      <c r="C468" s="201"/>
      <c r="D468" s="201"/>
      <c r="E468" s="201"/>
      <c r="F468" s="201"/>
      <c r="G468" s="201"/>
      <c r="H468" s="201"/>
      <c r="I468" s="201"/>
      <c r="J468" s="201"/>
      <c r="K468" s="201"/>
      <c r="L468" s="201"/>
      <c r="M468" s="201"/>
      <c r="N468" s="201"/>
      <c r="O468" s="201"/>
      <c r="P468" s="201"/>
      <c r="Q468" s="201"/>
      <c r="R468" s="201"/>
      <c r="S468" s="201"/>
      <c r="T468" s="201"/>
      <c r="U468" s="201"/>
      <c r="V468" s="201"/>
      <c r="W468" s="201"/>
      <c r="X468" s="201"/>
      <c r="Y468" s="201"/>
      <c r="Z468" s="201"/>
    </row>
    <row r="469" ht="12.8" customHeight="1" spans="1:26">
      <c r="A469" s="200"/>
      <c r="B469" s="201"/>
      <c r="C469" s="201"/>
      <c r="D469" s="201"/>
      <c r="E469" s="201"/>
      <c r="F469" s="201"/>
      <c r="G469" s="201"/>
      <c r="H469" s="201"/>
      <c r="I469" s="201"/>
      <c r="J469" s="201"/>
      <c r="K469" s="201"/>
      <c r="L469" s="201"/>
      <c r="M469" s="201"/>
      <c r="N469" s="201"/>
      <c r="O469" s="201"/>
      <c r="P469" s="201"/>
      <c r="Q469" s="201"/>
      <c r="R469" s="201"/>
      <c r="S469" s="201"/>
      <c r="T469" s="201"/>
      <c r="U469" s="201"/>
      <c r="V469" s="201"/>
      <c r="W469" s="201"/>
      <c r="X469" s="201"/>
      <c r="Y469" s="201"/>
      <c r="Z469" s="201"/>
    </row>
    <row r="470" ht="12.8" customHeight="1" spans="1:26">
      <c r="A470" s="200"/>
      <c r="B470" s="201"/>
      <c r="C470" s="201"/>
      <c r="D470" s="201"/>
      <c r="E470" s="201"/>
      <c r="F470" s="201"/>
      <c r="G470" s="201"/>
      <c r="H470" s="201"/>
      <c r="I470" s="201"/>
      <c r="J470" s="201"/>
      <c r="K470" s="201"/>
      <c r="L470" s="201"/>
      <c r="M470" s="201"/>
      <c r="N470" s="201"/>
      <c r="O470" s="201"/>
      <c r="P470" s="201"/>
      <c r="Q470" s="201"/>
      <c r="R470" s="201"/>
      <c r="S470" s="201"/>
      <c r="T470" s="201"/>
      <c r="U470" s="201"/>
      <c r="V470" s="201"/>
      <c r="W470" s="201"/>
      <c r="X470" s="201"/>
      <c r="Y470" s="201"/>
      <c r="Z470" s="201"/>
    </row>
    <row r="471" ht="12.8" customHeight="1" spans="1:26">
      <c r="A471" s="200"/>
      <c r="B471" s="201"/>
      <c r="C471" s="201"/>
      <c r="D471" s="201"/>
      <c r="E471" s="201"/>
      <c r="F471" s="201"/>
      <c r="G471" s="201"/>
      <c r="H471" s="201"/>
      <c r="I471" s="201"/>
      <c r="J471" s="201"/>
      <c r="K471" s="201"/>
      <c r="L471" s="201"/>
      <c r="M471" s="201"/>
      <c r="N471" s="201"/>
      <c r="O471" s="201"/>
      <c r="P471" s="201"/>
      <c r="Q471" s="201"/>
      <c r="R471" s="201"/>
      <c r="S471" s="201"/>
      <c r="T471" s="201"/>
      <c r="U471" s="201"/>
      <c r="V471" s="201"/>
      <c r="W471" s="201"/>
      <c r="X471" s="201"/>
      <c r="Y471" s="201"/>
      <c r="Z471" s="201"/>
    </row>
    <row r="472" ht="12.8" customHeight="1" spans="1:26">
      <c r="A472" s="200"/>
      <c r="B472" s="201"/>
      <c r="C472" s="201"/>
      <c r="D472" s="201"/>
      <c r="E472" s="201"/>
      <c r="F472" s="201"/>
      <c r="G472" s="201"/>
      <c r="H472" s="201"/>
      <c r="I472" s="201"/>
      <c r="J472" s="201"/>
      <c r="K472" s="201"/>
      <c r="L472" s="201"/>
      <c r="M472" s="201"/>
      <c r="N472" s="201"/>
      <c r="O472" s="201"/>
      <c r="P472" s="201"/>
      <c r="Q472" s="201"/>
      <c r="R472" s="201"/>
      <c r="S472" s="201"/>
      <c r="T472" s="201"/>
      <c r="U472" s="201"/>
      <c r="V472" s="201"/>
      <c r="W472" s="201"/>
      <c r="X472" s="201"/>
      <c r="Y472" s="201"/>
      <c r="Z472" s="201"/>
    </row>
    <row r="473" ht="12.8" customHeight="1" spans="1:26">
      <c r="A473" s="200"/>
      <c r="B473" s="201"/>
      <c r="C473" s="201"/>
      <c r="D473" s="201"/>
      <c r="E473" s="201"/>
      <c r="F473" s="201"/>
      <c r="G473" s="201"/>
      <c r="H473" s="201"/>
      <c r="I473" s="201"/>
      <c r="J473" s="201"/>
      <c r="K473" s="201"/>
      <c r="L473" s="201"/>
      <c r="M473" s="201"/>
      <c r="N473" s="201"/>
      <c r="O473" s="201"/>
      <c r="P473" s="201"/>
      <c r="Q473" s="201"/>
      <c r="R473" s="201"/>
      <c r="S473" s="201"/>
      <c r="T473" s="201"/>
      <c r="U473" s="201"/>
      <c r="V473" s="201"/>
      <c r="W473" s="201"/>
      <c r="X473" s="201"/>
      <c r="Y473" s="201"/>
      <c r="Z473" s="201"/>
    </row>
    <row r="474" ht="12.8" customHeight="1" spans="1:26">
      <c r="A474" s="200"/>
      <c r="B474" s="201"/>
      <c r="C474" s="201"/>
      <c r="D474" s="201"/>
      <c r="E474" s="201"/>
      <c r="F474" s="201"/>
      <c r="G474" s="201"/>
      <c r="H474" s="201"/>
      <c r="I474" s="201"/>
      <c r="J474" s="201"/>
      <c r="K474" s="201"/>
      <c r="L474" s="201"/>
      <c r="M474" s="201"/>
      <c r="N474" s="201"/>
      <c r="O474" s="201"/>
      <c r="P474" s="201"/>
      <c r="Q474" s="201"/>
      <c r="R474" s="201"/>
      <c r="S474" s="201"/>
      <c r="T474" s="201"/>
      <c r="U474" s="201"/>
      <c r="V474" s="201"/>
      <c r="W474" s="201"/>
      <c r="X474" s="201"/>
      <c r="Y474" s="201"/>
      <c r="Z474" s="201"/>
    </row>
    <row r="475" ht="12.8" customHeight="1" spans="1:26">
      <c r="A475" s="200"/>
      <c r="B475" s="201"/>
      <c r="C475" s="201"/>
      <c r="D475" s="201"/>
      <c r="E475" s="201"/>
      <c r="F475" s="201"/>
      <c r="G475" s="201"/>
      <c r="H475" s="201"/>
      <c r="I475" s="201"/>
      <c r="J475" s="201"/>
      <c r="K475" s="201"/>
      <c r="L475" s="201"/>
      <c r="M475" s="201"/>
      <c r="N475" s="201"/>
      <c r="O475" s="201"/>
      <c r="P475" s="201"/>
      <c r="Q475" s="201"/>
      <c r="R475" s="201"/>
      <c r="S475" s="201"/>
      <c r="T475" s="201"/>
      <c r="U475" s="201"/>
      <c r="V475" s="201"/>
      <c r="W475" s="201"/>
      <c r="X475" s="201"/>
      <c r="Y475" s="201"/>
      <c r="Z475" s="201"/>
    </row>
    <row r="476" ht="12.8" customHeight="1" spans="1:26">
      <c r="A476" s="200"/>
      <c r="B476" s="201"/>
      <c r="C476" s="201"/>
      <c r="D476" s="201"/>
      <c r="E476" s="201"/>
      <c r="F476" s="201"/>
      <c r="G476" s="201"/>
      <c r="H476" s="201"/>
      <c r="I476" s="201"/>
      <c r="J476" s="201"/>
      <c r="K476" s="201"/>
      <c r="L476" s="201"/>
      <c r="M476" s="201"/>
      <c r="N476" s="201"/>
      <c r="O476" s="201"/>
      <c r="P476" s="201"/>
      <c r="Q476" s="201"/>
      <c r="R476" s="201"/>
      <c r="S476" s="201"/>
      <c r="T476" s="201"/>
      <c r="U476" s="201"/>
      <c r="V476" s="201"/>
      <c r="W476" s="201"/>
      <c r="X476" s="201"/>
      <c r="Y476" s="201"/>
      <c r="Z476" s="201"/>
    </row>
    <row r="477" ht="12.8" customHeight="1" spans="1:26">
      <c r="A477" s="200"/>
      <c r="B477" s="201"/>
      <c r="C477" s="201"/>
      <c r="D477" s="201"/>
      <c r="E477" s="201"/>
      <c r="F477" s="201"/>
      <c r="G477" s="201"/>
      <c r="H477" s="201"/>
      <c r="I477" s="201"/>
      <c r="J477" s="201"/>
      <c r="K477" s="201"/>
      <c r="L477" s="201"/>
      <c r="M477" s="201"/>
      <c r="N477" s="201"/>
      <c r="O477" s="201"/>
      <c r="P477" s="201"/>
      <c r="Q477" s="201"/>
      <c r="R477" s="201"/>
      <c r="S477" s="201"/>
      <c r="T477" s="201"/>
      <c r="U477" s="201"/>
      <c r="V477" s="201"/>
      <c r="W477" s="201"/>
      <c r="X477" s="201"/>
      <c r="Y477" s="201"/>
      <c r="Z477" s="201"/>
    </row>
    <row r="478" ht="12.8" customHeight="1" spans="1:26">
      <c r="A478" s="200"/>
      <c r="B478" s="201"/>
      <c r="C478" s="201"/>
      <c r="D478" s="201"/>
      <c r="E478" s="201"/>
      <c r="F478" s="201"/>
      <c r="G478" s="201"/>
      <c r="H478" s="201"/>
      <c r="I478" s="201"/>
      <c r="J478" s="201"/>
      <c r="K478" s="201"/>
      <c r="L478" s="201"/>
      <c r="M478" s="201"/>
      <c r="N478" s="201"/>
      <c r="O478" s="201"/>
      <c r="P478" s="201"/>
      <c r="Q478" s="201"/>
      <c r="R478" s="201"/>
      <c r="S478" s="201"/>
      <c r="T478" s="201"/>
      <c r="U478" s="201"/>
      <c r="V478" s="201"/>
      <c r="W478" s="201"/>
      <c r="X478" s="201"/>
      <c r="Y478" s="201"/>
      <c r="Z478" s="201"/>
    </row>
    <row r="479" ht="12.8" customHeight="1" spans="1:26">
      <c r="A479" s="200"/>
      <c r="B479" s="201"/>
      <c r="C479" s="201"/>
      <c r="D479" s="201"/>
      <c r="E479" s="201"/>
      <c r="F479" s="201"/>
      <c r="G479" s="201"/>
      <c r="H479" s="201"/>
      <c r="I479" s="201"/>
      <c r="J479" s="201"/>
      <c r="K479" s="201"/>
      <c r="L479" s="201"/>
      <c r="M479" s="201"/>
      <c r="N479" s="201"/>
      <c r="O479" s="201"/>
      <c r="P479" s="201"/>
      <c r="Q479" s="201"/>
      <c r="R479" s="201"/>
      <c r="S479" s="201"/>
      <c r="T479" s="201"/>
      <c r="U479" s="201"/>
      <c r="V479" s="201"/>
      <c r="W479" s="201"/>
      <c r="X479" s="201"/>
      <c r="Y479" s="201"/>
      <c r="Z479" s="201"/>
    </row>
    <row r="480" ht="12.8" customHeight="1" spans="1:26">
      <c r="A480" s="200"/>
      <c r="B480" s="201"/>
      <c r="C480" s="201"/>
      <c r="D480" s="201"/>
      <c r="E480" s="201"/>
      <c r="F480" s="201"/>
      <c r="G480" s="201"/>
      <c r="H480" s="201"/>
      <c r="I480" s="201"/>
      <c r="J480" s="201"/>
      <c r="K480" s="201"/>
      <c r="L480" s="201"/>
      <c r="M480" s="201"/>
      <c r="N480" s="201"/>
      <c r="O480" s="201"/>
      <c r="P480" s="201"/>
      <c r="Q480" s="201"/>
      <c r="R480" s="201"/>
      <c r="S480" s="201"/>
      <c r="T480" s="201"/>
      <c r="U480" s="201"/>
      <c r="V480" s="201"/>
      <c r="W480" s="201"/>
      <c r="X480" s="201"/>
      <c r="Y480" s="201"/>
      <c r="Z480" s="201"/>
    </row>
    <row r="481" ht="12.8" customHeight="1" spans="1:26">
      <c r="A481" s="200"/>
      <c r="B481" s="201"/>
      <c r="C481" s="201"/>
      <c r="D481" s="201"/>
      <c r="E481" s="201"/>
      <c r="F481" s="201"/>
      <c r="G481" s="201"/>
      <c r="H481" s="201"/>
      <c r="I481" s="201"/>
      <c r="J481" s="201"/>
      <c r="K481" s="201"/>
      <c r="L481" s="201"/>
      <c r="M481" s="201"/>
      <c r="N481" s="201"/>
      <c r="O481" s="201"/>
      <c r="P481" s="201"/>
      <c r="Q481" s="201"/>
      <c r="R481" s="201"/>
      <c r="S481" s="201"/>
      <c r="T481" s="201"/>
      <c r="U481" s="201"/>
      <c r="V481" s="201"/>
      <c r="W481" s="201"/>
      <c r="X481" s="201"/>
      <c r="Y481" s="201"/>
      <c r="Z481" s="201"/>
    </row>
    <row r="482" ht="12.8" customHeight="1" spans="1:26">
      <c r="A482" s="200"/>
      <c r="B482" s="201"/>
      <c r="C482" s="201"/>
      <c r="D482" s="201"/>
      <c r="E482" s="201"/>
      <c r="F482" s="201"/>
      <c r="G482" s="201"/>
      <c r="H482" s="201"/>
      <c r="I482" s="201"/>
      <c r="J482" s="201"/>
      <c r="K482" s="201"/>
      <c r="L482" s="201"/>
      <c r="M482" s="201"/>
      <c r="N482" s="201"/>
      <c r="O482" s="201"/>
      <c r="P482" s="201"/>
      <c r="Q482" s="201"/>
      <c r="R482" s="201"/>
      <c r="S482" s="201"/>
      <c r="T482" s="201"/>
      <c r="U482" s="201"/>
      <c r="V482" s="201"/>
      <c r="W482" s="201"/>
      <c r="X482" s="201"/>
      <c r="Y482" s="201"/>
      <c r="Z482" s="201"/>
    </row>
    <row r="483" ht="12.8" customHeight="1" spans="1:26">
      <c r="A483" s="200"/>
      <c r="B483" s="201"/>
      <c r="C483" s="201"/>
      <c r="D483" s="201"/>
      <c r="E483" s="201"/>
      <c r="F483" s="201"/>
      <c r="G483" s="201"/>
      <c r="H483" s="201"/>
      <c r="I483" s="201"/>
      <c r="J483" s="201"/>
      <c r="K483" s="201"/>
      <c r="L483" s="201"/>
      <c r="M483" s="201"/>
      <c r="N483" s="201"/>
      <c r="O483" s="201"/>
      <c r="P483" s="201"/>
      <c r="Q483" s="201"/>
      <c r="R483" s="201"/>
      <c r="S483" s="201"/>
      <c r="T483" s="201"/>
      <c r="U483" s="201"/>
      <c r="V483" s="201"/>
      <c r="W483" s="201"/>
      <c r="X483" s="201"/>
      <c r="Y483" s="201"/>
      <c r="Z483" s="201"/>
    </row>
    <row r="484" ht="12.8" customHeight="1" spans="1:26">
      <c r="A484" s="200"/>
      <c r="B484" s="201"/>
      <c r="C484" s="201"/>
      <c r="D484" s="201"/>
      <c r="E484" s="201"/>
      <c r="F484" s="201"/>
      <c r="G484" s="201"/>
      <c r="H484" s="201"/>
      <c r="I484" s="201"/>
      <c r="J484" s="201"/>
      <c r="K484" s="201"/>
      <c r="L484" s="201"/>
      <c r="M484" s="201"/>
      <c r="N484" s="201"/>
      <c r="O484" s="201"/>
      <c r="P484" s="201"/>
      <c r="Q484" s="201"/>
      <c r="R484" s="201"/>
      <c r="S484" s="201"/>
      <c r="T484" s="201"/>
      <c r="U484" s="201"/>
      <c r="V484" s="201"/>
      <c r="W484" s="201"/>
      <c r="X484" s="201"/>
      <c r="Y484" s="201"/>
      <c r="Z484" s="201"/>
    </row>
    <row r="485" ht="12.8" customHeight="1" spans="1:26">
      <c r="A485" s="200"/>
      <c r="B485" s="201"/>
      <c r="C485" s="201"/>
      <c r="D485" s="201"/>
      <c r="E485" s="201"/>
      <c r="F485" s="201"/>
      <c r="G485" s="201"/>
      <c r="H485" s="201"/>
      <c r="I485" s="201"/>
      <c r="J485" s="201"/>
      <c r="K485" s="201"/>
      <c r="L485" s="201"/>
      <c r="M485" s="201"/>
      <c r="N485" s="201"/>
      <c r="O485" s="201"/>
      <c r="P485" s="201"/>
      <c r="Q485" s="201"/>
      <c r="R485" s="201"/>
      <c r="S485" s="201"/>
      <c r="T485" s="201"/>
      <c r="U485" s="201"/>
      <c r="V485" s="201"/>
      <c r="W485" s="201"/>
      <c r="X485" s="201"/>
      <c r="Y485" s="201"/>
      <c r="Z485" s="201"/>
    </row>
    <row r="486" ht="12.8" customHeight="1" spans="1:26">
      <c r="A486" s="200"/>
      <c r="B486" s="201"/>
      <c r="C486" s="201"/>
      <c r="D486" s="201"/>
      <c r="E486" s="201"/>
      <c r="F486" s="201"/>
      <c r="G486" s="201"/>
      <c r="H486" s="201"/>
      <c r="I486" s="201"/>
      <c r="J486" s="201"/>
      <c r="K486" s="201"/>
      <c r="L486" s="201"/>
      <c r="M486" s="201"/>
      <c r="N486" s="201"/>
      <c r="O486" s="201"/>
      <c r="P486" s="201"/>
      <c r="Q486" s="201"/>
      <c r="R486" s="201"/>
      <c r="S486" s="201"/>
      <c r="T486" s="201"/>
      <c r="U486" s="201"/>
      <c r="V486" s="201"/>
      <c r="W486" s="201"/>
      <c r="X486" s="201"/>
      <c r="Y486" s="201"/>
      <c r="Z486" s="201"/>
    </row>
    <row r="487" ht="12.8" customHeight="1" spans="1:26">
      <c r="A487" s="200"/>
      <c r="B487" s="201"/>
      <c r="C487" s="201"/>
      <c r="D487" s="201"/>
      <c r="E487" s="201"/>
      <c r="F487" s="201"/>
      <c r="G487" s="201"/>
      <c r="H487" s="201"/>
      <c r="I487" s="201"/>
      <c r="J487" s="201"/>
      <c r="K487" s="201"/>
      <c r="L487" s="201"/>
      <c r="M487" s="201"/>
      <c r="N487" s="201"/>
      <c r="O487" s="201"/>
      <c r="P487" s="201"/>
      <c r="Q487" s="201"/>
      <c r="R487" s="201"/>
      <c r="S487" s="201"/>
      <c r="T487" s="201"/>
      <c r="U487" s="201"/>
      <c r="V487" s="201"/>
      <c r="W487" s="201"/>
      <c r="X487" s="201"/>
      <c r="Y487" s="201"/>
      <c r="Z487" s="201"/>
    </row>
    <row r="488" ht="12.8" customHeight="1" spans="1:26">
      <c r="A488" s="200"/>
      <c r="B488" s="201"/>
      <c r="C488" s="201"/>
      <c r="D488" s="201"/>
      <c r="E488" s="201"/>
      <c r="F488" s="201"/>
      <c r="G488" s="201"/>
      <c r="H488" s="201"/>
      <c r="I488" s="201"/>
      <c r="J488" s="201"/>
      <c r="K488" s="201"/>
      <c r="L488" s="201"/>
      <c r="M488" s="201"/>
      <c r="N488" s="201"/>
      <c r="O488" s="201"/>
      <c r="P488" s="201"/>
      <c r="Q488" s="201"/>
      <c r="R488" s="201"/>
      <c r="S488" s="201"/>
      <c r="T488" s="201"/>
      <c r="U488" s="201"/>
      <c r="V488" s="201"/>
      <c r="W488" s="201"/>
      <c r="X488" s="201"/>
      <c r="Y488" s="201"/>
      <c r="Z488" s="201"/>
    </row>
    <row r="489" ht="12.8" customHeight="1" spans="1:26">
      <c r="A489" s="200"/>
      <c r="B489" s="201"/>
      <c r="C489" s="201"/>
      <c r="D489" s="201"/>
      <c r="E489" s="201"/>
      <c r="F489" s="201"/>
      <c r="G489" s="201"/>
      <c r="H489" s="201"/>
      <c r="I489" s="201"/>
      <c r="J489" s="201"/>
      <c r="K489" s="201"/>
      <c r="L489" s="201"/>
      <c r="M489" s="201"/>
      <c r="N489" s="201"/>
      <c r="O489" s="201"/>
      <c r="P489" s="201"/>
      <c r="Q489" s="201"/>
      <c r="R489" s="201"/>
      <c r="S489" s="201"/>
      <c r="T489" s="201"/>
      <c r="U489" s="201"/>
      <c r="V489" s="201"/>
      <c r="W489" s="201"/>
      <c r="X489" s="201"/>
      <c r="Y489" s="201"/>
      <c r="Z489" s="201"/>
    </row>
    <row r="490" ht="12.8" customHeight="1" spans="1:26">
      <c r="A490" s="200"/>
      <c r="B490" s="201"/>
      <c r="C490" s="201"/>
      <c r="D490" s="201"/>
      <c r="E490" s="201"/>
      <c r="F490" s="201"/>
      <c r="G490" s="201"/>
      <c r="H490" s="201"/>
      <c r="I490" s="201"/>
      <c r="J490" s="201"/>
      <c r="K490" s="201"/>
      <c r="L490" s="201"/>
      <c r="M490" s="201"/>
      <c r="N490" s="201"/>
      <c r="O490" s="201"/>
      <c r="P490" s="201"/>
      <c r="Q490" s="201"/>
      <c r="R490" s="201"/>
      <c r="S490" s="201"/>
      <c r="T490" s="201"/>
      <c r="U490" s="201"/>
      <c r="V490" s="201"/>
      <c r="W490" s="201"/>
      <c r="X490" s="201"/>
      <c r="Y490" s="201"/>
      <c r="Z490" s="201"/>
    </row>
    <row r="491" ht="12.8" customHeight="1" spans="1:26">
      <c r="A491" s="200"/>
      <c r="B491" s="201"/>
      <c r="C491" s="201"/>
      <c r="D491" s="201"/>
      <c r="E491" s="201"/>
      <c r="F491" s="201"/>
      <c r="G491" s="201"/>
      <c r="H491" s="201"/>
      <c r="I491" s="201"/>
      <c r="J491" s="201"/>
      <c r="K491" s="201"/>
      <c r="L491" s="201"/>
      <c r="M491" s="201"/>
      <c r="N491" s="201"/>
      <c r="O491" s="201"/>
      <c r="P491" s="201"/>
      <c r="Q491" s="201"/>
      <c r="R491" s="201"/>
      <c r="S491" s="201"/>
      <c r="T491" s="201"/>
      <c r="U491" s="201"/>
      <c r="V491" s="201"/>
      <c r="W491" s="201"/>
      <c r="X491" s="201"/>
      <c r="Y491" s="201"/>
      <c r="Z491" s="201"/>
    </row>
    <row r="492" ht="12.8" customHeight="1" spans="1:26">
      <c r="A492" s="200"/>
      <c r="B492" s="201"/>
      <c r="C492" s="201"/>
      <c r="D492" s="201"/>
      <c r="E492" s="201"/>
      <c r="F492" s="201"/>
      <c r="G492" s="201"/>
      <c r="H492" s="201"/>
      <c r="I492" s="201"/>
      <c r="J492" s="201"/>
      <c r="K492" s="201"/>
      <c r="L492" s="201"/>
      <c r="M492" s="201"/>
      <c r="N492" s="201"/>
      <c r="O492" s="201"/>
      <c r="P492" s="201"/>
      <c r="Q492" s="201"/>
      <c r="R492" s="201"/>
      <c r="S492" s="201"/>
      <c r="T492" s="201"/>
      <c r="U492" s="201"/>
      <c r="V492" s="201"/>
      <c r="W492" s="201"/>
      <c r="X492" s="201"/>
      <c r="Y492" s="201"/>
      <c r="Z492" s="201"/>
    </row>
    <row r="493" ht="12.8" customHeight="1" spans="1:26">
      <c r="A493" s="200"/>
      <c r="B493" s="201"/>
      <c r="C493" s="201"/>
      <c r="D493" s="201"/>
      <c r="E493" s="201"/>
      <c r="F493" s="201"/>
      <c r="G493" s="201"/>
      <c r="H493" s="201"/>
      <c r="I493" s="201"/>
      <c r="J493" s="201"/>
      <c r="K493" s="201"/>
      <c r="L493" s="201"/>
      <c r="M493" s="201"/>
      <c r="N493" s="201"/>
      <c r="O493" s="201"/>
      <c r="P493" s="201"/>
      <c r="Q493" s="201"/>
      <c r="R493" s="201"/>
      <c r="S493" s="201"/>
      <c r="T493" s="201"/>
      <c r="U493" s="201"/>
      <c r="V493" s="201"/>
      <c r="W493" s="201"/>
      <c r="X493" s="201"/>
      <c r="Y493" s="201"/>
      <c r="Z493" s="201"/>
    </row>
    <row r="494" ht="12.8" customHeight="1" spans="1:26">
      <c r="A494" s="200"/>
      <c r="B494" s="201"/>
      <c r="C494" s="201"/>
      <c r="D494" s="201"/>
      <c r="E494" s="201"/>
      <c r="F494" s="201"/>
      <c r="G494" s="201"/>
      <c r="H494" s="201"/>
      <c r="I494" s="201"/>
      <c r="J494" s="201"/>
      <c r="K494" s="201"/>
      <c r="L494" s="201"/>
      <c r="M494" s="201"/>
      <c r="N494" s="201"/>
      <c r="O494" s="201"/>
      <c r="P494" s="201"/>
      <c r="Q494" s="201"/>
      <c r="R494" s="201"/>
      <c r="S494" s="201"/>
      <c r="T494" s="201"/>
      <c r="U494" s="201"/>
      <c r="V494" s="201"/>
      <c r="W494" s="201"/>
      <c r="X494" s="201"/>
      <c r="Y494" s="201"/>
      <c r="Z494" s="201"/>
    </row>
    <row r="495" ht="12.8" customHeight="1" spans="1:26">
      <c r="A495" s="200"/>
      <c r="B495" s="201"/>
      <c r="C495" s="201"/>
      <c r="D495" s="201"/>
      <c r="E495" s="201"/>
      <c r="F495" s="201"/>
      <c r="G495" s="201"/>
      <c r="H495" s="201"/>
      <c r="I495" s="201"/>
      <c r="J495" s="201"/>
      <c r="K495" s="201"/>
      <c r="L495" s="201"/>
      <c r="M495" s="201"/>
      <c r="N495" s="201"/>
      <c r="O495" s="201"/>
      <c r="P495" s="201"/>
      <c r="Q495" s="201"/>
      <c r="R495" s="201"/>
      <c r="S495" s="201"/>
      <c r="T495" s="201"/>
      <c r="U495" s="201"/>
      <c r="V495" s="201"/>
      <c r="W495" s="201"/>
      <c r="X495" s="201"/>
      <c r="Y495" s="201"/>
      <c r="Z495" s="201"/>
    </row>
    <row r="496" ht="12.8" customHeight="1" spans="1:26">
      <c r="A496" s="200"/>
      <c r="B496" s="201"/>
      <c r="C496" s="201"/>
      <c r="D496" s="201"/>
      <c r="E496" s="201"/>
      <c r="F496" s="201"/>
      <c r="G496" s="201"/>
      <c r="H496" s="201"/>
      <c r="I496" s="201"/>
      <c r="J496" s="201"/>
      <c r="K496" s="201"/>
      <c r="L496" s="201"/>
      <c r="M496" s="201"/>
      <c r="N496" s="201"/>
      <c r="O496" s="201"/>
      <c r="P496" s="201"/>
      <c r="Q496" s="201"/>
      <c r="R496" s="201"/>
      <c r="S496" s="201"/>
      <c r="T496" s="201"/>
      <c r="U496" s="201"/>
      <c r="V496" s="201"/>
      <c r="W496" s="201"/>
      <c r="X496" s="201"/>
      <c r="Y496" s="201"/>
      <c r="Z496" s="201"/>
    </row>
    <row r="497" ht="12.8" customHeight="1" spans="1:26">
      <c r="A497" s="200"/>
      <c r="B497" s="201"/>
      <c r="C497" s="201"/>
      <c r="D497" s="201"/>
      <c r="E497" s="201"/>
      <c r="F497" s="201"/>
      <c r="G497" s="201"/>
      <c r="H497" s="201"/>
      <c r="I497" s="201"/>
      <c r="J497" s="201"/>
      <c r="K497" s="201"/>
      <c r="L497" s="201"/>
      <c r="M497" s="201"/>
      <c r="N497" s="201"/>
      <c r="O497" s="201"/>
      <c r="P497" s="201"/>
      <c r="Q497" s="201"/>
      <c r="R497" s="201"/>
      <c r="S497" s="201"/>
      <c r="T497" s="201"/>
      <c r="U497" s="201"/>
      <c r="V497" s="201"/>
      <c r="W497" s="201"/>
      <c r="X497" s="201"/>
      <c r="Y497" s="201"/>
      <c r="Z497" s="201"/>
    </row>
    <row r="498" ht="12.8" customHeight="1" spans="1:26">
      <c r="A498" s="200"/>
      <c r="B498" s="201"/>
      <c r="C498" s="201"/>
      <c r="D498" s="201"/>
      <c r="E498" s="201"/>
      <c r="F498" s="201"/>
      <c r="G498" s="201"/>
      <c r="H498" s="201"/>
      <c r="I498" s="201"/>
      <c r="J498" s="201"/>
      <c r="K498" s="201"/>
      <c r="L498" s="201"/>
      <c r="M498" s="201"/>
      <c r="N498" s="201"/>
      <c r="O498" s="201"/>
      <c r="P498" s="201"/>
      <c r="Q498" s="201"/>
      <c r="R498" s="201"/>
      <c r="S498" s="201"/>
      <c r="T498" s="201"/>
      <c r="U498" s="201"/>
      <c r="V498" s="201"/>
      <c r="W498" s="201"/>
      <c r="X498" s="201"/>
      <c r="Y498" s="201"/>
      <c r="Z498" s="201"/>
    </row>
    <row r="499" ht="12.8" customHeight="1" spans="1:26">
      <c r="A499" s="200"/>
      <c r="B499" s="201"/>
      <c r="C499" s="201"/>
      <c r="D499" s="201"/>
      <c r="E499" s="201"/>
      <c r="F499" s="201"/>
      <c r="G499" s="201"/>
      <c r="H499" s="201"/>
      <c r="I499" s="201"/>
      <c r="J499" s="201"/>
      <c r="K499" s="201"/>
      <c r="L499" s="201"/>
      <c r="M499" s="201"/>
      <c r="N499" s="201"/>
      <c r="O499" s="201"/>
      <c r="P499" s="201"/>
      <c r="Q499" s="201"/>
      <c r="R499" s="201"/>
      <c r="S499" s="201"/>
      <c r="T499" s="201"/>
      <c r="U499" s="201"/>
      <c r="V499" s="201"/>
      <c r="W499" s="201"/>
      <c r="X499" s="201"/>
      <c r="Y499" s="201"/>
      <c r="Z499" s="201"/>
    </row>
    <row r="500" ht="12.8" customHeight="1" spans="1:26">
      <c r="A500" s="200"/>
      <c r="B500" s="201"/>
      <c r="C500" s="201"/>
      <c r="D500" s="201"/>
      <c r="E500" s="201"/>
      <c r="F500" s="201"/>
      <c r="G500" s="201"/>
      <c r="H500" s="201"/>
      <c r="I500" s="201"/>
      <c r="J500" s="201"/>
      <c r="K500" s="201"/>
      <c r="L500" s="201"/>
      <c r="M500" s="201"/>
      <c r="N500" s="201"/>
      <c r="O500" s="201"/>
      <c r="P500" s="201"/>
      <c r="Q500" s="201"/>
      <c r="R500" s="201"/>
      <c r="S500" s="201"/>
      <c r="T500" s="201"/>
      <c r="U500" s="201"/>
      <c r="V500" s="201"/>
      <c r="W500" s="201"/>
      <c r="X500" s="201"/>
      <c r="Y500" s="201"/>
      <c r="Z500" s="201"/>
    </row>
    <row r="501" ht="12.8" customHeight="1" spans="1:26">
      <c r="A501" s="200"/>
      <c r="B501" s="201"/>
      <c r="C501" s="201"/>
      <c r="D501" s="201"/>
      <c r="E501" s="201"/>
      <c r="F501" s="201"/>
      <c r="G501" s="201"/>
      <c r="H501" s="201"/>
      <c r="I501" s="201"/>
      <c r="J501" s="201"/>
      <c r="K501" s="201"/>
      <c r="L501" s="201"/>
      <c r="M501" s="201"/>
      <c r="N501" s="201"/>
      <c r="O501" s="201"/>
      <c r="P501" s="201"/>
      <c r="Q501" s="201"/>
      <c r="R501" s="201"/>
      <c r="S501" s="201"/>
      <c r="T501" s="201"/>
      <c r="U501" s="201"/>
      <c r="V501" s="201"/>
      <c r="W501" s="201"/>
      <c r="X501" s="201"/>
      <c r="Y501" s="201"/>
      <c r="Z501" s="201"/>
    </row>
    <row r="502" ht="12.8" customHeight="1" spans="1:26">
      <c r="A502" s="200"/>
      <c r="B502" s="201"/>
      <c r="C502" s="201"/>
      <c r="D502" s="201"/>
      <c r="E502" s="201"/>
      <c r="F502" s="201"/>
      <c r="G502" s="201"/>
      <c r="H502" s="201"/>
      <c r="I502" s="201"/>
      <c r="J502" s="201"/>
      <c r="K502" s="201"/>
      <c r="L502" s="201"/>
      <c r="M502" s="201"/>
      <c r="N502" s="201"/>
      <c r="O502" s="201"/>
      <c r="P502" s="201"/>
      <c r="Q502" s="201"/>
      <c r="R502" s="201"/>
      <c r="S502" s="201"/>
      <c r="T502" s="201"/>
      <c r="U502" s="201"/>
      <c r="V502" s="201"/>
      <c r="W502" s="201"/>
      <c r="X502" s="201"/>
      <c r="Y502" s="201"/>
      <c r="Z502" s="201"/>
    </row>
    <row r="503" ht="12.8" customHeight="1" spans="1:26">
      <c r="A503" s="200"/>
      <c r="B503" s="201"/>
      <c r="C503" s="201"/>
      <c r="D503" s="201"/>
      <c r="E503" s="201"/>
      <c r="F503" s="201"/>
      <c r="G503" s="201"/>
      <c r="H503" s="201"/>
      <c r="I503" s="201"/>
      <c r="J503" s="201"/>
      <c r="K503" s="201"/>
      <c r="L503" s="201"/>
      <c r="M503" s="201"/>
      <c r="N503" s="201"/>
      <c r="O503" s="201"/>
      <c r="P503" s="201"/>
      <c r="Q503" s="201"/>
      <c r="R503" s="201"/>
      <c r="S503" s="201"/>
      <c r="T503" s="201"/>
      <c r="U503" s="201"/>
      <c r="V503" s="201"/>
      <c r="W503" s="201"/>
      <c r="X503" s="201"/>
      <c r="Y503" s="201"/>
      <c r="Z503" s="201"/>
    </row>
    <row r="504" ht="12.8" customHeight="1" spans="1:26">
      <c r="A504" s="200"/>
      <c r="B504" s="201"/>
      <c r="C504" s="201"/>
      <c r="D504" s="201"/>
      <c r="E504" s="201"/>
      <c r="F504" s="201"/>
      <c r="G504" s="201"/>
      <c r="H504" s="201"/>
      <c r="I504" s="201"/>
      <c r="J504" s="201"/>
      <c r="K504" s="201"/>
      <c r="L504" s="201"/>
      <c r="M504" s="201"/>
      <c r="N504" s="201"/>
      <c r="O504" s="201"/>
      <c r="P504" s="201"/>
      <c r="Q504" s="201"/>
      <c r="R504" s="201"/>
      <c r="S504" s="201"/>
      <c r="T504" s="201"/>
      <c r="U504" s="201"/>
      <c r="V504" s="201"/>
      <c r="W504" s="201"/>
      <c r="X504" s="201"/>
      <c r="Y504" s="201"/>
      <c r="Z504" s="201"/>
    </row>
    <row r="505" ht="12.8" customHeight="1" spans="1:26">
      <c r="A505" s="200"/>
      <c r="B505" s="201"/>
      <c r="C505" s="201"/>
      <c r="D505" s="201"/>
      <c r="E505" s="201"/>
      <c r="F505" s="201"/>
      <c r="G505" s="201"/>
      <c r="H505" s="201"/>
      <c r="I505" s="201"/>
      <c r="J505" s="201"/>
      <c r="K505" s="201"/>
      <c r="L505" s="201"/>
      <c r="M505" s="201"/>
      <c r="N505" s="201"/>
      <c r="O505" s="201"/>
      <c r="P505" s="201"/>
      <c r="Q505" s="201"/>
      <c r="R505" s="201"/>
      <c r="S505" s="201"/>
      <c r="T505" s="201"/>
      <c r="U505" s="201"/>
      <c r="V505" s="201"/>
      <c r="W505" s="201"/>
      <c r="X505" s="201"/>
      <c r="Y505" s="201"/>
      <c r="Z505" s="201"/>
    </row>
    <row r="506" ht="12.8" customHeight="1" spans="1:26">
      <c r="A506" s="200"/>
      <c r="B506" s="201"/>
      <c r="C506" s="201"/>
      <c r="D506" s="201"/>
      <c r="E506" s="201"/>
      <c r="F506" s="201"/>
      <c r="G506" s="201"/>
      <c r="H506" s="201"/>
      <c r="I506" s="201"/>
      <c r="J506" s="201"/>
      <c r="K506" s="201"/>
      <c r="L506" s="201"/>
      <c r="M506" s="201"/>
      <c r="N506" s="201"/>
      <c r="O506" s="201"/>
      <c r="P506" s="201"/>
      <c r="Q506" s="201"/>
      <c r="R506" s="201"/>
      <c r="S506" s="201"/>
      <c r="T506" s="201"/>
      <c r="U506" s="201"/>
      <c r="V506" s="201"/>
      <c r="W506" s="201"/>
      <c r="X506" s="201"/>
      <c r="Y506" s="201"/>
      <c r="Z506" s="201"/>
    </row>
    <row r="507" ht="12.8" customHeight="1" spans="1:26">
      <c r="A507" s="200"/>
      <c r="B507" s="201"/>
      <c r="C507" s="201"/>
      <c r="D507" s="201"/>
      <c r="E507" s="201"/>
      <c r="F507" s="201"/>
      <c r="G507" s="201"/>
      <c r="H507" s="201"/>
      <c r="I507" s="201"/>
      <c r="J507" s="201"/>
      <c r="K507" s="201"/>
      <c r="L507" s="201"/>
      <c r="M507" s="201"/>
      <c r="N507" s="201"/>
      <c r="O507" s="201"/>
      <c r="P507" s="201"/>
      <c r="Q507" s="201"/>
      <c r="R507" s="201"/>
      <c r="S507" s="201"/>
      <c r="T507" s="201"/>
      <c r="U507" s="201"/>
      <c r="V507" s="201"/>
      <c r="W507" s="201"/>
      <c r="X507" s="201"/>
      <c r="Y507" s="201"/>
      <c r="Z507" s="201"/>
    </row>
    <row r="508" ht="12.8" customHeight="1" spans="1:26">
      <c r="A508" s="200"/>
      <c r="B508" s="201"/>
      <c r="C508" s="201"/>
      <c r="D508" s="201"/>
      <c r="E508" s="201"/>
      <c r="F508" s="201"/>
      <c r="G508" s="201"/>
      <c r="H508" s="201"/>
      <c r="I508" s="201"/>
      <c r="J508" s="201"/>
      <c r="K508" s="201"/>
      <c r="L508" s="201"/>
      <c r="M508" s="201"/>
      <c r="N508" s="201"/>
      <c r="O508" s="201"/>
      <c r="P508" s="201"/>
      <c r="Q508" s="201"/>
      <c r="R508" s="201"/>
      <c r="S508" s="201"/>
      <c r="T508" s="201"/>
      <c r="U508" s="201"/>
      <c r="V508" s="201"/>
      <c r="W508" s="201"/>
      <c r="X508" s="201"/>
      <c r="Y508" s="201"/>
      <c r="Z508" s="201"/>
    </row>
    <row r="509" ht="12.8" customHeight="1" spans="1:26">
      <c r="A509" s="200"/>
      <c r="B509" s="201"/>
      <c r="C509" s="201"/>
      <c r="D509" s="201"/>
      <c r="E509" s="201"/>
      <c r="F509" s="201"/>
      <c r="G509" s="201"/>
      <c r="H509" s="201"/>
      <c r="I509" s="201"/>
      <c r="J509" s="201"/>
      <c r="K509" s="201"/>
      <c r="L509" s="201"/>
      <c r="M509" s="201"/>
      <c r="N509" s="201"/>
      <c r="O509" s="201"/>
      <c r="P509" s="201"/>
      <c r="Q509" s="201"/>
      <c r="R509" s="201"/>
      <c r="S509" s="201"/>
      <c r="T509" s="201"/>
      <c r="U509" s="201"/>
      <c r="V509" s="201"/>
      <c r="W509" s="201"/>
      <c r="X509" s="201"/>
      <c r="Y509" s="201"/>
      <c r="Z509" s="201"/>
    </row>
    <row r="510" ht="12.8" customHeight="1" spans="1:26">
      <c r="A510" s="200"/>
      <c r="B510" s="201"/>
      <c r="C510" s="201"/>
      <c r="D510" s="201"/>
      <c r="E510" s="201"/>
      <c r="F510" s="201"/>
      <c r="G510" s="201"/>
      <c r="H510" s="201"/>
      <c r="I510" s="201"/>
      <c r="J510" s="201"/>
      <c r="K510" s="201"/>
      <c r="L510" s="201"/>
      <c r="M510" s="201"/>
      <c r="N510" s="201"/>
      <c r="O510" s="201"/>
      <c r="P510" s="201"/>
      <c r="Q510" s="201"/>
      <c r="R510" s="201"/>
      <c r="S510" s="201"/>
      <c r="T510" s="201"/>
      <c r="U510" s="201"/>
      <c r="V510" s="201"/>
      <c r="W510" s="201"/>
      <c r="X510" s="201"/>
      <c r="Y510" s="201"/>
      <c r="Z510" s="201"/>
    </row>
    <row r="511" ht="12.8" customHeight="1" spans="1:26">
      <c r="A511" s="200"/>
      <c r="B511" s="201"/>
      <c r="C511" s="201"/>
      <c r="D511" s="201"/>
      <c r="E511" s="201"/>
      <c r="F511" s="201"/>
      <c r="G511" s="201"/>
      <c r="H511" s="201"/>
      <c r="I511" s="201"/>
      <c r="J511" s="201"/>
      <c r="K511" s="201"/>
      <c r="L511" s="201"/>
      <c r="M511" s="201"/>
      <c r="N511" s="201"/>
      <c r="O511" s="201"/>
      <c r="P511" s="201"/>
      <c r="Q511" s="201"/>
      <c r="R511" s="201"/>
      <c r="S511" s="201"/>
      <c r="T511" s="201"/>
      <c r="U511" s="201"/>
      <c r="V511" s="201"/>
      <c r="W511" s="201"/>
      <c r="X511" s="201"/>
      <c r="Y511" s="201"/>
      <c r="Z511" s="201"/>
    </row>
    <row r="512" ht="12.8" customHeight="1" spans="1:26">
      <c r="A512" s="200"/>
      <c r="B512" s="201"/>
      <c r="C512" s="201"/>
      <c r="D512" s="201"/>
      <c r="E512" s="201"/>
      <c r="F512" s="201"/>
      <c r="G512" s="201"/>
      <c r="H512" s="201"/>
      <c r="I512" s="201"/>
      <c r="J512" s="201"/>
      <c r="K512" s="201"/>
      <c r="L512" s="201"/>
      <c r="M512" s="201"/>
      <c r="N512" s="201"/>
      <c r="O512" s="201"/>
      <c r="P512" s="201"/>
      <c r="Q512" s="201"/>
      <c r="R512" s="201"/>
      <c r="S512" s="201"/>
      <c r="T512" s="201"/>
      <c r="U512" s="201"/>
      <c r="V512" s="201"/>
      <c r="W512" s="201"/>
      <c r="X512" s="201"/>
      <c r="Y512" s="201"/>
      <c r="Z512" s="201"/>
    </row>
    <row r="513" ht="12.8" customHeight="1" spans="1:26">
      <c r="A513" s="200"/>
      <c r="B513" s="201"/>
      <c r="C513" s="201"/>
      <c r="D513" s="201"/>
      <c r="E513" s="201"/>
      <c r="F513" s="201"/>
      <c r="G513" s="201"/>
      <c r="H513" s="201"/>
      <c r="I513" s="201"/>
      <c r="J513" s="201"/>
      <c r="K513" s="201"/>
      <c r="L513" s="201"/>
      <c r="M513" s="201"/>
      <c r="N513" s="201"/>
      <c r="O513" s="201"/>
      <c r="P513" s="201"/>
      <c r="Q513" s="201"/>
      <c r="R513" s="201"/>
      <c r="S513" s="201"/>
      <c r="T513" s="201"/>
      <c r="U513" s="201"/>
      <c r="V513" s="201"/>
      <c r="W513" s="201"/>
      <c r="X513" s="201"/>
      <c r="Y513" s="201"/>
      <c r="Z513" s="201"/>
    </row>
    <row r="514" ht="12.8" customHeight="1" spans="1:26">
      <c r="A514" s="200"/>
      <c r="B514" s="201"/>
      <c r="C514" s="201"/>
      <c r="D514" s="201"/>
      <c r="E514" s="201"/>
      <c r="F514" s="201"/>
      <c r="G514" s="201"/>
      <c r="H514" s="201"/>
      <c r="I514" s="201"/>
      <c r="J514" s="201"/>
      <c r="K514" s="201"/>
      <c r="L514" s="201"/>
      <c r="M514" s="201"/>
      <c r="N514" s="201"/>
      <c r="O514" s="201"/>
      <c r="P514" s="201"/>
      <c r="Q514" s="201"/>
      <c r="R514" s="201"/>
      <c r="S514" s="201"/>
      <c r="T514" s="201"/>
      <c r="U514" s="201"/>
      <c r="V514" s="201"/>
      <c r="W514" s="201"/>
      <c r="X514" s="201"/>
      <c r="Y514" s="201"/>
      <c r="Z514" s="201"/>
    </row>
    <row r="515" ht="12.8" customHeight="1" spans="1:26">
      <c r="A515" s="200"/>
      <c r="B515" s="201"/>
      <c r="C515" s="201"/>
      <c r="D515" s="201"/>
      <c r="E515" s="201"/>
      <c r="F515" s="201"/>
      <c r="G515" s="201"/>
      <c r="H515" s="201"/>
      <c r="I515" s="201"/>
      <c r="J515" s="201"/>
      <c r="K515" s="201"/>
      <c r="L515" s="201"/>
      <c r="M515" s="201"/>
      <c r="N515" s="201"/>
      <c r="O515" s="201"/>
      <c r="P515" s="201"/>
      <c r="Q515" s="201"/>
      <c r="R515" s="201"/>
      <c r="S515" s="201"/>
      <c r="T515" s="201"/>
      <c r="U515" s="201"/>
      <c r="V515" s="201"/>
      <c r="W515" s="201"/>
      <c r="X515" s="201"/>
      <c r="Y515" s="201"/>
      <c r="Z515" s="201"/>
    </row>
    <row r="516" ht="12.8" customHeight="1" spans="1:26">
      <c r="A516" s="200"/>
      <c r="B516" s="201"/>
      <c r="C516" s="201"/>
      <c r="D516" s="201"/>
      <c r="E516" s="201"/>
      <c r="F516" s="201"/>
      <c r="G516" s="201"/>
      <c r="H516" s="201"/>
      <c r="I516" s="201"/>
      <c r="J516" s="201"/>
      <c r="K516" s="201"/>
      <c r="L516" s="201"/>
      <c r="M516" s="201"/>
      <c r="N516" s="201"/>
      <c r="O516" s="201"/>
      <c r="P516" s="201"/>
      <c r="Q516" s="201"/>
      <c r="R516" s="201"/>
      <c r="S516" s="201"/>
      <c r="T516" s="201"/>
      <c r="U516" s="201"/>
      <c r="V516" s="201"/>
      <c r="W516" s="201"/>
      <c r="X516" s="201"/>
      <c r="Y516" s="201"/>
      <c r="Z516" s="201"/>
    </row>
    <row r="517" ht="12.8" customHeight="1" spans="1:26">
      <c r="A517" s="200"/>
      <c r="B517" s="201"/>
      <c r="C517" s="201"/>
      <c r="D517" s="201"/>
      <c r="E517" s="201"/>
      <c r="F517" s="201"/>
      <c r="G517" s="201"/>
      <c r="H517" s="201"/>
      <c r="I517" s="201"/>
      <c r="J517" s="201"/>
      <c r="K517" s="201"/>
      <c r="L517" s="201"/>
      <c r="M517" s="201"/>
      <c r="N517" s="201"/>
      <c r="O517" s="201"/>
      <c r="P517" s="201"/>
      <c r="Q517" s="201"/>
      <c r="R517" s="201"/>
      <c r="S517" s="201"/>
      <c r="T517" s="201"/>
      <c r="U517" s="201"/>
      <c r="V517" s="201"/>
      <c r="W517" s="201"/>
      <c r="X517" s="201"/>
      <c r="Y517" s="201"/>
      <c r="Z517" s="201"/>
    </row>
    <row r="518" ht="12.8" customHeight="1" spans="1:26">
      <c r="A518" s="200"/>
      <c r="B518" s="201"/>
      <c r="C518" s="201"/>
      <c r="D518" s="201"/>
      <c r="E518" s="201"/>
      <c r="F518" s="201"/>
      <c r="G518" s="201"/>
      <c r="H518" s="201"/>
      <c r="I518" s="201"/>
      <c r="J518" s="201"/>
      <c r="K518" s="201"/>
      <c r="L518" s="201"/>
      <c r="M518" s="201"/>
      <c r="N518" s="201"/>
      <c r="O518" s="201"/>
      <c r="P518" s="201"/>
      <c r="Q518" s="201"/>
      <c r="R518" s="201"/>
      <c r="S518" s="201"/>
      <c r="T518" s="201"/>
      <c r="U518" s="201"/>
      <c r="V518" s="201"/>
      <c r="W518" s="201"/>
      <c r="X518" s="201"/>
      <c r="Y518" s="201"/>
      <c r="Z518" s="201"/>
    </row>
    <row r="519" ht="12.8" customHeight="1" spans="1:26">
      <c r="A519" s="200"/>
      <c r="B519" s="201"/>
      <c r="C519" s="201"/>
      <c r="D519" s="201"/>
      <c r="E519" s="201"/>
      <c r="F519" s="201"/>
      <c r="G519" s="201"/>
      <c r="H519" s="201"/>
      <c r="I519" s="201"/>
      <c r="J519" s="201"/>
      <c r="K519" s="201"/>
      <c r="L519" s="201"/>
      <c r="M519" s="201"/>
      <c r="N519" s="201"/>
      <c r="O519" s="201"/>
      <c r="P519" s="201"/>
      <c r="Q519" s="201"/>
      <c r="R519" s="201"/>
      <c r="S519" s="201"/>
      <c r="T519" s="201"/>
      <c r="U519" s="201"/>
      <c r="V519" s="201"/>
      <c r="W519" s="201"/>
      <c r="X519" s="201"/>
      <c r="Y519" s="201"/>
      <c r="Z519" s="201"/>
    </row>
    <row r="520" ht="12.8" customHeight="1" spans="1:26">
      <c r="A520" s="200"/>
      <c r="B520" s="201"/>
      <c r="C520" s="201"/>
      <c r="D520" s="201"/>
      <c r="E520" s="201"/>
      <c r="F520" s="201"/>
      <c r="G520" s="201"/>
      <c r="H520" s="201"/>
      <c r="I520" s="201"/>
      <c r="J520" s="201"/>
      <c r="K520" s="201"/>
      <c r="L520" s="201"/>
      <c r="M520" s="201"/>
      <c r="N520" s="201"/>
      <c r="O520" s="201"/>
      <c r="P520" s="201"/>
      <c r="Q520" s="201"/>
      <c r="R520" s="201"/>
      <c r="S520" s="201"/>
      <c r="T520" s="201"/>
      <c r="U520" s="201"/>
      <c r="V520" s="201"/>
      <c r="W520" s="201"/>
      <c r="X520" s="201"/>
      <c r="Y520" s="201"/>
      <c r="Z520" s="201"/>
    </row>
    <row r="521" ht="12.8" customHeight="1" spans="1:26">
      <c r="A521" s="200"/>
      <c r="B521" s="201"/>
      <c r="C521" s="201"/>
      <c r="D521" s="201"/>
      <c r="E521" s="201"/>
      <c r="F521" s="201"/>
      <c r="G521" s="201"/>
      <c r="H521" s="201"/>
      <c r="I521" s="201"/>
      <c r="J521" s="201"/>
      <c r="K521" s="201"/>
      <c r="L521" s="201"/>
      <c r="M521" s="201"/>
      <c r="N521" s="201"/>
      <c r="O521" s="201"/>
      <c r="P521" s="201"/>
      <c r="Q521" s="201"/>
      <c r="R521" s="201"/>
      <c r="S521" s="201"/>
      <c r="T521" s="201"/>
      <c r="U521" s="201"/>
      <c r="V521" s="201"/>
      <c r="W521" s="201"/>
      <c r="X521" s="201"/>
      <c r="Y521" s="201"/>
      <c r="Z521" s="201"/>
    </row>
    <row r="522" ht="12.8" customHeight="1" spans="1:26">
      <c r="A522" s="200"/>
      <c r="B522" s="201"/>
      <c r="C522" s="201"/>
      <c r="D522" s="201"/>
      <c r="E522" s="201"/>
      <c r="F522" s="201"/>
      <c r="G522" s="201"/>
      <c r="H522" s="201"/>
      <c r="I522" s="201"/>
      <c r="J522" s="201"/>
      <c r="K522" s="201"/>
      <c r="L522" s="201"/>
      <c r="M522" s="201"/>
      <c r="N522" s="201"/>
      <c r="O522" s="201"/>
      <c r="P522" s="201"/>
      <c r="Q522" s="201"/>
      <c r="R522" s="201"/>
      <c r="S522" s="201"/>
      <c r="T522" s="201"/>
      <c r="U522" s="201"/>
      <c r="V522" s="201"/>
      <c r="W522" s="201"/>
      <c r="X522" s="201"/>
      <c r="Y522" s="201"/>
      <c r="Z522" s="201"/>
    </row>
    <row r="523" ht="12.8" customHeight="1" spans="1:26">
      <c r="A523" s="200"/>
      <c r="B523" s="201"/>
      <c r="C523" s="201"/>
      <c r="D523" s="201"/>
      <c r="E523" s="201"/>
      <c r="F523" s="201"/>
      <c r="G523" s="201"/>
      <c r="H523" s="201"/>
      <c r="I523" s="201"/>
      <c r="J523" s="201"/>
      <c r="K523" s="201"/>
      <c r="L523" s="201"/>
      <c r="M523" s="201"/>
      <c r="N523" s="201"/>
      <c r="O523" s="201"/>
      <c r="P523" s="201"/>
      <c r="Q523" s="201"/>
      <c r="R523" s="201"/>
      <c r="S523" s="201"/>
      <c r="T523" s="201"/>
      <c r="U523" s="201"/>
      <c r="V523" s="201"/>
      <c r="W523" s="201"/>
      <c r="X523" s="201"/>
      <c r="Y523" s="201"/>
      <c r="Z523" s="201"/>
    </row>
    <row r="524" ht="12.8" customHeight="1" spans="1:26">
      <c r="A524" s="200"/>
      <c r="B524" s="201"/>
      <c r="C524" s="201"/>
      <c r="D524" s="201"/>
      <c r="E524" s="201"/>
      <c r="F524" s="201"/>
      <c r="G524" s="201"/>
      <c r="H524" s="201"/>
      <c r="I524" s="201"/>
      <c r="J524" s="201"/>
      <c r="K524" s="201"/>
      <c r="L524" s="201"/>
      <c r="M524" s="201"/>
      <c r="N524" s="201"/>
      <c r="O524" s="201"/>
      <c r="P524" s="201"/>
      <c r="Q524" s="201"/>
      <c r="R524" s="201"/>
      <c r="S524" s="201"/>
      <c r="T524" s="201"/>
      <c r="U524" s="201"/>
      <c r="V524" s="201"/>
      <c r="W524" s="201"/>
      <c r="X524" s="201"/>
      <c r="Y524" s="201"/>
      <c r="Z524" s="201"/>
    </row>
    <row r="525" ht="12.8" customHeight="1" spans="1:26">
      <c r="A525" s="200"/>
      <c r="B525" s="201"/>
      <c r="C525" s="201"/>
      <c r="D525" s="201"/>
      <c r="E525" s="201"/>
      <c r="F525" s="201"/>
      <c r="G525" s="201"/>
      <c r="H525" s="201"/>
      <c r="I525" s="201"/>
      <c r="J525" s="201"/>
      <c r="K525" s="201"/>
      <c r="L525" s="201"/>
      <c r="M525" s="201"/>
      <c r="N525" s="201"/>
      <c r="O525" s="201"/>
      <c r="P525" s="201"/>
      <c r="Q525" s="201"/>
      <c r="R525" s="201"/>
      <c r="S525" s="201"/>
      <c r="T525" s="201"/>
      <c r="U525" s="201"/>
      <c r="V525" s="201"/>
      <c r="W525" s="201"/>
      <c r="X525" s="201"/>
      <c r="Y525" s="201"/>
      <c r="Z525" s="201"/>
    </row>
    <row r="526" ht="12.8" customHeight="1" spans="1:26">
      <c r="A526" s="200"/>
      <c r="B526" s="201"/>
      <c r="C526" s="201"/>
      <c r="D526" s="201"/>
      <c r="E526" s="201"/>
      <c r="F526" s="201"/>
      <c r="G526" s="201"/>
      <c r="H526" s="201"/>
      <c r="I526" s="201"/>
      <c r="J526" s="201"/>
      <c r="K526" s="201"/>
      <c r="L526" s="201"/>
      <c r="M526" s="201"/>
      <c r="N526" s="201"/>
      <c r="O526" s="201"/>
      <c r="P526" s="201"/>
      <c r="Q526" s="201"/>
      <c r="R526" s="201"/>
      <c r="S526" s="201"/>
      <c r="T526" s="201"/>
      <c r="U526" s="201"/>
      <c r="V526" s="201"/>
      <c r="W526" s="201"/>
      <c r="X526" s="201"/>
      <c r="Y526" s="201"/>
      <c r="Z526" s="201"/>
    </row>
    <row r="527" ht="12.8" customHeight="1" spans="1:26">
      <c r="A527" s="200"/>
      <c r="B527" s="201"/>
      <c r="C527" s="201"/>
      <c r="D527" s="201"/>
      <c r="E527" s="201"/>
      <c r="F527" s="201"/>
      <c r="G527" s="201"/>
      <c r="H527" s="201"/>
      <c r="I527" s="201"/>
      <c r="J527" s="201"/>
      <c r="K527" s="201"/>
      <c r="L527" s="201"/>
      <c r="M527" s="201"/>
      <c r="N527" s="201"/>
      <c r="O527" s="201"/>
      <c r="P527" s="201"/>
      <c r="Q527" s="201"/>
      <c r="R527" s="201"/>
      <c r="S527" s="201"/>
      <c r="T527" s="201"/>
      <c r="U527" s="201"/>
      <c r="V527" s="201"/>
      <c r="W527" s="201"/>
      <c r="X527" s="201"/>
      <c r="Y527" s="201"/>
      <c r="Z527" s="201"/>
    </row>
    <row r="528" ht="12.8" customHeight="1" spans="1:26">
      <c r="A528" s="200"/>
      <c r="B528" s="201"/>
      <c r="C528" s="201"/>
      <c r="D528" s="201"/>
      <c r="E528" s="201"/>
      <c r="F528" s="201"/>
      <c r="G528" s="201"/>
      <c r="H528" s="201"/>
      <c r="I528" s="201"/>
      <c r="J528" s="201"/>
      <c r="K528" s="201"/>
      <c r="L528" s="201"/>
      <c r="M528" s="201"/>
      <c r="N528" s="201"/>
      <c r="O528" s="201"/>
      <c r="P528" s="201"/>
      <c r="Q528" s="201"/>
      <c r="R528" s="201"/>
      <c r="S528" s="201"/>
      <c r="T528" s="201"/>
      <c r="U528" s="201"/>
      <c r="V528" s="201"/>
      <c r="W528" s="201"/>
      <c r="X528" s="201"/>
      <c r="Y528" s="201"/>
      <c r="Z528" s="201"/>
    </row>
    <row r="529" ht="12.8" customHeight="1" spans="1:26">
      <c r="A529" s="200"/>
      <c r="B529" s="201"/>
      <c r="C529" s="201"/>
      <c r="D529" s="201"/>
      <c r="E529" s="201"/>
      <c r="F529" s="201"/>
      <c r="G529" s="201"/>
      <c r="H529" s="201"/>
      <c r="I529" s="201"/>
      <c r="J529" s="201"/>
      <c r="K529" s="201"/>
      <c r="L529" s="201"/>
      <c r="M529" s="201"/>
      <c r="N529" s="201"/>
      <c r="O529" s="201"/>
      <c r="P529" s="201"/>
      <c r="Q529" s="201"/>
      <c r="R529" s="201"/>
      <c r="S529" s="201"/>
      <c r="T529" s="201"/>
      <c r="U529" s="201"/>
      <c r="V529" s="201"/>
      <c r="W529" s="201"/>
      <c r="X529" s="201"/>
      <c r="Y529" s="201"/>
      <c r="Z529" s="201"/>
    </row>
    <row r="530" ht="12.8" customHeight="1" spans="1:26">
      <c r="A530" s="200"/>
      <c r="B530" s="201"/>
      <c r="C530" s="201"/>
      <c r="D530" s="201"/>
      <c r="E530" s="201"/>
      <c r="F530" s="201"/>
      <c r="G530" s="201"/>
      <c r="H530" s="201"/>
      <c r="I530" s="201"/>
      <c r="J530" s="201"/>
      <c r="K530" s="201"/>
      <c r="L530" s="201"/>
      <c r="M530" s="201"/>
      <c r="N530" s="201"/>
      <c r="O530" s="201"/>
      <c r="P530" s="201"/>
      <c r="Q530" s="201"/>
      <c r="R530" s="201"/>
      <c r="S530" s="201"/>
      <c r="T530" s="201"/>
      <c r="U530" s="201"/>
      <c r="V530" s="201"/>
      <c r="W530" s="201"/>
      <c r="X530" s="201"/>
      <c r="Y530" s="201"/>
      <c r="Z530" s="201"/>
    </row>
    <row r="531" ht="12.8" customHeight="1" spans="1:26">
      <c r="A531" s="200"/>
      <c r="B531" s="201"/>
      <c r="C531" s="201"/>
      <c r="D531" s="201"/>
      <c r="E531" s="201"/>
      <c r="F531" s="201"/>
      <c r="G531" s="201"/>
      <c r="H531" s="201"/>
      <c r="I531" s="201"/>
      <c r="J531" s="201"/>
      <c r="K531" s="201"/>
      <c r="L531" s="201"/>
      <c r="M531" s="201"/>
      <c r="N531" s="201"/>
      <c r="O531" s="201"/>
      <c r="P531" s="201"/>
      <c r="Q531" s="201"/>
      <c r="R531" s="201"/>
      <c r="S531" s="201"/>
      <c r="T531" s="201"/>
      <c r="U531" s="201"/>
      <c r="V531" s="201"/>
      <c r="W531" s="201"/>
      <c r="X531" s="201"/>
      <c r="Y531" s="201"/>
      <c r="Z531" s="201"/>
    </row>
    <row r="532" ht="12.8" customHeight="1" spans="1:26">
      <c r="A532" s="200"/>
      <c r="B532" s="201"/>
      <c r="C532" s="201"/>
      <c r="D532" s="201"/>
      <c r="E532" s="201"/>
      <c r="F532" s="201"/>
      <c r="G532" s="201"/>
      <c r="H532" s="201"/>
      <c r="I532" s="201"/>
      <c r="J532" s="201"/>
      <c r="K532" s="201"/>
      <c r="L532" s="201"/>
      <c r="M532" s="201"/>
      <c r="N532" s="201"/>
      <c r="O532" s="201"/>
      <c r="P532" s="201"/>
      <c r="Q532" s="201"/>
      <c r="R532" s="201"/>
      <c r="S532" s="201"/>
      <c r="T532" s="201"/>
      <c r="U532" s="201"/>
      <c r="V532" s="201"/>
      <c r="W532" s="201"/>
      <c r="X532" s="201"/>
      <c r="Y532" s="201"/>
      <c r="Z532" s="201"/>
    </row>
    <row r="533" ht="12.8" customHeight="1" spans="1:26">
      <c r="A533" s="200"/>
      <c r="B533" s="201"/>
      <c r="C533" s="201"/>
      <c r="D533" s="201"/>
      <c r="E533" s="201"/>
      <c r="F533" s="201"/>
      <c r="G533" s="201"/>
      <c r="H533" s="201"/>
      <c r="I533" s="201"/>
      <c r="J533" s="201"/>
      <c r="K533" s="201"/>
      <c r="L533" s="201"/>
      <c r="M533" s="201"/>
      <c r="N533" s="201"/>
      <c r="O533" s="201"/>
      <c r="P533" s="201"/>
      <c r="Q533" s="201"/>
      <c r="R533" s="201"/>
      <c r="S533" s="201"/>
      <c r="T533" s="201"/>
      <c r="U533" s="201"/>
      <c r="V533" s="201"/>
      <c r="W533" s="201"/>
      <c r="X533" s="201"/>
      <c r="Y533" s="201"/>
      <c r="Z533" s="201"/>
    </row>
    <row r="534" ht="12.8" customHeight="1" spans="1:26">
      <c r="A534" s="200"/>
      <c r="B534" s="201"/>
      <c r="C534" s="201"/>
      <c r="D534" s="201"/>
      <c r="E534" s="201"/>
      <c r="F534" s="201"/>
      <c r="G534" s="201"/>
      <c r="H534" s="201"/>
      <c r="I534" s="201"/>
      <c r="J534" s="201"/>
      <c r="K534" s="201"/>
      <c r="L534" s="201"/>
      <c r="M534" s="201"/>
      <c r="N534" s="201"/>
      <c r="O534" s="201"/>
      <c r="P534" s="201"/>
      <c r="Q534" s="201"/>
      <c r="R534" s="201"/>
      <c r="S534" s="201"/>
      <c r="T534" s="201"/>
      <c r="U534" s="201"/>
      <c r="V534" s="201"/>
      <c r="W534" s="201"/>
      <c r="X534" s="201"/>
      <c r="Y534" s="201"/>
      <c r="Z534" s="201"/>
    </row>
    <row r="535" ht="12.8" customHeight="1" spans="1:26">
      <c r="A535" s="200"/>
      <c r="B535" s="201"/>
      <c r="C535" s="201"/>
      <c r="D535" s="201"/>
      <c r="E535" s="201"/>
      <c r="F535" s="201"/>
      <c r="G535" s="201"/>
      <c r="H535" s="201"/>
      <c r="I535" s="201"/>
      <c r="J535" s="201"/>
      <c r="K535" s="201"/>
      <c r="L535" s="201"/>
      <c r="M535" s="201"/>
      <c r="N535" s="201"/>
      <c r="O535" s="201"/>
      <c r="P535" s="201"/>
      <c r="Q535" s="201"/>
      <c r="R535" s="201"/>
      <c r="S535" s="201"/>
      <c r="T535" s="201"/>
      <c r="U535" s="201"/>
      <c r="V535" s="201"/>
      <c r="W535" s="201"/>
      <c r="X535" s="201"/>
      <c r="Y535" s="201"/>
      <c r="Z535" s="201"/>
    </row>
    <row r="536" ht="12.8" customHeight="1" spans="1:26">
      <c r="A536" s="200"/>
      <c r="B536" s="201"/>
      <c r="C536" s="201"/>
      <c r="D536" s="201"/>
      <c r="E536" s="201"/>
      <c r="F536" s="201"/>
      <c r="G536" s="201"/>
      <c r="H536" s="201"/>
      <c r="I536" s="201"/>
      <c r="J536" s="201"/>
      <c r="K536" s="201"/>
      <c r="L536" s="201"/>
      <c r="M536" s="201"/>
      <c r="N536" s="201"/>
      <c r="O536" s="201"/>
      <c r="P536" s="201"/>
      <c r="Q536" s="201"/>
      <c r="R536" s="201"/>
      <c r="S536" s="201"/>
      <c r="T536" s="201"/>
      <c r="U536" s="201"/>
      <c r="V536" s="201"/>
      <c r="W536" s="201"/>
      <c r="X536" s="201"/>
      <c r="Y536" s="201"/>
      <c r="Z536" s="201"/>
    </row>
    <row r="537" ht="12.8" customHeight="1" spans="1:26">
      <c r="A537" s="200"/>
      <c r="B537" s="201"/>
      <c r="C537" s="201"/>
      <c r="D537" s="201"/>
      <c r="E537" s="201"/>
      <c r="F537" s="201"/>
      <c r="G537" s="201"/>
      <c r="H537" s="201"/>
      <c r="I537" s="201"/>
      <c r="J537" s="201"/>
      <c r="K537" s="201"/>
      <c r="L537" s="201"/>
      <c r="M537" s="201"/>
      <c r="N537" s="201"/>
      <c r="O537" s="201"/>
      <c r="P537" s="201"/>
      <c r="Q537" s="201"/>
      <c r="R537" s="201"/>
      <c r="S537" s="201"/>
      <c r="T537" s="201"/>
      <c r="U537" s="201"/>
      <c r="V537" s="201"/>
      <c r="W537" s="201"/>
      <c r="X537" s="201"/>
      <c r="Y537" s="201"/>
      <c r="Z537" s="201"/>
    </row>
    <row r="538" ht="12.8" customHeight="1" spans="1:26">
      <c r="A538" s="200"/>
      <c r="B538" s="201"/>
      <c r="C538" s="201"/>
      <c r="D538" s="201"/>
      <c r="E538" s="201"/>
      <c r="F538" s="201"/>
      <c r="G538" s="201"/>
      <c r="H538" s="201"/>
      <c r="I538" s="201"/>
      <c r="J538" s="201"/>
      <c r="K538" s="201"/>
      <c r="L538" s="201"/>
      <c r="M538" s="201"/>
      <c r="N538" s="201"/>
      <c r="O538" s="201"/>
      <c r="P538" s="201"/>
      <c r="Q538" s="201"/>
      <c r="R538" s="201"/>
      <c r="S538" s="201"/>
      <c r="T538" s="201"/>
      <c r="U538" s="201"/>
      <c r="V538" s="201"/>
      <c r="W538" s="201"/>
      <c r="X538" s="201"/>
      <c r="Y538" s="201"/>
      <c r="Z538" s="201"/>
    </row>
    <row r="539" ht="12.8" customHeight="1" spans="1:26">
      <c r="A539" s="200"/>
      <c r="B539" s="201"/>
      <c r="C539" s="201"/>
      <c r="D539" s="201"/>
      <c r="E539" s="201"/>
      <c r="F539" s="201"/>
      <c r="G539" s="201"/>
      <c r="H539" s="201"/>
      <c r="I539" s="201"/>
      <c r="J539" s="201"/>
      <c r="K539" s="201"/>
      <c r="L539" s="201"/>
      <c r="M539" s="201"/>
      <c r="N539" s="201"/>
      <c r="O539" s="201"/>
      <c r="P539" s="201"/>
      <c r="Q539" s="201"/>
      <c r="R539" s="201"/>
      <c r="S539" s="201"/>
      <c r="T539" s="201"/>
      <c r="U539" s="201"/>
      <c r="V539" s="201"/>
      <c r="W539" s="201"/>
      <c r="X539" s="201"/>
      <c r="Y539" s="201"/>
      <c r="Z539" s="201"/>
    </row>
    <row r="540" ht="12.8" customHeight="1" spans="1:26">
      <c r="A540" s="200"/>
      <c r="B540" s="201"/>
      <c r="C540" s="201"/>
      <c r="D540" s="201"/>
      <c r="E540" s="201"/>
      <c r="F540" s="201"/>
      <c r="G540" s="201"/>
      <c r="H540" s="201"/>
      <c r="I540" s="201"/>
      <c r="J540" s="201"/>
      <c r="K540" s="201"/>
      <c r="L540" s="201"/>
      <c r="M540" s="201"/>
      <c r="N540" s="201"/>
      <c r="O540" s="201"/>
      <c r="P540" s="201"/>
      <c r="Q540" s="201"/>
      <c r="R540" s="201"/>
      <c r="S540" s="201"/>
      <c r="T540" s="201"/>
      <c r="U540" s="201"/>
      <c r="V540" s="201"/>
      <c r="W540" s="201"/>
      <c r="X540" s="201"/>
      <c r="Y540" s="201"/>
      <c r="Z540" s="201"/>
    </row>
    <row r="541" ht="12.8" customHeight="1" spans="1:26">
      <c r="A541" s="200"/>
      <c r="B541" s="201"/>
      <c r="C541" s="201"/>
      <c r="D541" s="201"/>
      <c r="E541" s="201"/>
      <c r="F541" s="201"/>
      <c r="G541" s="201"/>
      <c r="H541" s="201"/>
      <c r="I541" s="201"/>
      <c r="J541" s="201"/>
      <c r="K541" s="201"/>
      <c r="L541" s="201"/>
      <c r="M541" s="201"/>
      <c r="N541" s="201"/>
      <c r="O541" s="201"/>
      <c r="P541" s="201"/>
      <c r="Q541" s="201"/>
      <c r="R541" s="201"/>
      <c r="S541" s="201"/>
      <c r="T541" s="201"/>
      <c r="U541" s="201"/>
      <c r="V541" s="201"/>
      <c r="W541" s="201"/>
      <c r="X541" s="201"/>
      <c r="Y541" s="201"/>
      <c r="Z541" s="201"/>
    </row>
    <row r="542" ht="12.8" customHeight="1" spans="1:26">
      <c r="A542" s="200"/>
      <c r="B542" s="201"/>
      <c r="C542" s="201"/>
      <c r="D542" s="201"/>
      <c r="E542" s="201"/>
      <c r="F542" s="201"/>
      <c r="G542" s="201"/>
      <c r="H542" s="201"/>
      <c r="I542" s="201"/>
      <c r="J542" s="201"/>
      <c r="K542" s="201"/>
      <c r="L542" s="201"/>
      <c r="M542" s="201"/>
      <c r="N542" s="201"/>
      <c r="O542" s="201"/>
      <c r="P542" s="201"/>
      <c r="Q542" s="201"/>
      <c r="R542" s="201"/>
      <c r="S542" s="201"/>
      <c r="T542" s="201"/>
      <c r="U542" s="201"/>
      <c r="V542" s="201"/>
      <c r="W542" s="201"/>
      <c r="X542" s="201"/>
      <c r="Y542" s="201"/>
      <c r="Z542" s="201"/>
    </row>
    <row r="543" ht="12.8" customHeight="1" spans="1:26">
      <c r="A543" s="200"/>
      <c r="B543" s="201"/>
      <c r="C543" s="201"/>
      <c r="D543" s="201"/>
      <c r="E543" s="201"/>
      <c r="F543" s="201"/>
      <c r="G543" s="201"/>
      <c r="H543" s="201"/>
      <c r="I543" s="201"/>
      <c r="J543" s="201"/>
      <c r="K543" s="201"/>
      <c r="L543" s="201"/>
      <c r="M543" s="201"/>
      <c r="N543" s="201"/>
      <c r="O543" s="201"/>
      <c r="P543" s="201"/>
      <c r="Q543" s="201"/>
      <c r="R543" s="201"/>
      <c r="S543" s="201"/>
      <c r="T543" s="201"/>
      <c r="U543" s="201"/>
      <c r="V543" s="201"/>
      <c r="W543" s="201"/>
      <c r="X543" s="201"/>
      <c r="Y543" s="201"/>
      <c r="Z543" s="201"/>
    </row>
    <row r="544" ht="12.8" customHeight="1" spans="1:26">
      <c r="A544" s="200"/>
      <c r="B544" s="201"/>
      <c r="C544" s="201"/>
      <c r="D544" s="201"/>
      <c r="E544" s="201"/>
      <c r="F544" s="201"/>
      <c r="G544" s="201"/>
      <c r="H544" s="201"/>
      <c r="I544" s="201"/>
      <c r="J544" s="201"/>
      <c r="K544" s="201"/>
      <c r="L544" s="201"/>
      <c r="M544" s="201"/>
      <c r="N544" s="201"/>
      <c r="O544" s="201"/>
      <c r="P544" s="201"/>
      <c r="Q544" s="201"/>
      <c r="R544" s="201"/>
      <c r="S544" s="201"/>
      <c r="T544" s="201"/>
      <c r="U544" s="201"/>
      <c r="V544" s="201"/>
      <c r="W544" s="201"/>
      <c r="X544" s="201"/>
      <c r="Y544" s="201"/>
      <c r="Z544" s="201"/>
    </row>
    <row r="545" ht="12.8" customHeight="1" spans="1:26">
      <c r="A545" s="200"/>
      <c r="B545" s="201"/>
      <c r="C545" s="201"/>
      <c r="D545" s="201"/>
      <c r="E545" s="201"/>
      <c r="F545" s="201"/>
      <c r="G545" s="201"/>
      <c r="H545" s="201"/>
      <c r="I545" s="201"/>
      <c r="J545" s="201"/>
      <c r="K545" s="201"/>
      <c r="L545" s="201"/>
      <c r="M545" s="201"/>
      <c r="N545" s="201"/>
      <c r="O545" s="201"/>
      <c r="P545" s="201"/>
      <c r="Q545" s="201"/>
      <c r="R545" s="201"/>
      <c r="S545" s="201"/>
      <c r="T545" s="201"/>
      <c r="U545" s="201"/>
      <c r="V545" s="201"/>
      <c r="W545" s="201"/>
      <c r="X545" s="201"/>
      <c r="Y545" s="201"/>
      <c r="Z545" s="201"/>
    </row>
    <row r="546" ht="12.8" customHeight="1" spans="1:26">
      <c r="A546" s="200"/>
      <c r="B546" s="201"/>
      <c r="C546" s="201"/>
      <c r="D546" s="201"/>
      <c r="E546" s="201"/>
      <c r="F546" s="201"/>
      <c r="G546" s="201"/>
      <c r="H546" s="201"/>
      <c r="I546" s="201"/>
      <c r="J546" s="201"/>
      <c r="K546" s="201"/>
      <c r="L546" s="201"/>
      <c r="M546" s="201"/>
      <c r="N546" s="201"/>
      <c r="O546" s="201"/>
      <c r="P546" s="201"/>
      <c r="Q546" s="201"/>
      <c r="R546" s="201"/>
      <c r="S546" s="201"/>
      <c r="T546" s="201"/>
      <c r="U546" s="201"/>
      <c r="V546" s="201"/>
      <c r="W546" s="201"/>
      <c r="X546" s="201"/>
      <c r="Y546" s="201"/>
      <c r="Z546" s="201"/>
    </row>
    <row r="547" ht="12.8" customHeight="1" spans="1:26">
      <c r="A547" s="200"/>
      <c r="B547" s="201"/>
      <c r="C547" s="201"/>
      <c r="D547" s="201"/>
      <c r="E547" s="201"/>
      <c r="F547" s="201"/>
      <c r="G547" s="201"/>
      <c r="H547" s="201"/>
      <c r="I547" s="201"/>
      <c r="J547" s="201"/>
      <c r="K547" s="201"/>
      <c r="L547" s="201"/>
      <c r="M547" s="201"/>
      <c r="N547" s="201"/>
      <c r="O547" s="201"/>
      <c r="P547" s="201"/>
      <c r="Q547" s="201"/>
      <c r="R547" s="201"/>
      <c r="S547" s="201"/>
      <c r="T547" s="201"/>
      <c r="U547" s="201"/>
      <c r="V547" s="201"/>
      <c r="W547" s="201"/>
      <c r="X547" s="201"/>
      <c r="Y547" s="201"/>
      <c r="Z547" s="201"/>
    </row>
    <row r="548" ht="12.8" customHeight="1" spans="1:26">
      <c r="A548" s="200"/>
      <c r="B548" s="201"/>
      <c r="C548" s="201"/>
      <c r="D548" s="201"/>
      <c r="E548" s="201"/>
      <c r="F548" s="201"/>
      <c r="G548" s="201"/>
      <c r="H548" s="201"/>
      <c r="I548" s="201"/>
      <c r="J548" s="201"/>
      <c r="K548" s="201"/>
      <c r="L548" s="201"/>
      <c r="M548" s="201"/>
      <c r="N548" s="201"/>
      <c r="O548" s="201"/>
      <c r="P548" s="201"/>
      <c r="Q548" s="201"/>
      <c r="R548" s="201"/>
      <c r="S548" s="201"/>
      <c r="T548" s="201"/>
      <c r="U548" s="201"/>
      <c r="V548" s="201"/>
      <c r="W548" s="201"/>
      <c r="X548" s="201"/>
      <c r="Y548" s="201"/>
      <c r="Z548" s="201"/>
    </row>
    <row r="549" ht="12.8" customHeight="1" spans="1:26">
      <c r="A549" s="200"/>
      <c r="B549" s="201"/>
      <c r="C549" s="201"/>
      <c r="D549" s="201"/>
      <c r="E549" s="201"/>
      <c r="F549" s="201"/>
      <c r="G549" s="201"/>
      <c r="H549" s="201"/>
      <c r="I549" s="201"/>
      <c r="J549" s="201"/>
      <c r="K549" s="201"/>
      <c r="L549" s="201"/>
      <c r="M549" s="201"/>
      <c r="N549" s="201"/>
      <c r="O549" s="201"/>
      <c r="P549" s="201"/>
      <c r="Q549" s="201"/>
      <c r="R549" s="201"/>
      <c r="S549" s="201"/>
      <c r="T549" s="201"/>
      <c r="U549" s="201"/>
      <c r="V549" s="201"/>
      <c r="W549" s="201"/>
      <c r="X549" s="201"/>
      <c r="Y549" s="201"/>
      <c r="Z549" s="201"/>
    </row>
    <row r="550" ht="12.8" customHeight="1" spans="1:26">
      <c r="A550" s="200"/>
      <c r="B550" s="201"/>
      <c r="C550" s="201"/>
      <c r="D550" s="201"/>
      <c r="E550" s="201"/>
      <c r="F550" s="201"/>
      <c r="G550" s="201"/>
      <c r="H550" s="201"/>
      <c r="I550" s="201"/>
      <c r="J550" s="201"/>
      <c r="K550" s="201"/>
      <c r="L550" s="201"/>
      <c r="M550" s="201"/>
      <c r="N550" s="201"/>
      <c r="O550" s="201"/>
      <c r="P550" s="201"/>
      <c r="Q550" s="201"/>
      <c r="R550" s="201"/>
      <c r="S550" s="201"/>
      <c r="T550" s="201"/>
      <c r="U550" s="201"/>
      <c r="V550" s="201"/>
      <c r="W550" s="201"/>
      <c r="X550" s="201"/>
      <c r="Y550" s="201"/>
      <c r="Z550" s="201"/>
    </row>
    <row r="551" ht="12.8" customHeight="1" spans="1:26">
      <c r="A551" s="200"/>
      <c r="B551" s="201"/>
      <c r="C551" s="201"/>
      <c r="D551" s="201"/>
      <c r="E551" s="201"/>
      <c r="F551" s="201"/>
      <c r="G551" s="201"/>
      <c r="H551" s="201"/>
      <c r="I551" s="201"/>
      <c r="J551" s="201"/>
      <c r="K551" s="201"/>
      <c r="L551" s="201"/>
      <c r="M551" s="201"/>
      <c r="N551" s="201"/>
      <c r="O551" s="201"/>
      <c r="P551" s="201"/>
      <c r="Q551" s="201"/>
      <c r="R551" s="201"/>
      <c r="S551" s="201"/>
      <c r="T551" s="201"/>
      <c r="U551" s="201"/>
      <c r="V551" s="201"/>
      <c r="W551" s="201"/>
      <c r="X551" s="201"/>
      <c r="Y551" s="201"/>
      <c r="Z551" s="201"/>
    </row>
    <row r="552" ht="12.8" customHeight="1" spans="1:26">
      <c r="A552" s="200"/>
      <c r="B552" s="201"/>
      <c r="C552" s="201"/>
      <c r="D552" s="201"/>
      <c r="E552" s="201"/>
      <c r="F552" s="201"/>
      <c r="G552" s="201"/>
      <c r="H552" s="201"/>
      <c r="I552" s="201"/>
      <c r="J552" s="201"/>
      <c r="K552" s="201"/>
      <c r="L552" s="201"/>
      <c r="M552" s="201"/>
      <c r="N552" s="201"/>
      <c r="O552" s="201"/>
      <c r="P552" s="201"/>
      <c r="Q552" s="201"/>
      <c r="R552" s="201"/>
      <c r="S552" s="201"/>
      <c r="T552" s="201"/>
      <c r="U552" s="201"/>
      <c r="V552" s="201"/>
      <c r="W552" s="201"/>
      <c r="X552" s="201"/>
      <c r="Y552" s="201"/>
      <c r="Z552" s="201"/>
    </row>
    <row r="553" ht="12.8" customHeight="1" spans="1:26">
      <c r="A553" s="200"/>
      <c r="B553" s="201"/>
      <c r="C553" s="201"/>
      <c r="D553" s="201"/>
      <c r="E553" s="201"/>
      <c r="F553" s="201"/>
      <c r="G553" s="201"/>
      <c r="H553" s="201"/>
      <c r="I553" s="201"/>
      <c r="J553" s="201"/>
      <c r="K553" s="201"/>
      <c r="L553" s="201"/>
      <c r="M553" s="201"/>
      <c r="N553" s="201"/>
      <c r="O553" s="201"/>
      <c r="P553" s="201"/>
      <c r="Q553" s="201"/>
      <c r="R553" s="201"/>
      <c r="S553" s="201"/>
      <c r="T553" s="201"/>
      <c r="U553" s="201"/>
      <c r="V553" s="201"/>
      <c r="W553" s="201"/>
      <c r="X553" s="201"/>
      <c r="Y553" s="201"/>
      <c r="Z553" s="201"/>
    </row>
    <row r="554" ht="12.8" customHeight="1" spans="1:26">
      <c r="A554" s="200"/>
      <c r="B554" s="201"/>
      <c r="C554" s="201"/>
      <c r="D554" s="201"/>
      <c r="E554" s="201"/>
      <c r="F554" s="201"/>
      <c r="G554" s="201"/>
      <c r="H554" s="201"/>
      <c r="I554" s="201"/>
      <c r="J554" s="201"/>
      <c r="K554" s="201"/>
      <c r="L554" s="201"/>
      <c r="M554" s="201"/>
      <c r="N554" s="201"/>
      <c r="O554" s="201"/>
      <c r="P554" s="201"/>
      <c r="Q554" s="201"/>
      <c r="R554" s="201"/>
      <c r="S554" s="201"/>
      <c r="T554" s="201"/>
      <c r="U554" s="201"/>
      <c r="V554" s="201"/>
      <c r="W554" s="201"/>
      <c r="X554" s="201"/>
      <c r="Y554" s="201"/>
      <c r="Z554" s="201"/>
    </row>
    <row r="555" ht="12.8" customHeight="1" spans="1:26">
      <c r="A555" s="200"/>
      <c r="B555" s="201"/>
      <c r="C555" s="201"/>
      <c r="D555" s="201"/>
      <c r="E555" s="201"/>
      <c r="F555" s="201"/>
      <c r="G555" s="201"/>
      <c r="H555" s="201"/>
      <c r="I555" s="201"/>
      <c r="J555" s="201"/>
      <c r="K555" s="201"/>
      <c r="L555" s="201"/>
      <c r="M555" s="201"/>
      <c r="N555" s="201"/>
      <c r="O555" s="201"/>
      <c r="P555" s="201"/>
      <c r="Q555" s="201"/>
      <c r="R555" s="201"/>
      <c r="S555" s="201"/>
      <c r="T555" s="201"/>
      <c r="U555" s="201"/>
      <c r="V555" s="201"/>
      <c r="W555" s="201"/>
      <c r="X555" s="201"/>
      <c r="Y555" s="201"/>
      <c r="Z555" s="201"/>
    </row>
    <row r="556" ht="12.8" customHeight="1" spans="1:26">
      <c r="A556" s="200"/>
      <c r="B556" s="201"/>
      <c r="C556" s="201"/>
      <c r="D556" s="201"/>
      <c r="E556" s="201"/>
      <c r="F556" s="201"/>
      <c r="G556" s="201"/>
      <c r="H556" s="201"/>
      <c r="I556" s="201"/>
      <c r="J556" s="201"/>
      <c r="K556" s="201"/>
      <c r="L556" s="201"/>
      <c r="M556" s="201"/>
      <c r="N556" s="201"/>
      <c r="O556" s="201"/>
      <c r="P556" s="201"/>
      <c r="Q556" s="201"/>
      <c r="R556" s="201"/>
      <c r="S556" s="201"/>
      <c r="T556" s="201"/>
      <c r="U556" s="201"/>
      <c r="V556" s="201"/>
      <c r="W556" s="201"/>
      <c r="X556" s="201"/>
      <c r="Y556" s="201"/>
      <c r="Z556" s="201"/>
    </row>
    <row r="557" ht="12.8" customHeight="1" spans="1:26">
      <c r="A557" s="200"/>
      <c r="B557" s="201"/>
      <c r="C557" s="201"/>
      <c r="D557" s="201"/>
      <c r="E557" s="201"/>
      <c r="F557" s="201"/>
      <c r="G557" s="201"/>
      <c r="H557" s="201"/>
      <c r="I557" s="201"/>
      <c r="J557" s="201"/>
      <c r="K557" s="201"/>
      <c r="L557" s="201"/>
      <c r="M557" s="201"/>
      <c r="N557" s="201"/>
      <c r="O557" s="201"/>
      <c r="P557" s="201"/>
      <c r="Q557" s="201"/>
      <c r="R557" s="201"/>
      <c r="S557" s="201"/>
      <c r="T557" s="201"/>
      <c r="U557" s="201"/>
      <c r="V557" s="201"/>
      <c r="W557" s="201"/>
      <c r="X557" s="201"/>
      <c r="Y557" s="201"/>
      <c r="Z557" s="201"/>
    </row>
    <row r="558" ht="12.8" customHeight="1" spans="1:26">
      <c r="A558" s="200"/>
      <c r="B558" s="201"/>
      <c r="C558" s="201"/>
      <c r="D558" s="201"/>
      <c r="E558" s="201"/>
      <c r="F558" s="201"/>
      <c r="G558" s="201"/>
      <c r="H558" s="201"/>
      <c r="I558" s="201"/>
      <c r="J558" s="201"/>
      <c r="K558" s="201"/>
      <c r="L558" s="201"/>
      <c r="M558" s="201"/>
      <c r="N558" s="201"/>
      <c r="O558" s="201"/>
      <c r="P558" s="201"/>
      <c r="Q558" s="201"/>
      <c r="R558" s="201"/>
      <c r="S558" s="201"/>
      <c r="T558" s="201"/>
      <c r="U558" s="201"/>
      <c r="V558" s="201"/>
      <c r="W558" s="201"/>
      <c r="X558" s="201"/>
      <c r="Y558" s="201"/>
      <c r="Z558" s="201"/>
    </row>
    <row r="559" ht="12.8" customHeight="1" spans="1:26">
      <c r="A559" s="200"/>
      <c r="B559" s="201"/>
      <c r="C559" s="201"/>
      <c r="D559" s="201"/>
      <c r="E559" s="201"/>
      <c r="F559" s="201"/>
      <c r="G559" s="201"/>
      <c r="H559" s="201"/>
      <c r="I559" s="201"/>
      <c r="J559" s="201"/>
      <c r="K559" s="201"/>
      <c r="L559" s="201"/>
      <c r="M559" s="201"/>
      <c r="N559" s="201"/>
      <c r="O559" s="201"/>
      <c r="P559" s="201"/>
      <c r="Q559" s="201"/>
      <c r="R559" s="201"/>
      <c r="S559" s="201"/>
      <c r="T559" s="201"/>
      <c r="U559" s="201"/>
      <c r="V559" s="201"/>
      <c r="W559" s="201"/>
      <c r="X559" s="201"/>
      <c r="Y559" s="201"/>
      <c r="Z559" s="201"/>
    </row>
    <row r="560" ht="12.8" customHeight="1" spans="1:26">
      <c r="A560" s="200"/>
      <c r="B560" s="201"/>
      <c r="C560" s="201"/>
      <c r="D560" s="201"/>
      <c r="E560" s="201"/>
      <c r="F560" s="201"/>
      <c r="G560" s="201"/>
      <c r="H560" s="201"/>
      <c r="I560" s="201"/>
      <c r="J560" s="201"/>
      <c r="K560" s="201"/>
      <c r="L560" s="201"/>
      <c r="M560" s="201"/>
      <c r="N560" s="201"/>
      <c r="O560" s="201"/>
      <c r="P560" s="201"/>
      <c r="Q560" s="201"/>
      <c r="R560" s="201"/>
      <c r="S560" s="201"/>
      <c r="T560" s="201"/>
      <c r="U560" s="201"/>
      <c r="V560" s="201"/>
      <c r="W560" s="201"/>
      <c r="X560" s="201"/>
      <c r="Y560" s="201"/>
      <c r="Z560" s="201"/>
    </row>
    <row r="561" ht="12.8" customHeight="1" spans="1:26">
      <c r="A561" s="200"/>
      <c r="B561" s="201"/>
      <c r="C561" s="201"/>
      <c r="D561" s="201"/>
      <c r="E561" s="201"/>
      <c r="F561" s="201"/>
      <c r="G561" s="201"/>
      <c r="H561" s="201"/>
      <c r="I561" s="201"/>
      <c r="J561" s="201"/>
      <c r="K561" s="201"/>
      <c r="L561" s="201"/>
      <c r="M561" s="201"/>
      <c r="N561" s="201"/>
      <c r="O561" s="201"/>
      <c r="P561" s="201"/>
      <c r="Q561" s="201"/>
      <c r="R561" s="201"/>
      <c r="S561" s="201"/>
      <c r="T561" s="201"/>
      <c r="U561" s="201"/>
      <c r="V561" s="201"/>
      <c r="W561" s="201"/>
      <c r="X561" s="201"/>
      <c r="Y561" s="201"/>
      <c r="Z561" s="201"/>
    </row>
    <row r="562" ht="12.8" customHeight="1" spans="1:26">
      <c r="A562" s="200"/>
      <c r="B562" s="201"/>
      <c r="C562" s="201"/>
      <c r="D562" s="201"/>
      <c r="E562" s="201"/>
      <c r="F562" s="201"/>
      <c r="G562" s="201"/>
      <c r="H562" s="201"/>
      <c r="I562" s="201"/>
      <c r="J562" s="201"/>
      <c r="K562" s="201"/>
      <c r="L562" s="201"/>
      <c r="M562" s="201"/>
      <c r="N562" s="201"/>
      <c r="O562" s="201"/>
      <c r="P562" s="201"/>
      <c r="Q562" s="201"/>
      <c r="R562" s="201"/>
      <c r="S562" s="201"/>
      <c r="T562" s="201"/>
      <c r="U562" s="201"/>
      <c r="V562" s="201"/>
      <c r="W562" s="201"/>
      <c r="X562" s="201"/>
      <c r="Y562" s="201"/>
      <c r="Z562" s="201"/>
    </row>
    <row r="563" ht="12.8" customHeight="1" spans="1:26">
      <c r="A563" s="200"/>
      <c r="B563" s="201"/>
      <c r="C563" s="201"/>
      <c r="D563" s="201"/>
      <c r="E563" s="201"/>
      <c r="F563" s="201"/>
      <c r="G563" s="201"/>
      <c r="H563" s="201"/>
      <c r="I563" s="201"/>
      <c r="J563" s="201"/>
      <c r="K563" s="201"/>
      <c r="L563" s="201"/>
      <c r="M563" s="201"/>
      <c r="N563" s="201"/>
      <c r="O563" s="201"/>
      <c r="P563" s="201"/>
      <c r="Q563" s="201"/>
      <c r="R563" s="201"/>
      <c r="S563" s="201"/>
      <c r="T563" s="201"/>
      <c r="U563" s="201"/>
      <c r="V563" s="201"/>
      <c r="W563" s="201"/>
      <c r="X563" s="201"/>
      <c r="Y563" s="201"/>
      <c r="Z563" s="201"/>
    </row>
    <row r="564" ht="12.8" customHeight="1" spans="1:26">
      <c r="A564" s="200"/>
      <c r="B564" s="201"/>
      <c r="C564" s="201"/>
      <c r="D564" s="201"/>
      <c r="E564" s="201"/>
      <c r="F564" s="201"/>
      <c r="G564" s="201"/>
      <c r="H564" s="201"/>
      <c r="I564" s="201"/>
      <c r="J564" s="201"/>
      <c r="K564" s="201"/>
      <c r="L564" s="201"/>
      <c r="M564" s="201"/>
      <c r="N564" s="201"/>
      <c r="O564" s="201"/>
      <c r="P564" s="201"/>
      <c r="Q564" s="201"/>
      <c r="R564" s="201"/>
      <c r="S564" s="201"/>
      <c r="T564" s="201"/>
      <c r="U564" s="201"/>
      <c r="V564" s="201"/>
      <c r="W564" s="201"/>
      <c r="X564" s="201"/>
      <c r="Y564" s="201"/>
      <c r="Z564" s="201"/>
    </row>
    <row r="565" ht="12.8" customHeight="1" spans="1:26">
      <c r="A565" s="200"/>
      <c r="B565" s="201"/>
      <c r="C565" s="201"/>
      <c r="D565" s="201"/>
      <c r="E565" s="201"/>
      <c r="F565" s="201"/>
      <c r="G565" s="201"/>
      <c r="H565" s="201"/>
      <c r="I565" s="201"/>
      <c r="J565" s="201"/>
      <c r="K565" s="201"/>
      <c r="L565" s="201"/>
      <c r="M565" s="201"/>
      <c r="N565" s="201"/>
      <c r="O565" s="201"/>
      <c r="P565" s="201"/>
      <c r="Q565" s="201"/>
      <c r="R565" s="201"/>
      <c r="S565" s="201"/>
      <c r="T565" s="201"/>
      <c r="U565" s="201"/>
      <c r="V565" s="201"/>
      <c r="W565" s="201"/>
      <c r="X565" s="201"/>
      <c r="Y565" s="201"/>
      <c r="Z565" s="201"/>
    </row>
    <row r="566" ht="12.8" customHeight="1" spans="1:26">
      <c r="A566" s="200"/>
      <c r="B566" s="201"/>
      <c r="C566" s="201"/>
      <c r="D566" s="201"/>
      <c r="E566" s="201"/>
      <c r="F566" s="201"/>
      <c r="G566" s="201"/>
      <c r="H566" s="201"/>
      <c r="I566" s="201"/>
      <c r="J566" s="201"/>
      <c r="K566" s="201"/>
      <c r="L566" s="201"/>
      <c r="M566" s="201"/>
      <c r="N566" s="201"/>
      <c r="O566" s="201"/>
      <c r="P566" s="201"/>
      <c r="Q566" s="201"/>
      <c r="R566" s="201"/>
      <c r="S566" s="201"/>
      <c r="T566" s="201"/>
      <c r="U566" s="201"/>
      <c r="V566" s="201"/>
      <c r="W566" s="201"/>
      <c r="X566" s="201"/>
      <c r="Y566" s="201"/>
      <c r="Z566" s="201"/>
    </row>
    <row r="567" ht="12.8" customHeight="1" spans="1:26">
      <c r="A567" s="200"/>
      <c r="B567" s="201"/>
      <c r="C567" s="201"/>
      <c r="D567" s="201"/>
      <c r="E567" s="201"/>
      <c r="F567" s="201"/>
      <c r="G567" s="201"/>
      <c r="H567" s="201"/>
      <c r="I567" s="201"/>
      <c r="J567" s="201"/>
      <c r="K567" s="201"/>
      <c r="L567" s="201"/>
      <c r="M567" s="201"/>
      <c r="N567" s="201"/>
      <c r="O567" s="201"/>
      <c r="P567" s="201"/>
      <c r="Q567" s="201"/>
      <c r="R567" s="201"/>
      <c r="S567" s="201"/>
      <c r="T567" s="201"/>
      <c r="U567" s="201"/>
      <c r="V567" s="201"/>
      <c r="W567" s="201"/>
      <c r="X567" s="201"/>
      <c r="Y567" s="201"/>
      <c r="Z567" s="201"/>
    </row>
    <row r="568" ht="12.8" customHeight="1" spans="1:26">
      <c r="A568" s="200"/>
      <c r="B568" s="201"/>
      <c r="C568" s="201"/>
      <c r="D568" s="201"/>
      <c r="E568" s="201"/>
      <c r="F568" s="201"/>
      <c r="G568" s="201"/>
      <c r="H568" s="201"/>
      <c r="I568" s="201"/>
      <c r="J568" s="201"/>
      <c r="K568" s="201"/>
      <c r="L568" s="201"/>
      <c r="M568" s="201"/>
      <c r="N568" s="201"/>
      <c r="O568" s="201"/>
      <c r="P568" s="201"/>
      <c r="Q568" s="201"/>
      <c r="R568" s="201"/>
      <c r="S568" s="201"/>
      <c r="T568" s="201"/>
      <c r="U568" s="201"/>
      <c r="V568" s="201"/>
      <c r="W568" s="201"/>
      <c r="X568" s="201"/>
      <c r="Y568" s="201"/>
      <c r="Z568" s="201"/>
    </row>
    <row r="569" ht="12.8" customHeight="1" spans="1:26">
      <c r="A569" s="200"/>
      <c r="B569" s="201"/>
      <c r="C569" s="201"/>
      <c r="D569" s="201"/>
      <c r="E569" s="201"/>
      <c r="F569" s="201"/>
      <c r="G569" s="201"/>
      <c r="H569" s="201"/>
      <c r="I569" s="201"/>
      <c r="J569" s="201"/>
      <c r="K569" s="201"/>
      <c r="L569" s="201"/>
      <c r="M569" s="201"/>
      <c r="N569" s="201"/>
      <c r="O569" s="201"/>
      <c r="P569" s="201"/>
      <c r="Q569" s="201"/>
      <c r="R569" s="201"/>
      <c r="S569" s="201"/>
      <c r="T569" s="201"/>
      <c r="U569" s="201"/>
      <c r="V569" s="201"/>
      <c r="W569" s="201"/>
      <c r="X569" s="201"/>
      <c r="Y569" s="201"/>
      <c r="Z569" s="201"/>
    </row>
    <row r="570" ht="12.8" customHeight="1" spans="1:26">
      <c r="A570" s="200"/>
      <c r="B570" s="201"/>
      <c r="C570" s="201"/>
      <c r="D570" s="201"/>
      <c r="E570" s="201"/>
      <c r="F570" s="201"/>
      <c r="G570" s="201"/>
      <c r="H570" s="201"/>
      <c r="I570" s="201"/>
      <c r="J570" s="201"/>
      <c r="K570" s="201"/>
      <c r="L570" s="201"/>
      <c r="M570" s="201"/>
      <c r="N570" s="201"/>
      <c r="O570" s="201"/>
      <c r="P570" s="201"/>
      <c r="Q570" s="201"/>
      <c r="R570" s="201"/>
      <c r="S570" s="201"/>
      <c r="T570" s="201"/>
      <c r="U570" s="201"/>
      <c r="V570" s="201"/>
      <c r="W570" s="201"/>
      <c r="X570" s="201"/>
      <c r="Y570" s="201"/>
      <c r="Z570" s="201"/>
    </row>
    <row r="571" ht="12.8" customHeight="1" spans="1:26">
      <c r="A571" s="200"/>
      <c r="B571" s="201"/>
      <c r="C571" s="201"/>
      <c r="D571" s="201"/>
      <c r="E571" s="201"/>
      <c r="F571" s="201"/>
      <c r="G571" s="201"/>
      <c r="H571" s="201"/>
      <c r="I571" s="201"/>
      <c r="J571" s="201"/>
      <c r="K571" s="201"/>
      <c r="L571" s="201"/>
      <c r="M571" s="201"/>
      <c r="N571" s="201"/>
      <c r="O571" s="201"/>
      <c r="P571" s="201"/>
      <c r="Q571" s="201"/>
      <c r="R571" s="201"/>
      <c r="S571" s="201"/>
      <c r="T571" s="201"/>
      <c r="U571" s="201"/>
      <c r="V571" s="201"/>
      <c r="W571" s="201"/>
      <c r="X571" s="201"/>
      <c r="Y571" s="201"/>
      <c r="Z571" s="201"/>
    </row>
    <row r="572" ht="12.8" customHeight="1" spans="1:26">
      <c r="A572" s="200"/>
      <c r="B572" s="201"/>
      <c r="C572" s="201"/>
      <c r="D572" s="201"/>
      <c r="E572" s="201"/>
      <c r="F572" s="201"/>
      <c r="G572" s="201"/>
      <c r="H572" s="201"/>
      <c r="I572" s="201"/>
      <c r="J572" s="201"/>
      <c r="K572" s="201"/>
      <c r="L572" s="201"/>
      <c r="M572" s="201"/>
      <c r="N572" s="201"/>
      <c r="O572" s="201"/>
      <c r="P572" s="201"/>
      <c r="Q572" s="201"/>
      <c r="R572" s="201"/>
      <c r="S572" s="201"/>
      <c r="T572" s="201"/>
      <c r="U572" s="201"/>
      <c r="V572" s="201"/>
      <c r="W572" s="201"/>
      <c r="X572" s="201"/>
      <c r="Y572" s="201"/>
      <c r="Z572" s="201"/>
    </row>
    <row r="573" ht="12.8" customHeight="1" spans="1:26">
      <c r="A573" s="200"/>
      <c r="B573" s="201"/>
      <c r="C573" s="201"/>
      <c r="D573" s="201"/>
      <c r="E573" s="201"/>
      <c r="F573" s="201"/>
      <c r="G573" s="201"/>
      <c r="H573" s="201"/>
      <c r="I573" s="201"/>
      <c r="J573" s="201"/>
      <c r="K573" s="201"/>
      <c r="L573" s="201"/>
      <c r="M573" s="201"/>
      <c r="N573" s="201"/>
      <c r="O573" s="201"/>
      <c r="P573" s="201"/>
      <c r="Q573" s="201"/>
      <c r="R573" s="201"/>
      <c r="S573" s="201"/>
      <c r="T573" s="201"/>
      <c r="U573" s="201"/>
      <c r="V573" s="201"/>
      <c r="W573" s="201"/>
      <c r="X573" s="201"/>
      <c r="Y573" s="201"/>
      <c r="Z573" s="201"/>
    </row>
    <row r="574" ht="12.8" customHeight="1" spans="1:26">
      <c r="A574" s="200"/>
      <c r="B574" s="201"/>
      <c r="C574" s="201"/>
      <c r="D574" s="201"/>
      <c r="E574" s="201"/>
      <c r="F574" s="201"/>
      <c r="G574" s="201"/>
      <c r="H574" s="201"/>
      <c r="I574" s="201"/>
      <c r="J574" s="201"/>
      <c r="K574" s="201"/>
      <c r="L574" s="201"/>
      <c r="M574" s="201"/>
      <c r="N574" s="201"/>
      <c r="O574" s="201"/>
      <c r="P574" s="201"/>
      <c r="Q574" s="201"/>
      <c r="R574" s="201"/>
      <c r="S574" s="201"/>
      <c r="T574" s="201"/>
      <c r="U574" s="201"/>
      <c r="V574" s="201"/>
      <c r="W574" s="201"/>
      <c r="X574" s="201"/>
      <c r="Y574" s="201"/>
      <c r="Z574" s="201"/>
    </row>
    <row r="575" ht="12.8" customHeight="1" spans="1:26">
      <c r="A575" s="200"/>
      <c r="B575" s="201"/>
      <c r="C575" s="201"/>
      <c r="D575" s="201"/>
      <c r="E575" s="201"/>
      <c r="F575" s="201"/>
      <c r="G575" s="201"/>
      <c r="H575" s="201"/>
      <c r="I575" s="201"/>
      <c r="J575" s="201"/>
      <c r="K575" s="201"/>
      <c r="L575" s="201"/>
      <c r="M575" s="201"/>
      <c r="N575" s="201"/>
      <c r="O575" s="201"/>
      <c r="P575" s="201"/>
      <c r="Q575" s="201"/>
      <c r="R575" s="201"/>
      <c r="S575" s="201"/>
      <c r="T575" s="201"/>
      <c r="U575" s="201"/>
      <c r="V575" s="201"/>
      <c r="W575" s="201"/>
      <c r="X575" s="201"/>
      <c r="Y575" s="201"/>
      <c r="Z575" s="201"/>
    </row>
    <row r="576" ht="12.8" customHeight="1" spans="1:26">
      <c r="A576" s="200"/>
      <c r="B576" s="201"/>
      <c r="C576" s="201"/>
      <c r="D576" s="201"/>
      <c r="E576" s="201"/>
      <c r="F576" s="201"/>
      <c r="G576" s="201"/>
      <c r="H576" s="201"/>
      <c r="I576" s="201"/>
      <c r="J576" s="201"/>
      <c r="K576" s="201"/>
      <c r="L576" s="201"/>
      <c r="M576" s="201"/>
      <c r="N576" s="201"/>
      <c r="O576" s="201"/>
      <c r="P576" s="201"/>
      <c r="Q576" s="201"/>
      <c r="R576" s="201"/>
      <c r="S576" s="201"/>
      <c r="T576" s="201"/>
      <c r="U576" s="201"/>
      <c r="V576" s="201"/>
      <c r="W576" s="201"/>
      <c r="X576" s="201"/>
      <c r="Y576" s="201"/>
      <c r="Z576" s="201"/>
    </row>
    <row r="577" ht="12.8" customHeight="1" spans="1:26">
      <c r="A577" s="200"/>
      <c r="B577" s="201"/>
      <c r="C577" s="201"/>
      <c r="D577" s="201"/>
      <c r="E577" s="201"/>
      <c r="F577" s="201"/>
      <c r="G577" s="201"/>
      <c r="H577" s="201"/>
      <c r="I577" s="201"/>
      <c r="J577" s="201"/>
      <c r="K577" s="201"/>
      <c r="L577" s="201"/>
      <c r="M577" s="201"/>
      <c r="N577" s="201"/>
      <c r="O577" s="201"/>
      <c r="P577" s="201"/>
      <c r="Q577" s="201"/>
      <c r="R577" s="201"/>
      <c r="S577" s="201"/>
      <c r="T577" s="201"/>
      <c r="U577" s="201"/>
      <c r="V577" s="201"/>
      <c r="W577" s="201"/>
      <c r="X577" s="201"/>
      <c r="Y577" s="201"/>
      <c r="Z577" s="201"/>
    </row>
    <row r="578" ht="12.8" customHeight="1" spans="1:26">
      <c r="A578" s="200"/>
      <c r="B578" s="201"/>
      <c r="C578" s="201"/>
      <c r="D578" s="201"/>
      <c r="E578" s="201"/>
      <c r="F578" s="201"/>
      <c r="G578" s="201"/>
      <c r="H578" s="201"/>
      <c r="I578" s="201"/>
      <c r="J578" s="201"/>
      <c r="K578" s="201"/>
      <c r="L578" s="201"/>
      <c r="M578" s="201"/>
      <c r="N578" s="201"/>
      <c r="O578" s="201"/>
      <c r="P578" s="201"/>
      <c r="Q578" s="201"/>
      <c r="R578" s="201"/>
      <c r="S578" s="201"/>
      <c r="T578" s="201"/>
      <c r="U578" s="201"/>
      <c r="V578" s="201"/>
      <c r="W578" s="201"/>
      <c r="X578" s="201"/>
      <c r="Y578" s="201"/>
      <c r="Z578" s="201"/>
    </row>
    <row r="579" ht="12.8" customHeight="1" spans="1:26">
      <c r="A579" s="200"/>
      <c r="B579" s="201"/>
      <c r="C579" s="201"/>
      <c r="D579" s="201"/>
      <c r="E579" s="201"/>
      <c r="F579" s="201"/>
      <c r="G579" s="201"/>
      <c r="H579" s="201"/>
      <c r="I579" s="201"/>
      <c r="J579" s="201"/>
      <c r="K579" s="201"/>
      <c r="L579" s="201"/>
      <c r="M579" s="201"/>
      <c r="N579" s="201"/>
      <c r="O579" s="201"/>
      <c r="P579" s="201"/>
      <c r="Q579" s="201"/>
      <c r="R579" s="201"/>
      <c r="S579" s="201"/>
      <c r="T579" s="201"/>
      <c r="U579" s="201"/>
      <c r="V579" s="201"/>
      <c r="W579" s="201"/>
      <c r="X579" s="201"/>
      <c r="Y579" s="201"/>
      <c r="Z579" s="201"/>
    </row>
    <row r="580" ht="12.8" customHeight="1" spans="1:26">
      <c r="A580" s="200"/>
      <c r="B580" s="201"/>
      <c r="C580" s="201"/>
      <c r="D580" s="201"/>
      <c r="E580" s="201"/>
      <c r="F580" s="201"/>
      <c r="G580" s="201"/>
      <c r="H580" s="201"/>
      <c r="I580" s="201"/>
      <c r="J580" s="201"/>
      <c r="K580" s="201"/>
      <c r="L580" s="201"/>
      <c r="M580" s="201"/>
      <c r="N580" s="201"/>
      <c r="O580" s="201"/>
      <c r="P580" s="201"/>
      <c r="Q580" s="201"/>
      <c r="R580" s="201"/>
      <c r="S580" s="201"/>
      <c r="T580" s="201"/>
      <c r="U580" s="201"/>
      <c r="V580" s="201"/>
      <c r="W580" s="201"/>
      <c r="X580" s="201"/>
      <c r="Y580" s="201"/>
      <c r="Z580" s="201"/>
    </row>
    <row r="581" ht="12.8" customHeight="1" spans="1:26">
      <c r="A581" s="200"/>
      <c r="B581" s="201"/>
      <c r="C581" s="201"/>
      <c r="D581" s="201"/>
      <c r="E581" s="201"/>
      <c r="F581" s="201"/>
      <c r="G581" s="201"/>
      <c r="H581" s="201"/>
      <c r="I581" s="201"/>
      <c r="J581" s="201"/>
      <c r="K581" s="201"/>
      <c r="L581" s="201"/>
      <c r="M581" s="201"/>
      <c r="N581" s="201"/>
      <c r="O581" s="201"/>
      <c r="P581" s="201"/>
      <c r="Q581" s="201"/>
      <c r="R581" s="201"/>
      <c r="S581" s="201"/>
      <c r="T581" s="201"/>
      <c r="U581" s="201"/>
      <c r="V581" s="201"/>
      <c r="W581" s="201"/>
      <c r="X581" s="201"/>
      <c r="Y581" s="201"/>
      <c r="Z581" s="201"/>
    </row>
    <row r="582" ht="12.8" customHeight="1" spans="1:26">
      <c r="A582" s="200"/>
      <c r="B582" s="201"/>
      <c r="C582" s="201"/>
      <c r="D582" s="201"/>
      <c r="E582" s="201"/>
      <c r="F582" s="201"/>
      <c r="G582" s="201"/>
      <c r="H582" s="201"/>
      <c r="I582" s="201"/>
      <c r="J582" s="201"/>
      <c r="K582" s="201"/>
      <c r="L582" s="201"/>
      <c r="M582" s="201"/>
      <c r="N582" s="201"/>
      <c r="O582" s="201"/>
      <c r="P582" s="201"/>
      <c r="Q582" s="201"/>
      <c r="R582" s="201"/>
      <c r="S582" s="201"/>
      <c r="T582" s="201"/>
      <c r="U582" s="201"/>
      <c r="V582" s="201"/>
      <c r="W582" s="201"/>
      <c r="X582" s="201"/>
      <c r="Y582" s="201"/>
      <c r="Z582" s="201"/>
    </row>
    <row r="583" ht="12.8" customHeight="1" spans="1:26">
      <c r="A583" s="200"/>
      <c r="B583" s="201"/>
      <c r="C583" s="201"/>
      <c r="D583" s="201"/>
      <c r="E583" s="201"/>
      <c r="F583" s="201"/>
      <c r="G583" s="201"/>
      <c r="H583" s="201"/>
      <c r="I583" s="201"/>
      <c r="J583" s="201"/>
      <c r="K583" s="201"/>
      <c r="L583" s="201"/>
      <c r="M583" s="201"/>
      <c r="N583" s="201"/>
      <c r="O583" s="201"/>
      <c r="P583" s="201"/>
      <c r="Q583" s="201"/>
      <c r="R583" s="201"/>
      <c r="S583" s="201"/>
      <c r="T583" s="201"/>
      <c r="U583" s="201"/>
      <c r="V583" s="201"/>
      <c r="W583" s="201"/>
      <c r="X583" s="201"/>
      <c r="Y583" s="201"/>
      <c r="Z583" s="201"/>
    </row>
    <row r="584" ht="12.8" customHeight="1" spans="1:26">
      <c r="A584" s="200"/>
      <c r="B584" s="201"/>
      <c r="C584" s="201"/>
      <c r="D584" s="201"/>
      <c r="E584" s="201"/>
      <c r="F584" s="201"/>
      <c r="G584" s="201"/>
      <c r="H584" s="201"/>
      <c r="I584" s="201"/>
      <c r="J584" s="201"/>
      <c r="K584" s="201"/>
      <c r="L584" s="201"/>
      <c r="M584" s="201"/>
      <c r="N584" s="201"/>
      <c r="O584" s="201"/>
      <c r="P584" s="201"/>
      <c r="Q584" s="201"/>
      <c r="R584" s="201"/>
      <c r="S584" s="201"/>
      <c r="T584" s="201"/>
      <c r="U584" s="201"/>
      <c r="V584" s="201"/>
      <c r="W584" s="201"/>
      <c r="X584" s="201"/>
      <c r="Y584" s="201"/>
      <c r="Z584" s="201"/>
    </row>
    <row r="585" ht="12.8" customHeight="1" spans="1:26">
      <c r="A585" s="200"/>
      <c r="B585" s="201"/>
      <c r="C585" s="201"/>
      <c r="D585" s="201"/>
      <c r="E585" s="201"/>
      <c r="F585" s="201"/>
      <c r="G585" s="201"/>
      <c r="H585" s="201"/>
      <c r="I585" s="201"/>
      <c r="J585" s="201"/>
      <c r="K585" s="201"/>
      <c r="L585" s="201"/>
      <c r="M585" s="201"/>
      <c r="N585" s="201"/>
      <c r="O585" s="201"/>
      <c r="P585" s="201"/>
      <c r="Q585" s="201"/>
      <c r="R585" s="201"/>
      <c r="S585" s="201"/>
      <c r="T585" s="201"/>
      <c r="U585" s="201"/>
      <c r="V585" s="201"/>
      <c r="W585" s="201"/>
      <c r="X585" s="201"/>
      <c r="Y585" s="201"/>
      <c r="Z585" s="201"/>
    </row>
    <row r="586" ht="12.8" customHeight="1" spans="1:26">
      <c r="A586" s="200"/>
      <c r="B586" s="201"/>
      <c r="C586" s="201"/>
      <c r="D586" s="201"/>
      <c r="E586" s="201"/>
      <c r="F586" s="201"/>
      <c r="G586" s="201"/>
      <c r="H586" s="201"/>
      <c r="I586" s="201"/>
      <c r="J586" s="201"/>
      <c r="K586" s="201"/>
      <c r="L586" s="201"/>
      <c r="M586" s="201"/>
      <c r="N586" s="201"/>
      <c r="O586" s="201"/>
      <c r="P586" s="201"/>
      <c r="Q586" s="201"/>
      <c r="R586" s="201"/>
      <c r="S586" s="201"/>
      <c r="T586" s="201"/>
      <c r="U586" s="201"/>
      <c r="V586" s="201"/>
      <c r="W586" s="201"/>
      <c r="X586" s="201"/>
      <c r="Y586" s="201"/>
      <c r="Z586" s="201"/>
    </row>
    <row r="587" ht="12.8" customHeight="1" spans="1:26">
      <c r="A587" s="200"/>
      <c r="B587" s="201"/>
      <c r="C587" s="201"/>
      <c r="D587" s="201"/>
      <c r="E587" s="201"/>
      <c r="F587" s="201"/>
      <c r="G587" s="201"/>
      <c r="H587" s="201"/>
      <c r="I587" s="201"/>
      <c r="J587" s="201"/>
      <c r="K587" s="201"/>
      <c r="L587" s="201"/>
      <c r="M587" s="201"/>
      <c r="N587" s="201"/>
      <c r="O587" s="201"/>
      <c r="P587" s="201"/>
      <c r="Q587" s="201"/>
      <c r="R587" s="201"/>
      <c r="S587" s="201"/>
      <c r="T587" s="201"/>
      <c r="U587" s="201"/>
      <c r="V587" s="201"/>
      <c r="W587" s="201"/>
      <c r="X587" s="201"/>
      <c r="Y587" s="201"/>
      <c r="Z587" s="201"/>
    </row>
    <row r="588" ht="12.8" customHeight="1" spans="1:26">
      <c r="A588" s="200"/>
      <c r="B588" s="201"/>
      <c r="C588" s="201"/>
      <c r="D588" s="201"/>
      <c r="E588" s="201"/>
      <c r="F588" s="201"/>
      <c r="G588" s="201"/>
      <c r="H588" s="201"/>
      <c r="I588" s="201"/>
      <c r="J588" s="201"/>
      <c r="K588" s="201"/>
      <c r="L588" s="201"/>
      <c r="M588" s="201"/>
      <c r="N588" s="201"/>
      <c r="O588" s="201"/>
      <c r="P588" s="201"/>
      <c r="Q588" s="201"/>
      <c r="R588" s="201"/>
      <c r="S588" s="201"/>
      <c r="T588" s="201"/>
      <c r="U588" s="201"/>
      <c r="V588" s="201"/>
      <c r="W588" s="201"/>
      <c r="X588" s="201"/>
      <c r="Y588" s="201"/>
      <c r="Z588" s="201"/>
    </row>
    <row r="589" ht="12.8" customHeight="1" spans="1:26">
      <c r="A589" s="200"/>
      <c r="B589" s="201"/>
      <c r="C589" s="201"/>
      <c r="D589" s="201"/>
      <c r="E589" s="201"/>
      <c r="F589" s="201"/>
      <c r="G589" s="201"/>
      <c r="H589" s="201"/>
      <c r="I589" s="201"/>
      <c r="J589" s="201"/>
      <c r="K589" s="201"/>
      <c r="L589" s="201"/>
      <c r="M589" s="201"/>
      <c r="N589" s="201"/>
      <c r="O589" s="201"/>
      <c r="P589" s="201"/>
      <c r="Q589" s="201"/>
      <c r="R589" s="201"/>
      <c r="S589" s="201"/>
      <c r="T589" s="201"/>
      <c r="U589" s="201"/>
      <c r="V589" s="201"/>
      <c r="W589" s="201"/>
      <c r="X589" s="201"/>
      <c r="Y589" s="201"/>
      <c r="Z589" s="201"/>
    </row>
    <row r="590" ht="12.8" customHeight="1" spans="1:26">
      <c r="A590" s="200"/>
      <c r="B590" s="201"/>
      <c r="C590" s="201"/>
      <c r="D590" s="201"/>
      <c r="E590" s="201"/>
      <c r="F590" s="201"/>
      <c r="G590" s="201"/>
      <c r="H590" s="201"/>
      <c r="I590" s="201"/>
      <c r="J590" s="201"/>
      <c r="K590" s="201"/>
      <c r="L590" s="201"/>
      <c r="M590" s="201"/>
      <c r="N590" s="201"/>
      <c r="O590" s="201"/>
      <c r="P590" s="201"/>
      <c r="Q590" s="201"/>
      <c r="R590" s="201"/>
      <c r="S590" s="201"/>
      <c r="T590" s="201"/>
      <c r="U590" s="201"/>
      <c r="V590" s="201"/>
      <c r="W590" s="201"/>
      <c r="X590" s="201"/>
      <c r="Y590" s="201"/>
      <c r="Z590" s="201"/>
    </row>
    <row r="591" ht="12.8" customHeight="1" spans="1:26">
      <c r="A591" s="200"/>
      <c r="B591" s="201"/>
      <c r="C591" s="201"/>
      <c r="D591" s="201"/>
      <c r="E591" s="201"/>
      <c r="F591" s="201"/>
      <c r="G591" s="201"/>
      <c r="H591" s="201"/>
      <c r="I591" s="201"/>
      <c r="J591" s="201"/>
      <c r="K591" s="201"/>
      <c r="L591" s="201"/>
      <c r="M591" s="201"/>
      <c r="N591" s="201"/>
      <c r="O591" s="201"/>
      <c r="P591" s="201"/>
      <c r="Q591" s="201"/>
      <c r="R591" s="201"/>
      <c r="S591" s="201"/>
      <c r="T591" s="201"/>
      <c r="U591" s="201"/>
      <c r="V591" s="201"/>
      <c r="W591" s="201"/>
      <c r="X591" s="201"/>
      <c r="Y591" s="201"/>
      <c r="Z591" s="201"/>
    </row>
    <row r="592" ht="12.8" customHeight="1" spans="1:26">
      <c r="A592" s="200"/>
      <c r="B592" s="201"/>
      <c r="C592" s="201"/>
      <c r="D592" s="201"/>
      <c r="E592" s="201"/>
      <c r="F592" s="201"/>
      <c r="G592" s="201"/>
      <c r="H592" s="201"/>
      <c r="I592" s="201"/>
      <c r="J592" s="201"/>
      <c r="K592" s="201"/>
      <c r="L592" s="201"/>
      <c r="M592" s="201"/>
      <c r="N592" s="201"/>
      <c r="O592" s="201"/>
      <c r="P592" s="201"/>
      <c r="Q592" s="201"/>
      <c r="R592" s="201"/>
      <c r="S592" s="201"/>
      <c r="T592" s="201"/>
      <c r="U592" s="201"/>
      <c r="V592" s="201"/>
      <c r="W592" s="201"/>
      <c r="X592" s="201"/>
      <c r="Y592" s="201"/>
      <c r="Z592" s="201"/>
    </row>
    <row r="593" ht="12.8" customHeight="1" spans="1:26">
      <c r="A593" s="200"/>
      <c r="B593" s="201"/>
      <c r="C593" s="201"/>
      <c r="D593" s="201"/>
      <c r="E593" s="201"/>
      <c r="F593" s="201"/>
      <c r="G593" s="201"/>
      <c r="H593" s="201"/>
      <c r="I593" s="201"/>
      <c r="J593" s="201"/>
      <c r="K593" s="201"/>
      <c r="L593" s="201"/>
      <c r="M593" s="201"/>
      <c r="N593" s="201"/>
      <c r="O593" s="201"/>
      <c r="P593" s="201"/>
      <c r="Q593" s="201"/>
      <c r="R593" s="201"/>
      <c r="S593" s="201"/>
      <c r="T593" s="201"/>
      <c r="U593" s="201"/>
      <c r="V593" s="201"/>
      <c r="W593" s="201"/>
      <c r="X593" s="201"/>
      <c r="Y593" s="201"/>
      <c r="Z593" s="201"/>
    </row>
    <row r="594" ht="12.8" customHeight="1" spans="1:26">
      <c r="A594" s="200"/>
      <c r="B594" s="201"/>
      <c r="C594" s="201"/>
      <c r="D594" s="201"/>
      <c r="E594" s="201"/>
      <c r="F594" s="201"/>
      <c r="G594" s="201"/>
      <c r="H594" s="201"/>
      <c r="I594" s="201"/>
      <c r="J594" s="201"/>
      <c r="K594" s="201"/>
      <c r="L594" s="201"/>
      <c r="M594" s="201"/>
      <c r="N594" s="201"/>
      <c r="O594" s="201"/>
      <c r="P594" s="201"/>
      <c r="Q594" s="201"/>
      <c r="R594" s="201"/>
      <c r="S594" s="201"/>
      <c r="T594" s="201"/>
      <c r="U594" s="201"/>
      <c r="V594" s="201"/>
      <c r="W594" s="201"/>
      <c r="X594" s="201"/>
      <c r="Y594" s="201"/>
      <c r="Z594" s="201"/>
    </row>
    <row r="595" ht="12.8" customHeight="1" spans="1:26">
      <c r="A595" s="200"/>
      <c r="B595" s="201"/>
      <c r="C595" s="201"/>
      <c r="D595" s="201"/>
      <c r="E595" s="201"/>
      <c r="F595" s="201"/>
      <c r="G595" s="201"/>
      <c r="H595" s="201"/>
      <c r="I595" s="201"/>
      <c r="J595" s="201"/>
      <c r="K595" s="201"/>
      <c r="L595" s="201"/>
      <c r="M595" s="201"/>
      <c r="N595" s="201"/>
      <c r="O595" s="201"/>
      <c r="P595" s="201"/>
      <c r="Q595" s="201"/>
      <c r="R595" s="201"/>
      <c r="S595" s="201"/>
      <c r="T595" s="201"/>
      <c r="U595" s="201"/>
      <c r="V595" s="201"/>
      <c r="W595" s="201"/>
      <c r="X595" s="201"/>
      <c r="Y595" s="201"/>
      <c r="Z595" s="201"/>
    </row>
    <row r="596" ht="12.8" customHeight="1" spans="1:26">
      <c r="A596" s="200"/>
      <c r="B596" s="201"/>
      <c r="C596" s="201"/>
      <c r="D596" s="201"/>
      <c r="E596" s="201"/>
      <c r="F596" s="201"/>
      <c r="G596" s="201"/>
      <c r="H596" s="201"/>
      <c r="I596" s="201"/>
      <c r="J596" s="201"/>
      <c r="K596" s="201"/>
      <c r="L596" s="201"/>
      <c r="M596" s="201"/>
      <c r="N596" s="201"/>
      <c r="O596" s="201"/>
      <c r="P596" s="201"/>
      <c r="Q596" s="201"/>
      <c r="R596" s="201"/>
      <c r="S596" s="201"/>
      <c r="T596" s="201"/>
      <c r="U596" s="201"/>
      <c r="V596" s="201"/>
      <c r="W596" s="201"/>
      <c r="X596" s="201"/>
      <c r="Y596" s="201"/>
      <c r="Z596" s="201"/>
    </row>
    <row r="597" ht="12.8" customHeight="1" spans="1:26">
      <c r="A597" s="200"/>
      <c r="B597" s="201"/>
      <c r="C597" s="201"/>
      <c r="D597" s="201"/>
      <c r="E597" s="201"/>
      <c r="F597" s="201"/>
      <c r="G597" s="201"/>
      <c r="H597" s="201"/>
      <c r="I597" s="201"/>
      <c r="J597" s="201"/>
      <c r="K597" s="201"/>
      <c r="L597" s="201"/>
      <c r="M597" s="201"/>
      <c r="N597" s="201"/>
      <c r="O597" s="201"/>
      <c r="P597" s="201"/>
      <c r="Q597" s="201"/>
      <c r="R597" s="201"/>
      <c r="S597" s="201"/>
      <c r="T597" s="201"/>
      <c r="U597" s="201"/>
      <c r="V597" s="201"/>
      <c r="W597" s="201"/>
      <c r="X597" s="201"/>
      <c r="Y597" s="201"/>
      <c r="Z597" s="201"/>
    </row>
    <row r="598" ht="12.8" customHeight="1" spans="1:26">
      <c r="A598" s="200"/>
      <c r="B598" s="201"/>
      <c r="C598" s="201"/>
      <c r="D598" s="201"/>
      <c r="E598" s="201"/>
      <c r="F598" s="201"/>
      <c r="G598" s="201"/>
      <c r="H598" s="201"/>
      <c r="I598" s="201"/>
      <c r="J598" s="201"/>
      <c r="K598" s="201"/>
      <c r="L598" s="201"/>
      <c r="M598" s="201"/>
      <c r="N598" s="201"/>
      <c r="O598" s="201"/>
      <c r="P598" s="201"/>
      <c r="Q598" s="201"/>
      <c r="R598" s="201"/>
      <c r="S598" s="201"/>
      <c r="T598" s="201"/>
      <c r="U598" s="201"/>
      <c r="V598" s="201"/>
      <c r="W598" s="201"/>
      <c r="X598" s="201"/>
      <c r="Y598" s="201"/>
      <c r="Z598" s="201"/>
    </row>
    <row r="599" ht="12.8" customHeight="1" spans="1:26">
      <c r="A599" s="200"/>
      <c r="B599" s="201"/>
      <c r="C599" s="201"/>
      <c r="D599" s="201"/>
      <c r="E599" s="201"/>
      <c r="F599" s="201"/>
      <c r="G599" s="201"/>
      <c r="H599" s="201"/>
      <c r="I599" s="201"/>
      <c r="J599" s="201"/>
      <c r="K599" s="201"/>
      <c r="L599" s="201"/>
      <c r="M599" s="201"/>
      <c r="N599" s="201"/>
      <c r="O599" s="201"/>
      <c r="P599" s="201"/>
      <c r="Q599" s="201"/>
      <c r="R599" s="201"/>
      <c r="S599" s="201"/>
      <c r="T599" s="201"/>
      <c r="U599" s="201"/>
      <c r="V599" s="201"/>
      <c r="W599" s="201"/>
      <c r="X599" s="201"/>
      <c r="Y599" s="201"/>
      <c r="Z599" s="201"/>
    </row>
    <row r="600" ht="12.8" customHeight="1" spans="1:26">
      <c r="A600" s="200"/>
      <c r="B600" s="201"/>
      <c r="C600" s="201"/>
      <c r="D600" s="201"/>
      <c r="E600" s="201"/>
      <c r="F600" s="201"/>
      <c r="G600" s="201"/>
      <c r="H600" s="201"/>
      <c r="I600" s="201"/>
      <c r="J600" s="201"/>
      <c r="K600" s="201"/>
      <c r="L600" s="201"/>
      <c r="M600" s="201"/>
      <c r="N600" s="201"/>
      <c r="O600" s="201"/>
      <c r="P600" s="201"/>
      <c r="Q600" s="201"/>
      <c r="R600" s="201"/>
      <c r="S600" s="201"/>
      <c r="T600" s="201"/>
      <c r="U600" s="201"/>
      <c r="V600" s="201"/>
      <c r="W600" s="201"/>
      <c r="X600" s="201"/>
      <c r="Y600" s="201"/>
      <c r="Z600" s="201"/>
    </row>
    <row r="601" ht="12.8" customHeight="1" spans="1:26">
      <c r="A601" s="200"/>
      <c r="B601" s="201"/>
      <c r="C601" s="201"/>
      <c r="D601" s="201"/>
      <c r="E601" s="201"/>
      <c r="F601" s="201"/>
      <c r="G601" s="201"/>
      <c r="H601" s="201"/>
      <c r="I601" s="201"/>
      <c r="J601" s="201"/>
      <c r="K601" s="201"/>
      <c r="L601" s="201"/>
      <c r="M601" s="201"/>
      <c r="N601" s="201"/>
      <c r="O601" s="201"/>
      <c r="P601" s="201"/>
      <c r="Q601" s="201"/>
      <c r="R601" s="201"/>
      <c r="S601" s="201"/>
      <c r="T601" s="201"/>
      <c r="U601" s="201"/>
      <c r="V601" s="201"/>
      <c r="W601" s="201"/>
      <c r="X601" s="201"/>
      <c r="Y601" s="201"/>
      <c r="Z601" s="201"/>
    </row>
    <row r="602" ht="12.8" customHeight="1" spans="1:26">
      <c r="A602" s="200"/>
      <c r="B602" s="201"/>
      <c r="C602" s="201"/>
      <c r="D602" s="201"/>
      <c r="E602" s="201"/>
      <c r="F602" s="201"/>
      <c r="G602" s="201"/>
      <c r="H602" s="201"/>
      <c r="I602" s="201"/>
      <c r="J602" s="201"/>
      <c r="K602" s="201"/>
      <c r="L602" s="201"/>
      <c r="M602" s="201"/>
      <c r="N602" s="201"/>
      <c r="O602" s="201"/>
      <c r="P602" s="201"/>
      <c r="Q602" s="201"/>
      <c r="R602" s="201"/>
      <c r="S602" s="201"/>
      <c r="T602" s="201"/>
      <c r="U602" s="201"/>
      <c r="V602" s="201"/>
      <c r="W602" s="201"/>
      <c r="X602" s="201"/>
      <c r="Y602" s="201"/>
      <c r="Z602" s="201"/>
    </row>
    <row r="603" ht="12.8" customHeight="1" spans="1:26">
      <c r="A603" s="200"/>
      <c r="B603" s="201"/>
      <c r="C603" s="201"/>
      <c r="D603" s="201"/>
      <c r="E603" s="201"/>
      <c r="F603" s="201"/>
      <c r="G603" s="201"/>
      <c r="H603" s="201"/>
      <c r="I603" s="201"/>
      <c r="J603" s="201"/>
      <c r="K603" s="201"/>
      <c r="L603" s="201"/>
      <c r="M603" s="201"/>
      <c r="N603" s="201"/>
      <c r="O603" s="201"/>
      <c r="P603" s="201"/>
      <c r="Q603" s="201"/>
      <c r="R603" s="201"/>
      <c r="S603" s="201"/>
      <c r="T603" s="201"/>
      <c r="U603" s="201"/>
      <c r="V603" s="201"/>
      <c r="W603" s="201"/>
      <c r="X603" s="201"/>
      <c r="Y603" s="201"/>
      <c r="Z603" s="201"/>
    </row>
    <row r="604" ht="12.8" customHeight="1" spans="1:26">
      <c r="A604" s="200"/>
      <c r="B604" s="201"/>
      <c r="C604" s="201"/>
      <c r="D604" s="201"/>
      <c r="E604" s="201"/>
      <c r="F604" s="201"/>
      <c r="G604" s="201"/>
      <c r="H604" s="201"/>
      <c r="I604" s="201"/>
      <c r="J604" s="201"/>
      <c r="K604" s="201"/>
      <c r="L604" s="201"/>
      <c r="M604" s="201"/>
      <c r="N604" s="201"/>
      <c r="O604" s="201"/>
      <c r="P604" s="201"/>
      <c r="Q604" s="201"/>
      <c r="R604" s="201"/>
      <c r="S604" s="201"/>
      <c r="T604" s="201"/>
      <c r="U604" s="201"/>
      <c r="V604" s="201"/>
      <c r="W604" s="201"/>
      <c r="X604" s="201"/>
      <c r="Y604" s="201"/>
      <c r="Z604" s="201"/>
    </row>
    <row r="605" ht="12.8" customHeight="1" spans="1:26">
      <c r="A605" s="200"/>
      <c r="B605" s="201"/>
      <c r="C605" s="201"/>
      <c r="D605" s="201"/>
      <c r="E605" s="201"/>
      <c r="F605" s="201"/>
      <c r="G605" s="201"/>
      <c r="H605" s="201"/>
      <c r="I605" s="201"/>
      <c r="J605" s="201"/>
      <c r="K605" s="201"/>
      <c r="L605" s="201"/>
      <c r="M605" s="201"/>
      <c r="N605" s="201"/>
      <c r="O605" s="201"/>
      <c r="P605" s="201"/>
      <c r="Q605" s="201"/>
      <c r="R605" s="201"/>
      <c r="S605" s="201"/>
      <c r="T605" s="201"/>
      <c r="U605" s="201"/>
      <c r="V605" s="201"/>
      <c r="W605" s="201"/>
      <c r="X605" s="201"/>
      <c r="Y605" s="201"/>
      <c r="Z605" s="201"/>
    </row>
    <row r="606" ht="12.8" customHeight="1" spans="1:26">
      <c r="A606" s="200"/>
      <c r="B606" s="201"/>
      <c r="C606" s="201"/>
      <c r="D606" s="201"/>
      <c r="E606" s="201"/>
      <c r="F606" s="201"/>
      <c r="G606" s="201"/>
      <c r="H606" s="201"/>
      <c r="I606" s="201"/>
      <c r="J606" s="201"/>
      <c r="K606" s="201"/>
      <c r="L606" s="201"/>
      <c r="M606" s="201"/>
      <c r="N606" s="201"/>
      <c r="O606" s="201"/>
      <c r="P606" s="201"/>
      <c r="Q606" s="201"/>
      <c r="R606" s="201"/>
      <c r="S606" s="201"/>
      <c r="T606" s="201"/>
      <c r="U606" s="201"/>
      <c r="V606" s="201"/>
      <c r="W606" s="201"/>
      <c r="X606" s="201"/>
      <c r="Y606" s="201"/>
      <c r="Z606" s="201"/>
    </row>
    <row r="607" ht="12.8" customHeight="1" spans="1:26">
      <c r="A607" s="200"/>
      <c r="B607" s="201"/>
      <c r="C607" s="201"/>
      <c r="D607" s="201"/>
      <c r="E607" s="201"/>
      <c r="F607" s="201"/>
      <c r="G607" s="201"/>
      <c r="H607" s="201"/>
      <c r="I607" s="201"/>
      <c r="J607" s="201"/>
      <c r="K607" s="201"/>
      <c r="L607" s="201"/>
      <c r="M607" s="201"/>
      <c r="N607" s="201"/>
      <c r="O607" s="201"/>
      <c r="P607" s="201"/>
      <c r="Q607" s="201"/>
      <c r="R607" s="201"/>
      <c r="S607" s="201"/>
      <c r="T607" s="201"/>
      <c r="U607" s="201"/>
      <c r="V607" s="201"/>
      <c r="W607" s="201"/>
      <c r="X607" s="201"/>
      <c r="Y607" s="201"/>
      <c r="Z607" s="201"/>
    </row>
    <row r="608" ht="12.8" customHeight="1" spans="1:26">
      <c r="A608" s="200"/>
      <c r="B608" s="201"/>
      <c r="C608" s="201"/>
      <c r="D608" s="201"/>
      <c r="E608" s="201"/>
      <c r="F608" s="201"/>
      <c r="G608" s="201"/>
      <c r="H608" s="201"/>
      <c r="I608" s="201"/>
      <c r="J608" s="201"/>
      <c r="K608" s="201"/>
      <c r="L608" s="201"/>
      <c r="M608" s="201"/>
      <c r="N608" s="201"/>
      <c r="O608" s="201"/>
      <c r="P608" s="201"/>
      <c r="Q608" s="201"/>
      <c r="R608" s="201"/>
      <c r="S608" s="201"/>
      <c r="T608" s="201"/>
      <c r="U608" s="201"/>
      <c r="V608" s="201"/>
      <c r="W608" s="201"/>
      <c r="X608" s="201"/>
      <c r="Y608" s="201"/>
      <c r="Z608" s="201"/>
    </row>
    <row r="609" ht="12.8" customHeight="1" spans="1:26">
      <c r="A609" s="200"/>
      <c r="B609" s="201"/>
      <c r="C609" s="201"/>
      <c r="D609" s="201"/>
      <c r="E609" s="201"/>
      <c r="F609" s="201"/>
      <c r="G609" s="201"/>
      <c r="H609" s="201"/>
      <c r="I609" s="201"/>
      <c r="J609" s="201"/>
      <c r="K609" s="201"/>
      <c r="L609" s="201"/>
      <c r="M609" s="201"/>
      <c r="N609" s="201"/>
      <c r="O609" s="201"/>
      <c r="P609" s="201"/>
      <c r="Q609" s="201"/>
      <c r="R609" s="201"/>
      <c r="S609" s="201"/>
      <c r="T609" s="201"/>
      <c r="U609" s="201"/>
      <c r="V609" s="201"/>
      <c r="W609" s="201"/>
      <c r="X609" s="201"/>
      <c r="Y609" s="201"/>
      <c r="Z609" s="201"/>
    </row>
    <row r="610" ht="12.8" customHeight="1" spans="1:26">
      <c r="A610" s="200"/>
      <c r="B610" s="201"/>
      <c r="C610" s="201"/>
      <c r="D610" s="201"/>
      <c r="E610" s="201"/>
      <c r="F610" s="201"/>
      <c r="G610" s="201"/>
      <c r="H610" s="201"/>
      <c r="I610" s="201"/>
      <c r="J610" s="201"/>
      <c r="K610" s="201"/>
      <c r="L610" s="201"/>
      <c r="M610" s="201"/>
      <c r="N610" s="201"/>
      <c r="O610" s="201"/>
      <c r="P610" s="201"/>
      <c r="Q610" s="201"/>
      <c r="R610" s="201"/>
      <c r="S610" s="201"/>
      <c r="T610" s="201"/>
      <c r="U610" s="201"/>
      <c r="V610" s="201"/>
      <c r="W610" s="201"/>
      <c r="X610" s="201"/>
      <c r="Y610" s="201"/>
      <c r="Z610" s="201"/>
    </row>
    <row r="611" ht="12.8" customHeight="1" spans="1:26">
      <c r="A611" s="200"/>
      <c r="B611" s="201"/>
      <c r="C611" s="201"/>
      <c r="D611" s="201"/>
      <c r="E611" s="201"/>
      <c r="F611" s="201"/>
      <c r="G611" s="201"/>
      <c r="H611" s="201"/>
      <c r="I611" s="201"/>
      <c r="J611" s="201"/>
      <c r="K611" s="201"/>
      <c r="L611" s="201"/>
      <c r="M611" s="201"/>
      <c r="N611" s="201"/>
      <c r="O611" s="201"/>
      <c r="P611" s="201"/>
      <c r="Q611" s="201"/>
      <c r="R611" s="201"/>
      <c r="S611" s="201"/>
      <c r="T611" s="201"/>
      <c r="U611" s="201"/>
      <c r="V611" s="201"/>
      <c r="W611" s="201"/>
      <c r="X611" s="201"/>
      <c r="Y611" s="201"/>
      <c r="Z611" s="201"/>
    </row>
    <row r="612" ht="12.8" customHeight="1" spans="1:26">
      <c r="A612" s="200"/>
      <c r="B612" s="201"/>
      <c r="C612" s="201"/>
      <c r="D612" s="201"/>
      <c r="E612" s="201"/>
      <c r="F612" s="201"/>
      <c r="G612" s="201"/>
      <c r="H612" s="201"/>
      <c r="I612" s="201"/>
      <c r="J612" s="201"/>
      <c r="K612" s="201"/>
      <c r="L612" s="201"/>
      <c r="M612" s="201"/>
      <c r="N612" s="201"/>
      <c r="O612" s="201"/>
      <c r="P612" s="201"/>
      <c r="Q612" s="201"/>
      <c r="R612" s="201"/>
      <c r="S612" s="201"/>
      <c r="T612" s="201"/>
      <c r="U612" s="201"/>
      <c r="V612" s="201"/>
      <c r="W612" s="201"/>
      <c r="X612" s="201"/>
      <c r="Y612" s="201"/>
      <c r="Z612" s="201"/>
    </row>
    <row r="613" ht="12.8" customHeight="1" spans="1:26">
      <c r="A613" s="200"/>
      <c r="B613" s="201"/>
      <c r="C613" s="201"/>
      <c r="D613" s="201"/>
      <c r="E613" s="201"/>
      <c r="F613" s="201"/>
      <c r="G613" s="201"/>
      <c r="H613" s="201"/>
      <c r="I613" s="201"/>
      <c r="J613" s="201"/>
      <c r="K613" s="201"/>
      <c r="L613" s="201"/>
      <c r="M613" s="201"/>
      <c r="N613" s="201"/>
      <c r="O613" s="201"/>
      <c r="P613" s="201"/>
      <c r="Q613" s="201"/>
      <c r="R613" s="201"/>
      <c r="S613" s="201"/>
      <c r="T613" s="201"/>
      <c r="U613" s="201"/>
      <c r="V613" s="201"/>
      <c r="W613" s="201"/>
      <c r="X613" s="201"/>
      <c r="Y613" s="201"/>
      <c r="Z613" s="201"/>
    </row>
    <row r="614" ht="12.8" customHeight="1" spans="1:26">
      <c r="A614" s="200"/>
      <c r="B614" s="201"/>
      <c r="C614" s="201"/>
      <c r="D614" s="201"/>
      <c r="E614" s="201"/>
      <c r="F614" s="201"/>
      <c r="G614" s="201"/>
      <c r="H614" s="201"/>
      <c r="I614" s="201"/>
      <c r="J614" s="201"/>
      <c r="K614" s="201"/>
      <c r="L614" s="201"/>
      <c r="M614" s="201"/>
      <c r="N614" s="201"/>
      <c r="O614" s="201"/>
      <c r="P614" s="201"/>
      <c r="Q614" s="201"/>
      <c r="R614" s="201"/>
      <c r="S614" s="201"/>
      <c r="T614" s="201"/>
      <c r="U614" s="201"/>
      <c r="V614" s="201"/>
      <c r="W614" s="201"/>
      <c r="X614" s="201"/>
      <c r="Y614" s="201"/>
      <c r="Z614" s="201"/>
    </row>
    <row r="615" ht="12.8" customHeight="1" spans="1:26">
      <c r="A615" s="200"/>
      <c r="B615" s="201"/>
      <c r="C615" s="201"/>
      <c r="D615" s="201"/>
      <c r="E615" s="201"/>
      <c r="F615" s="201"/>
      <c r="G615" s="201"/>
      <c r="H615" s="201"/>
      <c r="I615" s="201"/>
      <c r="J615" s="201"/>
      <c r="K615" s="201"/>
      <c r="L615" s="201"/>
      <c r="M615" s="201"/>
      <c r="N615" s="201"/>
      <c r="O615" s="201"/>
      <c r="P615" s="201"/>
      <c r="Q615" s="201"/>
      <c r="R615" s="201"/>
      <c r="S615" s="201"/>
      <c r="T615" s="201"/>
      <c r="U615" s="201"/>
      <c r="V615" s="201"/>
      <c r="W615" s="201"/>
      <c r="X615" s="201"/>
      <c r="Y615" s="201"/>
      <c r="Z615" s="201"/>
    </row>
    <row r="616" ht="12.8" customHeight="1" spans="1:26">
      <c r="A616" s="200"/>
      <c r="B616" s="201"/>
      <c r="C616" s="201"/>
      <c r="D616" s="201"/>
      <c r="E616" s="201"/>
      <c r="F616" s="201"/>
      <c r="G616" s="201"/>
      <c r="H616" s="201"/>
      <c r="I616" s="201"/>
      <c r="J616" s="201"/>
      <c r="K616" s="201"/>
      <c r="L616" s="201"/>
      <c r="M616" s="201"/>
      <c r="N616" s="201"/>
      <c r="O616" s="201"/>
      <c r="P616" s="201"/>
      <c r="Q616" s="201"/>
      <c r="R616" s="201"/>
      <c r="S616" s="201"/>
      <c r="T616" s="201"/>
      <c r="U616" s="201"/>
      <c r="V616" s="201"/>
      <c r="W616" s="201"/>
      <c r="X616" s="201"/>
      <c r="Y616" s="201"/>
      <c r="Z616" s="201"/>
    </row>
    <row r="617" ht="12.8" customHeight="1" spans="1:26">
      <c r="A617" s="200"/>
      <c r="B617" s="201"/>
      <c r="C617" s="201"/>
      <c r="D617" s="201"/>
      <c r="E617" s="201"/>
      <c r="F617" s="201"/>
      <c r="G617" s="201"/>
      <c r="H617" s="201"/>
      <c r="I617" s="201"/>
      <c r="J617" s="201"/>
      <c r="K617" s="201"/>
      <c r="L617" s="201"/>
      <c r="M617" s="201"/>
      <c r="N617" s="201"/>
      <c r="O617" s="201"/>
      <c r="P617" s="201"/>
      <c r="Q617" s="201"/>
      <c r="R617" s="201"/>
      <c r="S617" s="201"/>
      <c r="T617" s="201"/>
      <c r="U617" s="201"/>
      <c r="V617" s="201"/>
      <c r="W617" s="201"/>
      <c r="X617" s="201"/>
      <c r="Y617" s="201"/>
      <c r="Z617" s="201"/>
    </row>
    <row r="618" ht="12.8" customHeight="1" spans="1:26">
      <c r="A618" s="200"/>
      <c r="B618" s="201"/>
      <c r="C618" s="201"/>
      <c r="D618" s="201"/>
      <c r="E618" s="201"/>
      <c r="F618" s="201"/>
      <c r="G618" s="201"/>
      <c r="H618" s="201"/>
      <c r="I618" s="201"/>
      <c r="J618" s="201"/>
      <c r="K618" s="201"/>
      <c r="L618" s="201"/>
      <c r="M618" s="201"/>
      <c r="N618" s="201"/>
      <c r="O618" s="201"/>
      <c r="P618" s="201"/>
      <c r="Q618" s="201"/>
      <c r="R618" s="201"/>
      <c r="S618" s="201"/>
      <c r="T618" s="201"/>
      <c r="U618" s="201"/>
      <c r="V618" s="201"/>
      <c r="W618" s="201"/>
      <c r="X618" s="201"/>
      <c r="Y618" s="201"/>
      <c r="Z618" s="201"/>
    </row>
    <row r="619" ht="12.8" customHeight="1" spans="1:26">
      <c r="A619" s="200"/>
      <c r="B619" s="201"/>
      <c r="C619" s="201"/>
      <c r="D619" s="201"/>
      <c r="E619" s="201"/>
      <c r="F619" s="201"/>
      <c r="G619" s="201"/>
      <c r="H619" s="201"/>
      <c r="I619" s="201"/>
      <c r="J619" s="201"/>
      <c r="K619" s="201"/>
      <c r="L619" s="201"/>
      <c r="M619" s="201"/>
      <c r="N619" s="201"/>
      <c r="O619" s="201"/>
      <c r="P619" s="201"/>
      <c r="Q619" s="201"/>
      <c r="R619" s="201"/>
      <c r="S619" s="201"/>
      <c r="T619" s="201"/>
      <c r="U619" s="201"/>
      <c r="V619" s="201"/>
      <c r="W619" s="201"/>
      <c r="X619" s="201"/>
      <c r="Y619" s="201"/>
      <c r="Z619" s="201"/>
    </row>
    <row r="620" ht="12.8" customHeight="1" spans="1:26">
      <c r="A620" s="200"/>
      <c r="B620" s="201"/>
      <c r="C620" s="201"/>
      <c r="D620" s="201"/>
      <c r="E620" s="201"/>
      <c r="F620" s="201"/>
      <c r="G620" s="201"/>
      <c r="H620" s="201"/>
      <c r="I620" s="201"/>
      <c r="J620" s="201"/>
      <c r="K620" s="201"/>
      <c r="L620" s="201"/>
      <c r="M620" s="201"/>
      <c r="N620" s="201"/>
      <c r="O620" s="201"/>
      <c r="P620" s="201"/>
      <c r="Q620" s="201"/>
      <c r="R620" s="201"/>
      <c r="S620" s="201"/>
      <c r="T620" s="201"/>
      <c r="U620" s="201"/>
      <c r="V620" s="201"/>
      <c r="W620" s="201"/>
      <c r="X620" s="201"/>
      <c r="Y620" s="201"/>
      <c r="Z620" s="201"/>
    </row>
    <row r="621" ht="12.8" customHeight="1" spans="1:26">
      <c r="A621" s="200"/>
      <c r="B621" s="201"/>
      <c r="C621" s="201"/>
      <c r="D621" s="201"/>
      <c r="E621" s="201"/>
      <c r="F621" s="201"/>
      <c r="G621" s="201"/>
      <c r="H621" s="201"/>
      <c r="I621" s="201"/>
      <c r="J621" s="201"/>
      <c r="K621" s="201"/>
      <c r="L621" s="201"/>
      <c r="M621" s="201"/>
      <c r="N621" s="201"/>
      <c r="O621" s="201"/>
      <c r="P621" s="201"/>
      <c r="Q621" s="201"/>
      <c r="R621" s="201"/>
      <c r="S621" s="201"/>
      <c r="T621" s="201"/>
      <c r="U621" s="201"/>
      <c r="V621" s="201"/>
      <c r="W621" s="201"/>
      <c r="X621" s="201"/>
      <c r="Y621" s="201"/>
      <c r="Z621" s="201"/>
    </row>
    <row r="622" ht="12.8" customHeight="1" spans="1:26">
      <c r="A622" s="200"/>
      <c r="B622" s="201"/>
      <c r="C622" s="201"/>
      <c r="D622" s="201"/>
      <c r="E622" s="201"/>
      <c r="F622" s="201"/>
      <c r="G622" s="201"/>
      <c r="H622" s="201"/>
      <c r="I622" s="201"/>
      <c r="J622" s="201"/>
      <c r="K622" s="201"/>
      <c r="L622" s="201"/>
      <c r="M622" s="201"/>
      <c r="N622" s="201"/>
      <c r="O622" s="201"/>
      <c r="P622" s="201"/>
      <c r="Q622" s="201"/>
      <c r="R622" s="201"/>
      <c r="S622" s="201"/>
      <c r="T622" s="201"/>
      <c r="U622" s="201"/>
      <c r="V622" s="201"/>
      <c r="W622" s="201"/>
      <c r="X622" s="201"/>
      <c r="Y622" s="201"/>
      <c r="Z622" s="201"/>
    </row>
    <row r="623" ht="12.8" customHeight="1" spans="1:26">
      <c r="A623" s="200"/>
      <c r="B623" s="201"/>
      <c r="C623" s="201"/>
      <c r="D623" s="201"/>
      <c r="E623" s="201"/>
      <c r="F623" s="201"/>
      <c r="G623" s="201"/>
      <c r="H623" s="201"/>
      <c r="I623" s="201"/>
      <c r="J623" s="201"/>
      <c r="K623" s="201"/>
      <c r="L623" s="201"/>
      <c r="M623" s="201"/>
      <c r="N623" s="201"/>
      <c r="O623" s="201"/>
      <c r="P623" s="201"/>
      <c r="Q623" s="201"/>
      <c r="R623" s="201"/>
      <c r="S623" s="201"/>
      <c r="T623" s="201"/>
      <c r="U623" s="201"/>
      <c r="V623" s="201"/>
      <c r="W623" s="201"/>
      <c r="X623" s="201"/>
      <c r="Y623" s="201"/>
      <c r="Z623" s="201"/>
    </row>
    <row r="624" ht="12.8" customHeight="1" spans="1:26">
      <c r="A624" s="200"/>
      <c r="B624" s="201"/>
      <c r="C624" s="201"/>
      <c r="D624" s="201"/>
      <c r="E624" s="201"/>
      <c r="F624" s="201"/>
      <c r="G624" s="201"/>
      <c r="H624" s="201"/>
      <c r="I624" s="201"/>
      <c r="J624" s="201"/>
      <c r="K624" s="201"/>
      <c r="L624" s="201"/>
      <c r="M624" s="201"/>
      <c r="N624" s="201"/>
      <c r="O624" s="201"/>
      <c r="P624" s="201"/>
      <c r="Q624" s="201"/>
      <c r="R624" s="201"/>
      <c r="S624" s="201"/>
      <c r="T624" s="201"/>
      <c r="U624" s="201"/>
      <c r="V624" s="201"/>
      <c r="W624" s="201"/>
      <c r="X624" s="201"/>
      <c r="Y624" s="201"/>
      <c r="Z624" s="201"/>
    </row>
    <row r="625" ht="12.8" customHeight="1" spans="1:26">
      <c r="A625" s="200"/>
      <c r="B625" s="201"/>
      <c r="C625" s="201"/>
      <c r="D625" s="201"/>
      <c r="E625" s="201"/>
      <c r="F625" s="201"/>
      <c r="G625" s="201"/>
      <c r="H625" s="201"/>
      <c r="I625" s="201"/>
      <c r="J625" s="201"/>
      <c r="K625" s="201"/>
      <c r="L625" s="201"/>
      <c r="M625" s="201"/>
      <c r="N625" s="201"/>
      <c r="O625" s="201"/>
      <c r="P625" s="201"/>
      <c r="Q625" s="201"/>
      <c r="R625" s="201"/>
      <c r="S625" s="201"/>
      <c r="T625" s="201"/>
      <c r="U625" s="201"/>
      <c r="V625" s="201"/>
      <c r="W625" s="201"/>
      <c r="X625" s="201"/>
      <c r="Y625" s="201"/>
      <c r="Z625" s="201"/>
    </row>
    <row r="626" ht="12.8" customHeight="1" spans="1:26">
      <c r="A626" s="200"/>
      <c r="B626" s="201"/>
      <c r="C626" s="201"/>
      <c r="D626" s="201"/>
      <c r="E626" s="201"/>
      <c r="F626" s="201"/>
      <c r="G626" s="201"/>
      <c r="H626" s="201"/>
      <c r="I626" s="201"/>
      <c r="J626" s="201"/>
      <c r="K626" s="201"/>
      <c r="L626" s="201"/>
      <c r="M626" s="201"/>
      <c r="N626" s="201"/>
      <c r="O626" s="201"/>
      <c r="P626" s="201"/>
      <c r="Q626" s="201"/>
      <c r="R626" s="201"/>
      <c r="S626" s="201"/>
      <c r="T626" s="201"/>
      <c r="U626" s="201"/>
      <c r="V626" s="201"/>
      <c r="W626" s="201"/>
      <c r="X626" s="201"/>
      <c r="Y626" s="201"/>
      <c r="Z626" s="201"/>
    </row>
    <row r="627" ht="12.8" customHeight="1" spans="1:26">
      <c r="A627" s="200"/>
      <c r="B627" s="201"/>
      <c r="C627" s="201"/>
      <c r="D627" s="201"/>
      <c r="E627" s="201"/>
      <c r="F627" s="201"/>
      <c r="G627" s="201"/>
      <c r="H627" s="201"/>
      <c r="I627" s="201"/>
      <c r="J627" s="201"/>
      <c r="K627" s="201"/>
      <c r="L627" s="201"/>
      <c r="M627" s="201"/>
      <c r="N627" s="201"/>
      <c r="O627" s="201"/>
      <c r="P627" s="201"/>
      <c r="Q627" s="201"/>
      <c r="R627" s="201"/>
      <c r="S627" s="201"/>
      <c r="T627" s="201"/>
      <c r="U627" s="201"/>
      <c r="V627" s="201"/>
      <c r="W627" s="201"/>
      <c r="X627" s="201"/>
      <c r="Y627" s="201"/>
      <c r="Z627" s="201"/>
    </row>
    <row r="628" ht="12.8" customHeight="1" spans="1:26">
      <c r="A628" s="200"/>
      <c r="B628" s="201"/>
      <c r="C628" s="201"/>
      <c r="D628" s="201"/>
      <c r="E628" s="201"/>
      <c r="F628" s="201"/>
      <c r="G628" s="201"/>
      <c r="H628" s="201"/>
      <c r="I628" s="201"/>
      <c r="J628" s="201"/>
      <c r="K628" s="201"/>
      <c r="L628" s="201"/>
      <c r="M628" s="201"/>
      <c r="N628" s="201"/>
      <c r="O628" s="201"/>
      <c r="P628" s="201"/>
      <c r="Q628" s="201"/>
      <c r="R628" s="201"/>
      <c r="S628" s="201"/>
      <c r="T628" s="201"/>
      <c r="U628" s="201"/>
      <c r="V628" s="201"/>
      <c r="W628" s="201"/>
      <c r="X628" s="201"/>
      <c r="Y628" s="201"/>
      <c r="Z628" s="201"/>
    </row>
    <row r="629" ht="12.8" customHeight="1" spans="1:26">
      <c r="A629" s="200"/>
      <c r="B629" s="201"/>
      <c r="C629" s="201"/>
      <c r="D629" s="201"/>
      <c r="E629" s="201"/>
      <c r="F629" s="201"/>
      <c r="G629" s="201"/>
      <c r="H629" s="201"/>
      <c r="I629" s="201"/>
      <c r="J629" s="201"/>
      <c r="K629" s="201"/>
      <c r="L629" s="201"/>
      <c r="M629" s="201"/>
      <c r="N629" s="201"/>
      <c r="O629" s="201"/>
      <c r="P629" s="201"/>
      <c r="Q629" s="201"/>
      <c r="R629" s="201"/>
      <c r="S629" s="201"/>
      <c r="T629" s="201"/>
      <c r="U629" s="201"/>
      <c r="V629" s="201"/>
      <c r="W629" s="201"/>
      <c r="X629" s="201"/>
      <c r="Y629" s="201"/>
      <c r="Z629" s="201"/>
    </row>
    <row r="630" ht="12.8" customHeight="1" spans="1:26">
      <c r="A630" s="200"/>
      <c r="B630" s="201"/>
      <c r="C630" s="201"/>
      <c r="D630" s="201"/>
      <c r="E630" s="201"/>
      <c r="F630" s="201"/>
      <c r="G630" s="201"/>
      <c r="H630" s="201"/>
      <c r="I630" s="201"/>
      <c r="J630" s="201"/>
      <c r="K630" s="201"/>
      <c r="L630" s="201"/>
      <c r="M630" s="201"/>
      <c r="N630" s="201"/>
      <c r="O630" s="201"/>
      <c r="P630" s="201"/>
      <c r="Q630" s="201"/>
      <c r="R630" s="201"/>
      <c r="S630" s="201"/>
      <c r="T630" s="201"/>
      <c r="U630" s="201"/>
      <c r="V630" s="201"/>
      <c r="W630" s="201"/>
      <c r="X630" s="201"/>
      <c r="Y630" s="201"/>
      <c r="Z630" s="201"/>
    </row>
    <row r="631" ht="12.8" customHeight="1" spans="1:26">
      <c r="A631" s="200"/>
      <c r="B631" s="201"/>
      <c r="C631" s="201"/>
      <c r="D631" s="201"/>
      <c r="E631" s="201"/>
      <c r="F631" s="201"/>
      <c r="G631" s="201"/>
      <c r="H631" s="201"/>
      <c r="I631" s="201"/>
      <c r="J631" s="201"/>
      <c r="K631" s="201"/>
      <c r="L631" s="201"/>
      <c r="M631" s="201"/>
      <c r="N631" s="201"/>
      <c r="O631" s="201"/>
      <c r="P631" s="201"/>
      <c r="Q631" s="201"/>
      <c r="R631" s="201"/>
      <c r="S631" s="201"/>
      <c r="T631" s="201"/>
      <c r="U631" s="201"/>
      <c r="V631" s="201"/>
      <c r="W631" s="201"/>
      <c r="X631" s="201"/>
      <c r="Y631" s="201"/>
      <c r="Z631" s="201"/>
    </row>
    <row r="632" ht="12.8" customHeight="1" spans="1:26">
      <c r="A632" s="200"/>
      <c r="B632" s="201"/>
      <c r="C632" s="201"/>
      <c r="D632" s="201"/>
      <c r="E632" s="201"/>
      <c r="F632" s="201"/>
      <c r="G632" s="201"/>
      <c r="H632" s="201"/>
      <c r="I632" s="201"/>
      <c r="J632" s="201"/>
      <c r="K632" s="201"/>
      <c r="L632" s="201"/>
      <c r="M632" s="201"/>
      <c r="N632" s="201"/>
      <c r="O632" s="201"/>
      <c r="P632" s="201"/>
      <c r="Q632" s="201"/>
      <c r="R632" s="201"/>
      <c r="S632" s="201"/>
      <c r="T632" s="201"/>
      <c r="U632" s="201"/>
      <c r="V632" s="201"/>
      <c r="W632" s="201"/>
      <c r="X632" s="201"/>
      <c r="Y632" s="201"/>
      <c r="Z632" s="201"/>
    </row>
    <row r="633" ht="12.8" customHeight="1" spans="1:26">
      <c r="A633" s="200"/>
      <c r="B633" s="201"/>
      <c r="C633" s="201"/>
      <c r="D633" s="201"/>
      <c r="E633" s="201"/>
      <c r="F633" s="201"/>
      <c r="G633" s="201"/>
      <c r="H633" s="201"/>
      <c r="I633" s="201"/>
      <c r="J633" s="201"/>
      <c r="K633" s="201"/>
      <c r="L633" s="201"/>
      <c r="M633" s="201"/>
      <c r="N633" s="201"/>
      <c r="O633" s="201"/>
      <c r="P633" s="201"/>
      <c r="Q633" s="201"/>
      <c r="R633" s="201"/>
      <c r="S633" s="201"/>
      <c r="T633" s="201"/>
      <c r="U633" s="201"/>
      <c r="V633" s="201"/>
      <c r="W633" s="201"/>
      <c r="X633" s="201"/>
      <c r="Y633" s="201"/>
      <c r="Z633" s="201"/>
    </row>
    <row r="634" ht="12.8" customHeight="1" spans="1:26">
      <c r="A634" s="200"/>
      <c r="B634" s="201"/>
      <c r="C634" s="201"/>
      <c r="D634" s="201"/>
      <c r="E634" s="201"/>
      <c r="F634" s="201"/>
      <c r="G634" s="201"/>
      <c r="H634" s="201"/>
      <c r="I634" s="201"/>
      <c r="J634" s="201"/>
      <c r="K634" s="201"/>
      <c r="L634" s="201"/>
      <c r="M634" s="201"/>
      <c r="N634" s="201"/>
      <c r="O634" s="201"/>
      <c r="P634" s="201"/>
      <c r="Q634" s="201"/>
      <c r="R634" s="201"/>
      <c r="S634" s="201"/>
      <c r="T634" s="201"/>
      <c r="U634" s="201"/>
      <c r="V634" s="201"/>
      <c r="W634" s="201"/>
      <c r="X634" s="201"/>
      <c r="Y634" s="201"/>
      <c r="Z634" s="201"/>
    </row>
    <row r="635" ht="12.8" customHeight="1" spans="1:26">
      <c r="A635" s="200"/>
      <c r="B635" s="201"/>
      <c r="C635" s="201"/>
      <c r="D635" s="201"/>
      <c r="E635" s="201"/>
      <c r="F635" s="201"/>
      <c r="G635" s="201"/>
      <c r="H635" s="201"/>
      <c r="I635" s="201"/>
      <c r="J635" s="201"/>
      <c r="K635" s="201"/>
      <c r="L635" s="201"/>
      <c r="M635" s="201"/>
      <c r="N635" s="201"/>
      <c r="O635" s="201"/>
      <c r="P635" s="201"/>
      <c r="Q635" s="201"/>
      <c r="R635" s="201"/>
      <c r="S635" s="201"/>
      <c r="T635" s="201"/>
      <c r="U635" s="201"/>
      <c r="V635" s="201"/>
      <c r="W635" s="201"/>
      <c r="X635" s="201"/>
      <c r="Y635" s="201"/>
      <c r="Z635" s="201"/>
    </row>
    <row r="636" ht="12.8" customHeight="1" spans="1:26">
      <c r="A636" s="200"/>
      <c r="B636" s="201"/>
      <c r="C636" s="201"/>
      <c r="D636" s="201"/>
      <c r="E636" s="201"/>
      <c r="F636" s="201"/>
      <c r="G636" s="201"/>
      <c r="H636" s="201"/>
      <c r="I636" s="201"/>
      <c r="J636" s="201"/>
      <c r="K636" s="201"/>
      <c r="L636" s="201"/>
      <c r="M636" s="201"/>
      <c r="N636" s="201"/>
      <c r="O636" s="201"/>
      <c r="P636" s="201"/>
      <c r="Q636" s="201"/>
      <c r="R636" s="201"/>
      <c r="S636" s="201"/>
      <c r="T636" s="201"/>
      <c r="U636" s="201"/>
      <c r="V636" s="201"/>
      <c r="W636" s="201"/>
      <c r="X636" s="201"/>
      <c r="Y636" s="201"/>
      <c r="Z636" s="201"/>
    </row>
    <row r="637" ht="12.8" customHeight="1" spans="1:26">
      <c r="A637" s="200"/>
      <c r="B637" s="201"/>
      <c r="C637" s="201"/>
      <c r="D637" s="201"/>
      <c r="E637" s="201"/>
      <c r="F637" s="201"/>
      <c r="G637" s="201"/>
      <c r="H637" s="201"/>
      <c r="I637" s="201"/>
      <c r="J637" s="201"/>
      <c r="K637" s="201"/>
      <c r="L637" s="201"/>
      <c r="M637" s="201"/>
      <c r="N637" s="201"/>
      <c r="O637" s="201"/>
      <c r="P637" s="201"/>
      <c r="Q637" s="201"/>
      <c r="R637" s="201"/>
      <c r="S637" s="201"/>
      <c r="T637" s="201"/>
      <c r="U637" s="201"/>
      <c r="V637" s="201"/>
      <c r="W637" s="201"/>
      <c r="X637" s="201"/>
      <c r="Y637" s="201"/>
      <c r="Z637" s="201"/>
    </row>
    <row r="638" ht="12.8" customHeight="1" spans="1:26">
      <c r="A638" s="200"/>
      <c r="B638" s="201"/>
      <c r="C638" s="201"/>
      <c r="D638" s="201"/>
      <c r="E638" s="201"/>
      <c r="F638" s="201"/>
      <c r="G638" s="201"/>
      <c r="H638" s="201"/>
      <c r="I638" s="201"/>
      <c r="J638" s="201"/>
      <c r="K638" s="201"/>
      <c r="L638" s="201"/>
      <c r="M638" s="201"/>
      <c r="N638" s="201"/>
      <c r="O638" s="201"/>
      <c r="P638" s="201"/>
      <c r="Q638" s="201"/>
      <c r="R638" s="201"/>
      <c r="S638" s="201"/>
      <c r="T638" s="201"/>
      <c r="U638" s="201"/>
      <c r="V638" s="201"/>
      <c r="W638" s="201"/>
      <c r="X638" s="201"/>
      <c r="Y638" s="201"/>
      <c r="Z638" s="201"/>
    </row>
    <row r="639" ht="12.8" customHeight="1" spans="1:26">
      <c r="A639" s="200"/>
      <c r="B639" s="201"/>
      <c r="C639" s="201"/>
      <c r="D639" s="201"/>
      <c r="E639" s="201"/>
      <c r="F639" s="201"/>
      <c r="G639" s="201"/>
      <c r="H639" s="201"/>
      <c r="I639" s="201"/>
      <c r="J639" s="201"/>
      <c r="K639" s="201"/>
      <c r="L639" s="201"/>
      <c r="M639" s="201"/>
      <c r="N639" s="201"/>
      <c r="O639" s="201"/>
      <c r="P639" s="201"/>
      <c r="Q639" s="201"/>
      <c r="R639" s="201"/>
      <c r="S639" s="201"/>
      <c r="T639" s="201"/>
      <c r="U639" s="201"/>
      <c r="V639" s="201"/>
      <c r="W639" s="201"/>
      <c r="X639" s="201"/>
      <c r="Y639" s="201"/>
      <c r="Z639" s="201"/>
    </row>
    <row r="640" ht="12.8" customHeight="1" spans="1:26">
      <c r="A640" s="200"/>
      <c r="B640" s="201"/>
      <c r="C640" s="201"/>
      <c r="D640" s="201"/>
      <c r="E640" s="201"/>
      <c r="F640" s="201"/>
      <c r="G640" s="201"/>
      <c r="H640" s="201"/>
      <c r="I640" s="201"/>
      <c r="J640" s="201"/>
      <c r="K640" s="201"/>
      <c r="L640" s="201"/>
      <c r="M640" s="201"/>
      <c r="N640" s="201"/>
      <c r="O640" s="201"/>
      <c r="P640" s="201"/>
      <c r="Q640" s="201"/>
      <c r="R640" s="201"/>
      <c r="S640" s="201"/>
      <c r="T640" s="201"/>
      <c r="U640" s="201"/>
      <c r="V640" s="201"/>
      <c r="W640" s="201"/>
      <c r="X640" s="201"/>
      <c r="Y640" s="201"/>
      <c r="Z640" s="201"/>
    </row>
    <row r="641" ht="12.8" customHeight="1" spans="1:26">
      <c r="A641" s="200"/>
      <c r="B641" s="201"/>
      <c r="C641" s="201"/>
      <c r="D641" s="201"/>
      <c r="E641" s="201"/>
      <c r="F641" s="201"/>
      <c r="G641" s="201"/>
      <c r="H641" s="201"/>
      <c r="I641" s="201"/>
      <c r="J641" s="201"/>
      <c r="K641" s="201"/>
      <c r="L641" s="201"/>
      <c r="M641" s="201"/>
      <c r="N641" s="201"/>
      <c r="O641" s="201"/>
      <c r="P641" s="201"/>
      <c r="Q641" s="201"/>
      <c r="R641" s="201"/>
      <c r="S641" s="201"/>
      <c r="T641" s="201"/>
      <c r="U641" s="201"/>
      <c r="V641" s="201"/>
      <c r="W641" s="201"/>
      <c r="X641" s="201"/>
      <c r="Y641" s="201"/>
      <c r="Z641" s="201"/>
    </row>
    <row r="642" ht="12.8" customHeight="1" spans="1:26">
      <c r="A642" s="200"/>
      <c r="B642" s="201"/>
      <c r="C642" s="201"/>
      <c r="D642" s="201"/>
      <c r="E642" s="201"/>
      <c r="F642" s="201"/>
      <c r="G642" s="201"/>
      <c r="H642" s="201"/>
      <c r="I642" s="201"/>
      <c r="J642" s="201"/>
      <c r="K642" s="201"/>
      <c r="L642" s="201"/>
      <c r="M642" s="201"/>
      <c r="N642" s="201"/>
      <c r="O642" s="201"/>
      <c r="P642" s="201"/>
      <c r="Q642" s="201"/>
      <c r="R642" s="201"/>
      <c r="S642" s="201"/>
      <c r="T642" s="201"/>
      <c r="U642" s="201"/>
      <c r="V642" s="201"/>
      <c r="W642" s="201"/>
      <c r="X642" s="201"/>
      <c r="Y642" s="201"/>
      <c r="Z642" s="201"/>
    </row>
    <row r="643" ht="12.8" customHeight="1" spans="1:26">
      <c r="A643" s="200"/>
      <c r="B643" s="201"/>
      <c r="C643" s="201"/>
      <c r="D643" s="201"/>
      <c r="E643" s="201"/>
      <c r="F643" s="201"/>
      <c r="G643" s="201"/>
      <c r="H643" s="201"/>
      <c r="I643" s="201"/>
      <c r="J643" s="201"/>
      <c r="K643" s="201"/>
      <c r="L643" s="201"/>
      <c r="M643" s="201"/>
      <c r="N643" s="201"/>
      <c r="O643" s="201"/>
      <c r="P643" s="201"/>
      <c r="Q643" s="201"/>
      <c r="R643" s="201"/>
      <c r="S643" s="201"/>
      <c r="T643" s="201"/>
      <c r="U643" s="201"/>
      <c r="V643" s="201"/>
      <c r="W643" s="201"/>
      <c r="X643" s="201"/>
      <c r="Y643" s="201"/>
      <c r="Z643" s="201"/>
    </row>
    <row r="644" ht="12.8" customHeight="1" spans="1:26">
      <c r="A644" s="200"/>
      <c r="B644" s="201"/>
      <c r="C644" s="201"/>
      <c r="D644" s="201"/>
      <c r="E644" s="201"/>
      <c r="F644" s="201"/>
      <c r="G644" s="201"/>
      <c r="H644" s="201"/>
      <c r="I644" s="201"/>
      <c r="J644" s="201"/>
      <c r="K644" s="201"/>
      <c r="L644" s="201"/>
      <c r="M644" s="201"/>
      <c r="N644" s="201"/>
      <c r="O644" s="201"/>
      <c r="P644" s="201"/>
      <c r="Q644" s="201"/>
      <c r="R644" s="201"/>
      <c r="S644" s="201"/>
      <c r="T644" s="201"/>
      <c r="U644" s="201"/>
      <c r="V644" s="201"/>
      <c r="W644" s="201"/>
      <c r="X644" s="201"/>
      <c r="Y644" s="201"/>
      <c r="Z644" s="201"/>
    </row>
    <row r="645" ht="12.8" customHeight="1" spans="1:26">
      <c r="A645" s="200"/>
      <c r="B645" s="201"/>
      <c r="C645" s="201"/>
      <c r="D645" s="201"/>
      <c r="E645" s="201"/>
      <c r="F645" s="201"/>
      <c r="G645" s="201"/>
      <c r="H645" s="201"/>
      <c r="I645" s="201"/>
      <c r="J645" s="201"/>
      <c r="K645" s="201"/>
      <c r="L645" s="201"/>
      <c r="M645" s="201"/>
      <c r="N645" s="201"/>
      <c r="O645" s="201"/>
      <c r="P645" s="201"/>
      <c r="Q645" s="201"/>
      <c r="R645" s="201"/>
      <c r="S645" s="201"/>
      <c r="T645" s="201"/>
      <c r="U645" s="201"/>
      <c r="V645" s="201"/>
      <c r="W645" s="201"/>
      <c r="X645" s="201"/>
      <c r="Y645" s="201"/>
      <c r="Z645" s="201"/>
    </row>
    <row r="646" ht="12.8" customHeight="1" spans="1:26">
      <c r="A646" s="200"/>
      <c r="B646" s="201"/>
      <c r="C646" s="201"/>
      <c r="D646" s="201"/>
      <c r="E646" s="201"/>
      <c r="F646" s="201"/>
      <c r="G646" s="201"/>
      <c r="H646" s="201"/>
      <c r="I646" s="201"/>
      <c r="J646" s="201"/>
      <c r="K646" s="201"/>
      <c r="L646" s="201"/>
      <c r="M646" s="201"/>
      <c r="N646" s="201"/>
      <c r="O646" s="201"/>
      <c r="P646" s="201"/>
      <c r="Q646" s="201"/>
      <c r="R646" s="201"/>
      <c r="S646" s="201"/>
      <c r="T646" s="201"/>
      <c r="U646" s="201"/>
      <c r="V646" s="201"/>
      <c r="W646" s="201"/>
      <c r="X646" s="201"/>
      <c r="Y646" s="201"/>
      <c r="Z646" s="201"/>
    </row>
    <row r="647" ht="12.8" customHeight="1" spans="1:26">
      <c r="A647" s="200"/>
      <c r="B647" s="201"/>
      <c r="C647" s="201"/>
      <c r="D647" s="201"/>
      <c r="E647" s="201"/>
      <c r="F647" s="201"/>
      <c r="G647" s="201"/>
      <c r="H647" s="201"/>
      <c r="I647" s="201"/>
      <c r="J647" s="201"/>
      <c r="K647" s="201"/>
      <c r="L647" s="201"/>
      <c r="M647" s="201"/>
      <c r="N647" s="201"/>
      <c r="O647" s="201"/>
      <c r="P647" s="201"/>
      <c r="Q647" s="201"/>
      <c r="R647" s="201"/>
      <c r="S647" s="201"/>
      <c r="T647" s="201"/>
      <c r="U647" s="201"/>
      <c r="V647" s="201"/>
      <c r="W647" s="201"/>
      <c r="X647" s="201"/>
      <c r="Y647" s="201"/>
      <c r="Z647" s="201"/>
    </row>
    <row r="648" ht="12.8" customHeight="1" spans="1:26">
      <c r="A648" s="200"/>
      <c r="B648" s="201"/>
      <c r="C648" s="201"/>
      <c r="D648" s="201"/>
      <c r="E648" s="201"/>
      <c r="F648" s="201"/>
      <c r="G648" s="201"/>
      <c r="H648" s="201"/>
      <c r="I648" s="201"/>
      <c r="J648" s="201"/>
      <c r="K648" s="201"/>
      <c r="L648" s="201"/>
      <c r="M648" s="201"/>
      <c r="N648" s="201"/>
      <c r="O648" s="201"/>
      <c r="P648" s="201"/>
      <c r="Q648" s="201"/>
      <c r="R648" s="201"/>
      <c r="S648" s="201"/>
      <c r="T648" s="201"/>
      <c r="U648" s="201"/>
      <c r="V648" s="201"/>
      <c r="W648" s="201"/>
      <c r="X648" s="201"/>
      <c r="Y648" s="201"/>
      <c r="Z648" s="201"/>
    </row>
    <row r="649" ht="12.8" customHeight="1" spans="1:26">
      <c r="A649" s="200"/>
      <c r="B649" s="201"/>
      <c r="C649" s="201"/>
      <c r="D649" s="201"/>
      <c r="E649" s="201"/>
      <c r="F649" s="201"/>
      <c r="G649" s="201"/>
      <c r="H649" s="201"/>
      <c r="I649" s="201"/>
      <c r="J649" s="201"/>
      <c r="K649" s="201"/>
      <c r="L649" s="201"/>
      <c r="M649" s="201"/>
      <c r="N649" s="201"/>
      <c r="O649" s="201"/>
      <c r="P649" s="201"/>
      <c r="Q649" s="201"/>
      <c r="R649" s="201"/>
      <c r="S649" s="201"/>
      <c r="T649" s="201"/>
      <c r="U649" s="201"/>
      <c r="V649" s="201"/>
      <c r="W649" s="201"/>
      <c r="X649" s="201"/>
      <c r="Y649" s="201"/>
      <c r="Z649" s="201"/>
    </row>
    <row r="650" ht="12.8" customHeight="1" spans="1:26">
      <c r="A650" s="200"/>
      <c r="B650" s="201"/>
      <c r="C650" s="201"/>
      <c r="D650" s="201"/>
      <c r="E650" s="201"/>
      <c r="F650" s="201"/>
      <c r="G650" s="201"/>
      <c r="H650" s="201"/>
      <c r="I650" s="201"/>
      <c r="J650" s="201"/>
      <c r="K650" s="201"/>
      <c r="L650" s="201"/>
      <c r="M650" s="201"/>
      <c r="N650" s="201"/>
      <c r="O650" s="201"/>
      <c r="P650" s="201"/>
      <c r="Q650" s="201"/>
      <c r="R650" s="201"/>
      <c r="S650" s="201"/>
      <c r="T650" s="201"/>
      <c r="U650" s="201"/>
      <c r="V650" s="201"/>
      <c r="W650" s="201"/>
      <c r="X650" s="201"/>
      <c r="Y650" s="201"/>
      <c r="Z650" s="201"/>
    </row>
    <row r="651" ht="12.8" customHeight="1" spans="1:26">
      <c r="A651" s="200"/>
      <c r="B651" s="201"/>
      <c r="C651" s="201"/>
      <c r="D651" s="201"/>
      <c r="E651" s="201"/>
      <c r="F651" s="201"/>
      <c r="G651" s="201"/>
      <c r="H651" s="201"/>
      <c r="I651" s="201"/>
      <c r="J651" s="201"/>
      <c r="K651" s="201"/>
      <c r="L651" s="201"/>
      <c r="M651" s="201"/>
      <c r="N651" s="201"/>
      <c r="O651" s="201"/>
      <c r="P651" s="201"/>
      <c r="Q651" s="201"/>
      <c r="R651" s="201"/>
      <c r="S651" s="201"/>
      <c r="T651" s="201"/>
      <c r="U651" s="201"/>
      <c r="V651" s="201"/>
      <c r="W651" s="201"/>
      <c r="X651" s="201"/>
      <c r="Y651" s="201"/>
      <c r="Z651" s="201"/>
    </row>
    <row r="652" ht="12.8" customHeight="1" spans="1:26">
      <c r="A652" s="200"/>
      <c r="B652" s="201"/>
      <c r="C652" s="201"/>
      <c r="D652" s="201"/>
      <c r="E652" s="201"/>
      <c r="F652" s="201"/>
      <c r="G652" s="201"/>
      <c r="H652" s="201"/>
      <c r="I652" s="201"/>
      <c r="J652" s="201"/>
      <c r="K652" s="201"/>
      <c r="L652" s="201"/>
      <c r="M652" s="201"/>
      <c r="N652" s="201"/>
      <c r="O652" s="201"/>
      <c r="P652" s="201"/>
      <c r="Q652" s="201"/>
      <c r="R652" s="201"/>
      <c r="S652" s="201"/>
      <c r="T652" s="201"/>
      <c r="U652" s="201"/>
      <c r="V652" s="201"/>
      <c r="W652" s="201"/>
      <c r="X652" s="201"/>
      <c r="Y652" s="201"/>
      <c r="Z652" s="201"/>
    </row>
    <row r="653" ht="12.8" customHeight="1" spans="1:26">
      <c r="A653" s="200"/>
      <c r="B653" s="201"/>
      <c r="C653" s="201"/>
      <c r="D653" s="201"/>
      <c r="E653" s="201"/>
      <c r="F653" s="201"/>
      <c r="G653" s="201"/>
      <c r="H653" s="201"/>
      <c r="I653" s="201"/>
      <c r="J653" s="201"/>
      <c r="K653" s="201"/>
      <c r="L653" s="201"/>
      <c r="M653" s="201"/>
      <c r="N653" s="201"/>
      <c r="O653" s="201"/>
      <c r="P653" s="201"/>
      <c r="Q653" s="201"/>
      <c r="R653" s="201"/>
      <c r="S653" s="201"/>
      <c r="T653" s="201"/>
      <c r="U653" s="201"/>
      <c r="V653" s="201"/>
      <c r="W653" s="201"/>
      <c r="X653" s="201"/>
      <c r="Y653" s="201"/>
      <c r="Z653" s="201"/>
    </row>
    <row r="654" ht="12.8" customHeight="1" spans="1:26">
      <c r="A654" s="200"/>
      <c r="B654" s="201"/>
      <c r="C654" s="201"/>
      <c r="D654" s="201"/>
      <c r="E654" s="201"/>
      <c r="F654" s="201"/>
      <c r="G654" s="201"/>
      <c r="H654" s="201"/>
      <c r="I654" s="201"/>
      <c r="J654" s="201"/>
      <c r="K654" s="201"/>
      <c r="L654" s="201"/>
      <c r="M654" s="201"/>
      <c r="N654" s="201"/>
      <c r="O654" s="201"/>
      <c r="P654" s="201"/>
      <c r="Q654" s="201"/>
      <c r="R654" s="201"/>
      <c r="S654" s="201"/>
      <c r="T654" s="201"/>
      <c r="U654" s="201"/>
      <c r="V654" s="201"/>
      <c r="W654" s="201"/>
      <c r="X654" s="201"/>
      <c r="Y654" s="201"/>
      <c r="Z654" s="201"/>
    </row>
    <row r="655" ht="12.8" customHeight="1" spans="1:26">
      <c r="A655" s="200"/>
      <c r="B655" s="201"/>
      <c r="C655" s="201"/>
      <c r="D655" s="201"/>
      <c r="E655" s="201"/>
      <c r="F655" s="201"/>
      <c r="G655" s="201"/>
      <c r="H655" s="201"/>
      <c r="I655" s="201"/>
      <c r="J655" s="201"/>
      <c r="K655" s="201"/>
      <c r="L655" s="201"/>
      <c r="M655" s="201"/>
      <c r="N655" s="201"/>
      <c r="O655" s="201"/>
      <c r="P655" s="201"/>
      <c r="Q655" s="201"/>
      <c r="R655" s="201"/>
      <c r="S655" s="201"/>
      <c r="T655" s="201"/>
      <c r="U655" s="201"/>
      <c r="V655" s="201"/>
      <c r="W655" s="201"/>
      <c r="X655" s="201"/>
      <c r="Y655" s="201"/>
      <c r="Z655" s="201"/>
    </row>
    <row r="656" ht="12.8" customHeight="1" spans="1:26">
      <c r="A656" s="200"/>
      <c r="B656" s="201"/>
      <c r="C656" s="201"/>
      <c r="D656" s="201"/>
      <c r="E656" s="201"/>
      <c r="F656" s="201"/>
      <c r="G656" s="201"/>
      <c r="H656" s="201"/>
      <c r="I656" s="201"/>
      <c r="J656" s="201"/>
      <c r="K656" s="201"/>
      <c r="L656" s="201"/>
      <c r="M656" s="201"/>
      <c r="N656" s="201"/>
      <c r="O656" s="201"/>
      <c r="P656" s="201"/>
      <c r="Q656" s="201"/>
      <c r="R656" s="201"/>
      <c r="S656" s="201"/>
      <c r="T656" s="201"/>
      <c r="U656" s="201"/>
      <c r="V656" s="201"/>
      <c r="W656" s="201"/>
      <c r="X656" s="201"/>
      <c r="Y656" s="201"/>
      <c r="Z656" s="201"/>
    </row>
    <row r="657" ht="12.8" customHeight="1" spans="1:26">
      <c r="A657" s="200"/>
      <c r="B657" s="201"/>
      <c r="C657" s="201"/>
      <c r="D657" s="201"/>
      <c r="E657" s="201"/>
      <c r="F657" s="201"/>
      <c r="G657" s="201"/>
      <c r="H657" s="201"/>
      <c r="I657" s="201"/>
      <c r="J657" s="201"/>
      <c r="K657" s="201"/>
      <c r="L657" s="201"/>
      <c r="M657" s="201"/>
      <c r="N657" s="201"/>
      <c r="O657" s="201"/>
      <c r="P657" s="201"/>
      <c r="Q657" s="201"/>
      <c r="R657" s="201"/>
      <c r="S657" s="201"/>
      <c r="T657" s="201"/>
      <c r="U657" s="201"/>
      <c r="V657" s="201"/>
      <c r="W657" s="201"/>
      <c r="X657" s="201"/>
      <c r="Y657" s="201"/>
      <c r="Z657" s="201"/>
    </row>
    <row r="658" ht="12.8" customHeight="1" spans="1:26">
      <c r="A658" s="200"/>
      <c r="B658" s="201"/>
      <c r="C658" s="201"/>
      <c r="D658" s="201"/>
      <c r="E658" s="201"/>
      <c r="F658" s="201"/>
      <c r="G658" s="201"/>
      <c r="H658" s="201"/>
      <c r="I658" s="201"/>
      <c r="J658" s="201"/>
      <c r="K658" s="201"/>
      <c r="L658" s="201"/>
      <c r="M658" s="201"/>
      <c r="N658" s="201"/>
      <c r="O658" s="201"/>
      <c r="P658" s="201"/>
      <c r="Q658" s="201"/>
      <c r="R658" s="201"/>
      <c r="S658" s="201"/>
      <c r="T658" s="201"/>
      <c r="U658" s="201"/>
      <c r="V658" s="201"/>
      <c r="W658" s="201"/>
      <c r="X658" s="201"/>
      <c r="Y658" s="201"/>
      <c r="Z658" s="201"/>
    </row>
    <row r="659" ht="12.8" customHeight="1" spans="1:26">
      <c r="A659" s="200"/>
      <c r="B659" s="201"/>
      <c r="C659" s="201"/>
      <c r="D659" s="201"/>
      <c r="E659" s="201"/>
      <c r="F659" s="201"/>
      <c r="G659" s="201"/>
      <c r="H659" s="201"/>
      <c r="I659" s="201"/>
      <c r="J659" s="201"/>
      <c r="K659" s="201"/>
      <c r="L659" s="201"/>
      <c r="M659" s="201"/>
      <c r="N659" s="201"/>
      <c r="O659" s="201"/>
      <c r="P659" s="201"/>
      <c r="Q659" s="201"/>
      <c r="R659" s="201"/>
      <c r="S659" s="201"/>
      <c r="T659" s="201"/>
      <c r="U659" s="201"/>
      <c r="V659" s="201"/>
      <c r="W659" s="201"/>
      <c r="X659" s="201"/>
      <c r="Y659" s="201"/>
      <c r="Z659" s="201"/>
    </row>
    <row r="660" ht="12.8" customHeight="1" spans="1:26">
      <c r="A660" s="200"/>
      <c r="B660" s="201"/>
      <c r="C660" s="201"/>
      <c r="D660" s="201"/>
      <c r="E660" s="201"/>
      <c r="F660" s="201"/>
      <c r="G660" s="201"/>
      <c r="H660" s="201"/>
      <c r="I660" s="201"/>
      <c r="J660" s="201"/>
      <c r="K660" s="201"/>
      <c r="L660" s="201"/>
      <c r="M660" s="201"/>
      <c r="N660" s="201"/>
      <c r="O660" s="201"/>
      <c r="P660" s="201"/>
      <c r="Q660" s="201"/>
      <c r="R660" s="201"/>
      <c r="S660" s="201"/>
      <c r="T660" s="201"/>
      <c r="U660" s="201"/>
      <c r="V660" s="201"/>
      <c r="W660" s="201"/>
      <c r="X660" s="201"/>
      <c r="Y660" s="201"/>
      <c r="Z660" s="201"/>
    </row>
    <row r="661" ht="12.8" customHeight="1" spans="1:26">
      <c r="A661" s="200"/>
      <c r="B661" s="201"/>
      <c r="C661" s="201"/>
      <c r="D661" s="201"/>
      <c r="E661" s="201"/>
      <c r="F661" s="201"/>
      <c r="G661" s="201"/>
      <c r="H661" s="201"/>
      <c r="I661" s="201"/>
      <c r="J661" s="201"/>
      <c r="K661" s="201"/>
      <c r="L661" s="201"/>
      <c r="M661" s="201"/>
      <c r="N661" s="201"/>
      <c r="O661" s="201"/>
      <c r="P661" s="201"/>
      <c r="Q661" s="201"/>
      <c r="R661" s="201"/>
      <c r="S661" s="201"/>
      <c r="T661" s="201"/>
      <c r="U661" s="201"/>
      <c r="V661" s="201"/>
      <c r="W661" s="201"/>
      <c r="X661" s="201"/>
      <c r="Y661" s="201"/>
      <c r="Z661" s="201"/>
    </row>
    <row r="662" ht="12.8" customHeight="1" spans="1:26">
      <c r="A662" s="200"/>
      <c r="B662" s="201"/>
      <c r="C662" s="201"/>
      <c r="D662" s="201"/>
      <c r="E662" s="201"/>
      <c r="F662" s="201"/>
      <c r="G662" s="201"/>
      <c r="H662" s="201"/>
      <c r="I662" s="201"/>
      <c r="J662" s="201"/>
      <c r="K662" s="201"/>
      <c r="L662" s="201"/>
      <c r="M662" s="201"/>
      <c r="N662" s="201"/>
      <c r="O662" s="201"/>
      <c r="P662" s="201"/>
      <c r="Q662" s="201"/>
      <c r="R662" s="201"/>
      <c r="S662" s="201"/>
      <c r="T662" s="201"/>
      <c r="U662" s="201"/>
      <c r="V662" s="201"/>
      <c r="W662" s="201"/>
      <c r="X662" s="201"/>
      <c r="Y662" s="201"/>
      <c r="Z662" s="201"/>
    </row>
    <row r="663" ht="12.8" customHeight="1" spans="1:26">
      <c r="A663" s="200"/>
      <c r="B663" s="201"/>
      <c r="C663" s="201"/>
      <c r="D663" s="201"/>
      <c r="E663" s="201"/>
      <c r="F663" s="201"/>
      <c r="G663" s="201"/>
      <c r="H663" s="201"/>
      <c r="I663" s="201"/>
      <c r="J663" s="201"/>
      <c r="K663" s="201"/>
      <c r="L663" s="201"/>
      <c r="M663" s="201"/>
      <c r="N663" s="201"/>
      <c r="O663" s="201"/>
      <c r="P663" s="201"/>
      <c r="Q663" s="201"/>
      <c r="R663" s="201"/>
      <c r="S663" s="201"/>
      <c r="T663" s="201"/>
      <c r="U663" s="201"/>
      <c r="V663" s="201"/>
      <c r="W663" s="201"/>
      <c r="X663" s="201"/>
      <c r="Y663" s="201"/>
      <c r="Z663" s="201"/>
    </row>
    <row r="664" ht="12.8" customHeight="1" spans="1:26">
      <c r="A664" s="200"/>
      <c r="B664" s="201"/>
      <c r="C664" s="201"/>
      <c r="D664" s="201"/>
      <c r="E664" s="201"/>
      <c r="F664" s="201"/>
      <c r="G664" s="201"/>
      <c r="H664" s="201"/>
      <c r="I664" s="201"/>
      <c r="J664" s="201"/>
      <c r="K664" s="201"/>
      <c r="L664" s="201"/>
      <c r="M664" s="201"/>
      <c r="N664" s="201"/>
      <c r="O664" s="201"/>
      <c r="P664" s="201"/>
      <c r="Q664" s="201"/>
      <c r="R664" s="201"/>
      <c r="S664" s="201"/>
      <c r="T664" s="201"/>
      <c r="U664" s="201"/>
      <c r="V664" s="201"/>
      <c r="W664" s="201"/>
      <c r="X664" s="201"/>
      <c r="Y664" s="201"/>
      <c r="Z664" s="201"/>
    </row>
    <row r="665" ht="12.8" customHeight="1" spans="1:26">
      <c r="A665" s="200"/>
      <c r="B665" s="201"/>
      <c r="C665" s="201"/>
      <c r="D665" s="201"/>
      <c r="E665" s="201"/>
      <c r="F665" s="201"/>
      <c r="G665" s="201"/>
      <c r="H665" s="201"/>
      <c r="I665" s="201"/>
      <c r="J665" s="201"/>
      <c r="K665" s="201"/>
      <c r="L665" s="201"/>
      <c r="M665" s="201"/>
      <c r="N665" s="201"/>
      <c r="O665" s="201"/>
      <c r="P665" s="201"/>
      <c r="Q665" s="201"/>
      <c r="R665" s="201"/>
      <c r="S665" s="201"/>
      <c r="T665" s="201"/>
      <c r="U665" s="201"/>
      <c r="V665" s="201"/>
      <c r="W665" s="201"/>
      <c r="X665" s="201"/>
      <c r="Y665" s="201"/>
      <c r="Z665" s="201"/>
    </row>
    <row r="666" ht="12.8" customHeight="1" spans="1:26">
      <c r="A666" s="200"/>
      <c r="B666" s="201"/>
      <c r="C666" s="201"/>
      <c r="D666" s="201"/>
      <c r="E666" s="201"/>
      <c r="F666" s="201"/>
      <c r="G666" s="201"/>
      <c r="H666" s="201"/>
      <c r="I666" s="201"/>
      <c r="J666" s="201"/>
      <c r="K666" s="201"/>
      <c r="L666" s="201"/>
      <c r="M666" s="201"/>
      <c r="N666" s="201"/>
      <c r="O666" s="201"/>
      <c r="P666" s="201"/>
      <c r="Q666" s="201"/>
      <c r="R666" s="201"/>
      <c r="S666" s="201"/>
      <c r="T666" s="201"/>
      <c r="U666" s="201"/>
      <c r="V666" s="201"/>
      <c r="W666" s="201"/>
      <c r="X666" s="201"/>
      <c r="Y666" s="201"/>
      <c r="Z666" s="201"/>
    </row>
    <row r="667" ht="12.8" customHeight="1" spans="1:26">
      <c r="A667" s="200"/>
      <c r="B667" s="201"/>
      <c r="C667" s="201"/>
      <c r="D667" s="201"/>
      <c r="E667" s="201"/>
      <c r="F667" s="201"/>
      <c r="G667" s="201"/>
      <c r="H667" s="201"/>
      <c r="I667" s="201"/>
      <c r="J667" s="201"/>
      <c r="K667" s="201"/>
      <c r="L667" s="201"/>
      <c r="M667" s="201"/>
      <c r="N667" s="201"/>
      <c r="O667" s="201"/>
      <c r="P667" s="201"/>
      <c r="Q667" s="201"/>
      <c r="R667" s="201"/>
      <c r="S667" s="201"/>
      <c r="T667" s="201"/>
      <c r="U667" s="201"/>
      <c r="V667" s="201"/>
      <c r="W667" s="201"/>
      <c r="X667" s="201"/>
      <c r="Y667" s="201"/>
      <c r="Z667" s="201"/>
    </row>
    <row r="668" ht="12.8" customHeight="1" spans="1:26">
      <c r="A668" s="200"/>
      <c r="B668" s="201"/>
      <c r="C668" s="201"/>
      <c r="D668" s="201"/>
      <c r="E668" s="201"/>
      <c r="F668" s="201"/>
      <c r="G668" s="201"/>
      <c r="H668" s="201"/>
      <c r="I668" s="201"/>
      <c r="J668" s="201"/>
      <c r="K668" s="201"/>
      <c r="L668" s="201"/>
      <c r="M668" s="201"/>
      <c r="N668" s="201"/>
      <c r="O668" s="201"/>
      <c r="P668" s="201"/>
      <c r="Q668" s="201"/>
      <c r="R668" s="201"/>
      <c r="S668" s="201"/>
      <c r="T668" s="201"/>
      <c r="U668" s="201"/>
      <c r="V668" s="201"/>
      <c r="W668" s="201"/>
      <c r="X668" s="201"/>
      <c r="Y668" s="201"/>
      <c r="Z668" s="201"/>
    </row>
    <row r="669" ht="12.8" customHeight="1" spans="1:26">
      <c r="A669" s="200"/>
      <c r="B669" s="201"/>
      <c r="C669" s="201"/>
      <c r="D669" s="201"/>
      <c r="E669" s="201"/>
      <c r="F669" s="201"/>
      <c r="G669" s="201"/>
      <c r="H669" s="201"/>
      <c r="I669" s="201"/>
      <c r="J669" s="201"/>
      <c r="K669" s="201"/>
      <c r="L669" s="201"/>
      <c r="M669" s="201"/>
      <c r="N669" s="201"/>
      <c r="O669" s="201"/>
      <c r="P669" s="201"/>
      <c r="Q669" s="201"/>
      <c r="R669" s="201"/>
      <c r="S669" s="201"/>
      <c r="T669" s="201"/>
      <c r="U669" s="201"/>
      <c r="V669" s="201"/>
      <c r="W669" s="201"/>
      <c r="X669" s="201"/>
      <c r="Y669" s="201"/>
      <c r="Z669" s="201"/>
    </row>
    <row r="670" ht="12.8" customHeight="1" spans="1:26">
      <c r="A670" s="200"/>
      <c r="B670" s="201"/>
      <c r="C670" s="201"/>
      <c r="D670" s="201"/>
      <c r="E670" s="201"/>
      <c r="F670" s="201"/>
      <c r="G670" s="201"/>
      <c r="H670" s="201"/>
      <c r="I670" s="201"/>
      <c r="J670" s="201"/>
      <c r="K670" s="201"/>
      <c r="L670" s="201"/>
      <c r="M670" s="201"/>
      <c r="N670" s="201"/>
      <c r="O670" s="201"/>
      <c r="P670" s="201"/>
      <c r="Q670" s="201"/>
      <c r="R670" s="201"/>
      <c r="S670" s="201"/>
      <c r="T670" s="201"/>
      <c r="U670" s="201"/>
      <c r="V670" s="201"/>
      <c r="W670" s="201"/>
      <c r="X670" s="201"/>
      <c r="Y670" s="201"/>
      <c r="Z670" s="201"/>
    </row>
    <row r="671" ht="12.8" customHeight="1" spans="1:26">
      <c r="A671" s="200"/>
      <c r="B671" s="201"/>
      <c r="C671" s="201"/>
      <c r="D671" s="201"/>
      <c r="E671" s="201"/>
      <c r="F671" s="201"/>
      <c r="G671" s="201"/>
      <c r="H671" s="201"/>
      <c r="I671" s="201"/>
      <c r="J671" s="201"/>
      <c r="K671" s="201"/>
      <c r="L671" s="201"/>
      <c r="M671" s="201"/>
      <c r="N671" s="201"/>
      <c r="O671" s="201"/>
      <c r="P671" s="201"/>
      <c r="Q671" s="201"/>
      <c r="R671" s="201"/>
      <c r="S671" s="201"/>
      <c r="T671" s="201"/>
      <c r="U671" s="201"/>
      <c r="V671" s="201"/>
      <c r="W671" s="201"/>
      <c r="X671" s="201"/>
      <c r="Y671" s="201"/>
      <c r="Z671" s="201"/>
    </row>
    <row r="672" ht="12.8" customHeight="1" spans="1:26">
      <c r="A672" s="200"/>
      <c r="B672" s="201"/>
      <c r="C672" s="201"/>
      <c r="D672" s="201"/>
      <c r="E672" s="201"/>
      <c r="F672" s="201"/>
      <c r="G672" s="201"/>
      <c r="H672" s="201"/>
      <c r="I672" s="201"/>
      <c r="J672" s="201"/>
      <c r="K672" s="201"/>
      <c r="L672" s="201"/>
      <c r="M672" s="201"/>
      <c r="N672" s="201"/>
      <c r="O672" s="201"/>
      <c r="P672" s="201"/>
      <c r="Q672" s="201"/>
      <c r="R672" s="201"/>
      <c r="S672" s="201"/>
      <c r="T672" s="201"/>
      <c r="U672" s="201"/>
      <c r="V672" s="201"/>
      <c r="W672" s="201"/>
      <c r="X672" s="201"/>
      <c r="Y672" s="201"/>
      <c r="Z672" s="201"/>
    </row>
    <row r="673" ht="12.8" customHeight="1" spans="1:26">
      <c r="A673" s="200"/>
      <c r="B673" s="201"/>
      <c r="C673" s="201"/>
      <c r="D673" s="201"/>
      <c r="E673" s="201"/>
      <c r="F673" s="201"/>
      <c r="G673" s="201"/>
      <c r="H673" s="201"/>
      <c r="I673" s="201"/>
      <c r="J673" s="201"/>
      <c r="K673" s="201"/>
      <c r="L673" s="201"/>
      <c r="M673" s="201"/>
      <c r="N673" s="201"/>
      <c r="O673" s="201"/>
      <c r="P673" s="201"/>
      <c r="Q673" s="201"/>
      <c r="R673" s="201"/>
      <c r="S673" s="201"/>
      <c r="T673" s="201"/>
      <c r="U673" s="201"/>
      <c r="V673" s="201"/>
      <c r="W673" s="201"/>
      <c r="X673" s="201"/>
      <c r="Y673" s="201"/>
      <c r="Z673" s="201"/>
    </row>
    <row r="674" ht="12.8" customHeight="1" spans="1:26">
      <c r="A674" s="200"/>
      <c r="B674" s="201"/>
      <c r="C674" s="201"/>
      <c r="D674" s="201"/>
      <c r="E674" s="201"/>
      <c r="F674" s="201"/>
      <c r="G674" s="201"/>
      <c r="H674" s="201"/>
      <c r="I674" s="201"/>
      <c r="J674" s="201"/>
      <c r="K674" s="201"/>
      <c r="L674" s="201"/>
      <c r="M674" s="201"/>
      <c r="N674" s="201"/>
      <c r="O674" s="201"/>
      <c r="P674" s="201"/>
      <c r="Q674" s="201"/>
      <c r="R674" s="201"/>
      <c r="S674" s="201"/>
      <c r="T674" s="201"/>
      <c r="U674" s="201"/>
      <c r="V674" s="201"/>
      <c r="W674" s="201"/>
      <c r="X674" s="201"/>
      <c r="Y674" s="201"/>
      <c r="Z674" s="201"/>
    </row>
    <row r="675" ht="12.8" customHeight="1" spans="1:26">
      <c r="A675" s="200"/>
      <c r="B675" s="201"/>
      <c r="C675" s="201"/>
      <c r="D675" s="201"/>
      <c r="E675" s="201"/>
      <c r="F675" s="201"/>
      <c r="G675" s="201"/>
      <c r="H675" s="201"/>
      <c r="I675" s="201"/>
      <c r="J675" s="201"/>
      <c r="K675" s="201"/>
      <c r="L675" s="201"/>
      <c r="M675" s="201"/>
      <c r="N675" s="201"/>
      <c r="O675" s="201"/>
      <c r="P675" s="201"/>
      <c r="Q675" s="201"/>
      <c r="R675" s="201"/>
      <c r="S675" s="201"/>
      <c r="T675" s="201"/>
      <c r="U675" s="201"/>
      <c r="V675" s="201"/>
      <c r="W675" s="201"/>
      <c r="X675" s="201"/>
      <c r="Y675" s="201"/>
      <c r="Z675" s="201"/>
    </row>
    <row r="676" ht="12.8" customHeight="1" spans="1:26">
      <c r="A676" s="200"/>
      <c r="B676" s="201"/>
      <c r="C676" s="201"/>
      <c r="D676" s="201"/>
      <c r="E676" s="201"/>
      <c r="F676" s="201"/>
      <c r="G676" s="201"/>
      <c r="H676" s="201"/>
      <c r="I676" s="201"/>
      <c r="J676" s="201"/>
      <c r="K676" s="201"/>
      <c r="L676" s="201"/>
      <c r="M676" s="201"/>
      <c r="N676" s="201"/>
      <c r="O676" s="201"/>
      <c r="P676" s="201"/>
      <c r="Q676" s="201"/>
      <c r="R676" s="201"/>
      <c r="S676" s="201"/>
      <c r="T676" s="201"/>
      <c r="U676" s="201"/>
      <c r="V676" s="201"/>
      <c r="W676" s="201"/>
      <c r="X676" s="201"/>
      <c r="Y676" s="201"/>
      <c r="Z676" s="201"/>
    </row>
    <row r="677" ht="12.8" customHeight="1" spans="1:26">
      <c r="A677" s="200"/>
      <c r="B677" s="201"/>
      <c r="C677" s="201"/>
      <c r="D677" s="201"/>
      <c r="E677" s="201"/>
      <c r="F677" s="201"/>
      <c r="G677" s="201"/>
      <c r="H677" s="201"/>
      <c r="I677" s="201"/>
      <c r="J677" s="201"/>
      <c r="K677" s="201"/>
      <c r="L677" s="201"/>
      <c r="M677" s="201"/>
      <c r="N677" s="201"/>
      <c r="O677" s="201"/>
      <c r="P677" s="201"/>
      <c r="Q677" s="201"/>
      <c r="R677" s="201"/>
      <c r="S677" s="201"/>
      <c r="T677" s="201"/>
      <c r="U677" s="201"/>
      <c r="V677" s="201"/>
      <c r="W677" s="201"/>
      <c r="X677" s="201"/>
      <c r="Y677" s="201"/>
      <c r="Z677" s="201"/>
    </row>
    <row r="678" ht="12.8" customHeight="1" spans="1:26">
      <c r="A678" s="200"/>
      <c r="B678" s="201"/>
      <c r="C678" s="201"/>
      <c r="D678" s="201"/>
      <c r="E678" s="201"/>
      <c r="F678" s="201"/>
      <c r="G678" s="201"/>
      <c r="H678" s="201"/>
      <c r="I678" s="201"/>
      <c r="J678" s="201"/>
      <c r="K678" s="201"/>
      <c r="L678" s="201"/>
      <c r="M678" s="201"/>
      <c r="N678" s="201"/>
      <c r="O678" s="201"/>
      <c r="P678" s="201"/>
      <c r="Q678" s="201"/>
      <c r="R678" s="201"/>
      <c r="S678" s="201"/>
      <c r="T678" s="201"/>
      <c r="U678" s="201"/>
      <c r="V678" s="201"/>
      <c r="W678" s="201"/>
      <c r="X678" s="201"/>
      <c r="Y678" s="201"/>
      <c r="Z678" s="201"/>
    </row>
    <row r="679" ht="12.8" customHeight="1" spans="1:26">
      <c r="A679" s="200"/>
      <c r="B679" s="201"/>
      <c r="C679" s="201"/>
      <c r="D679" s="201"/>
      <c r="E679" s="201"/>
      <c r="F679" s="201"/>
      <c r="G679" s="201"/>
      <c r="H679" s="201"/>
      <c r="I679" s="201"/>
      <c r="J679" s="201"/>
      <c r="K679" s="201"/>
      <c r="L679" s="201"/>
      <c r="M679" s="201"/>
      <c r="N679" s="201"/>
      <c r="O679" s="201"/>
      <c r="P679" s="201"/>
      <c r="Q679" s="201"/>
      <c r="R679" s="201"/>
      <c r="S679" s="201"/>
      <c r="T679" s="201"/>
      <c r="U679" s="201"/>
      <c r="V679" s="201"/>
      <c r="W679" s="201"/>
      <c r="X679" s="201"/>
      <c r="Y679" s="201"/>
      <c r="Z679" s="201"/>
    </row>
    <row r="680" ht="12.8" customHeight="1" spans="1:26">
      <c r="A680" s="200"/>
      <c r="B680" s="201"/>
      <c r="C680" s="201"/>
      <c r="D680" s="201"/>
      <c r="E680" s="201"/>
      <c r="F680" s="201"/>
      <c r="G680" s="201"/>
      <c r="H680" s="201"/>
      <c r="I680" s="201"/>
      <c r="J680" s="201"/>
      <c r="K680" s="201"/>
      <c r="L680" s="201"/>
      <c r="M680" s="201"/>
      <c r="N680" s="201"/>
      <c r="O680" s="201"/>
      <c r="P680" s="201"/>
      <c r="Q680" s="201"/>
      <c r="R680" s="201"/>
      <c r="S680" s="201"/>
      <c r="T680" s="201"/>
      <c r="U680" s="201"/>
      <c r="V680" s="201"/>
      <c r="W680" s="201"/>
      <c r="X680" s="201"/>
      <c r="Y680" s="201"/>
      <c r="Z680" s="201"/>
    </row>
    <row r="681" ht="12.8" customHeight="1" spans="1:26">
      <c r="A681" s="200"/>
      <c r="B681" s="201"/>
      <c r="C681" s="201"/>
      <c r="D681" s="201"/>
      <c r="E681" s="201"/>
      <c r="F681" s="201"/>
      <c r="G681" s="201"/>
      <c r="H681" s="201"/>
      <c r="I681" s="201"/>
      <c r="J681" s="201"/>
      <c r="K681" s="201"/>
      <c r="L681" s="201"/>
      <c r="M681" s="201"/>
      <c r="N681" s="201"/>
      <c r="O681" s="201"/>
      <c r="P681" s="201"/>
      <c r="Q681" s="201"/>
      <c r="R681" s="201"/>
      <c r="S681" s="201"/>
      <c r="T681" s="201"/>
      <c r="U681" s="201"/>
      <c r="V681" s="201"/>
      <c r="W681" s="201"/>
      <c r="X681" s="201"/>
      <c r="Y681" s="201"/>
      <c r="Z681" s="201"/>
    </row>
    <row r="682" ht="12.8" customHeight="1" spans="1:26">
      <c r="A682" s="200"/>
      <c r="B682" s="201"/>
      <c r="C682" s="201"/>
      <c r="D682" s="201"/>
      <c r="E682" s="201"/>
      <c r="F682" s="201"/>
      <c r="G682" s="201"/>
      <c r="H682" s="201"/>
      <c r="I682" s="201"/>
      <c r="J682" s="201"/>
      <c r="K682" s="201"/>
      <c r="L682" s="201"/>
      <c r="M682" s="201"/>
      <c r="N682" s="201"/>
      <c r="O682" s="201"/>
      <c r="P682" s="201"/>
      <c r="Q682" s="201"/>
      <c r="R682" s="201"/>
      <c r="S682" s="201"/>
      <c r="T682" s="201"/>
      <c r="U682" s="201"/>
      <c r="V682" s="201"/>
      <c r="W682" s="201"/>
      <c r="X682" s="201"/>
      <c r="Y682" s="201"/>
      <c r="Z682" s="201"/>
    </row>
    <row r="683" ht="12.8" customHeight="1" spans="1:26">
      <c r="A683" s="200"/>
      <c r="B683" s="201"/>
      <c r="C683" s="201"/>
      <c r="D683" s="201"/>
      <c r="E683" s="201"/>
      <c r="F683" s="201"/>
      <c r="G683" s="201"/>
      <c r="H683" s="201"/>
      <c r="I683" s="201"/>
      <c r="J683" s="201"/>
      <c r="K683" s="201"/>
      <c r="L683" s="201"/>
      <c r="M683" s="201"/>
      <c r="N683" s="201"/>
      <c r="O683" s="201"/>
      <c r="P683" s="201"/>
      <c r="Q683" s="201"/>
      <c r="R683" s="201"/>
      <c r="S683" s="201"/>
      <c r="T683" s="201"/>
      <c r="U683" s="201"/>
      <c r="V683" s="201"/>
      <c r="W683" s="201"/>
      <c r="X683" s="201"/>
      <c r="Y683" s="201"/>
      <c r="Z683" s="201"/>
    </row>
    <row r="684" ht="12.8" customHeight="1" spans="1:26">
      <c r="A684" s="200"/>
      <c r="B684" s="201"/>
      <c r="C684" s="201"/>
      <c r="D684" s="201"/>
      <c r="E684" s="201"/>
      <c r="F684" s="201"/>
      <c r="G684" s="201"/>
      <c r="H684" s="201"/>
      <c r="I684" s="201"/>
      <c r="J684" s="201"/>
      <c r="K684" s="201"/>
      <c r="L684" s="201"/>
      <c r="M684" s="201"/>
      <c r="N684" s="201"/>
      <c r="O684" s="201"/>
      <c r="P684" s="201"/>
      <c r="Q684" s="201"/>
      <c r="R684" s="201"/>
      <c r="S684" s="201"/>
      <c r="T684" s="201"/>
      <c r="U684" s="201"/>
      <c r="V684" s="201"/>
      <c r="W684" s="201"/>
      <c r="X684" s="201"/>
      <c r="Y684" s="201"/>
      <c r="Z684" s="201"/>
    </row>
    <row r="685" ht="12.8" customHeight="1" spans="1:26">
      <c r="A685" s="200"/>
      <c r="B685" s="201"/>
      <c r="C685" s="201"/>
      <c r="D685" s="201"/>
      <c r="E685" s="201"/>
      <c r="F685" s="201"/>
      <c r="G685" s="201"/>
      <c r="H685" s="201"/>
      <c r="I685" s="201"/>
      <c r="J685" s="201"/>
      <c r="K685" s="201"/>
      <c r="L685" s="201"/>
      <c r="M685" s="201"/>
      <c r="N685" s="201"/>
      <c r="O685" s="201"/>
      <c r="P685" s="201"/>
      <c r="Q685" s="201"/>
      <c r="R685" s="201"/>
      <c r="S685" s="201"/>
      <c r="T685" s="201"/>
      <c r="U685" s="201"/>
      <c r="V685" s="201"/>
      <c r="W685" s="201"/>
      <c r="X685" s="201"/>
      <c r="Y685" s="201"/>
      <c r="Z685" s="201"/>
    </row>
    <row r="686" ht="12.8" customHeight="1" spans="1:26">
      <c r="A686" s="200"/>
      <c r="B686" s="201"/>
      <c r="C686" s="201"/>
      <c r="D686" s="201"/>
      <c r="E686" s="201"/>
      <c r="F686" s="201"/>
      <c r="G686" s="201"/>
      <c r="H686" s="201"/>
      <c r="I686" s="201"/>
      <c r="J686" s="201"/>
      <c r="K686" s="201"/>
      <c r="L686" s="201"/>
      <c r="M686" s="201"/>
      <c r="N686" s="201"/>
      <c r="O686" s="201"/>
      <c r="P686" s="201"/>
      <c r="Q686" s="201"/>
      <c r="R686" s="201"/>
      <c r="S686" s="201"/>
      <c r="T686" s="201"/>
      <c r="U686" s="201"/>
      <c r="V686" s="201"/>
      <c r="W686" s="201"/>
      <c r="X686" s="201"/>
      <c r="Y686" s="201"/>
      <c r="Z686" s="201"/>
    </row>
    <row r="687" ht="12.8" customHeight="1" spans="1:26">
      <c r="A687" s="200"/>
      <c r="B687" s="201"/>
      <c r="C687" s="201"/>
      <c r="D687" s="201"/>
      <c r="E687" s="201"/>
      <c r="F687" s="201"/>
      <c r="G687" s="201"/>
      <c r="H687" s="201"/>
      <c r="I687" s="201"/>
      <c r="J687" s="201"/>
      <c r="K687" s="201"/>
      <c r="L687" s="201"/>
      <c r="M687" s="201"/>
      <c r="N687" s="201"/>
      <c r="O687" s="201"/>
      <c r="P687" s="201"/>
      <c r="Q687" s="201"/>
      <c r="R687" s="201"/>
      <c r="S687" s="201"/>
      <c r="T687" s="201"/>
      <c r="U687" s="201"/>
      <c r="V687" s="201"/>
      <c r="W687" s="201"/>
      <c r="X687" s="201"/>
      <c r="Y687" s="201"/>
      <c r="Z687" s="201"/>
    </row>
    <row r="688" ht="12.8" customHeight="1" spans="1:26">
      <c r="A688" s="200"/>
      <c r="B688" s="201"/>
      <c r="C688" s="201"/>
      <c r="D688" s="201"/>
      <c r="E688" s="201"/>
      <c r="F688" s="201"/>
      <c r="G688" s="201"/>
      <c r="H688" s="201"/>
      <c r="I688" s="201"/>
      <c r="J688" s="201"/>
      <c r="K688" s="201"/>
      <c r="L688" s="201"/>
      <c r="M688" s="201"/>
      <c r="N688" s="201"/>
      <c r="O688" s="201"/>
      <c r="P688" s="201"/>
      <c r="Q688" s="201"/>
      <c r="R688" s="201"/>
      <c r="S688" s="201"/>
      <c r="T688" s="201"/>
      <c r="U688" s="201"/>
      <c r="V688" s="201"/>
      <c r="W688" s="201"/>
      <c r="X688" s="201"/>
      <c r="Y688" s="201"/>
      <c r="Z688" s="201"/>
    </row>
    <row r="689" ht="12.8" customHeight="1" spans="1:26">
      <c r="A689" s="200"/>
      <c r="B689" s="201"/>
      <c r="C689" s="201"/>
      <c r="D689" s="201"/>
      <c r="E689" s="201"/>
      <c r="F689" s="201"/>
      <c r="G689" s="201"/>
      <c r="H689" s="201"/>
      <c r="I689" s="201"/>
      <c r="J689" s="201"/>
      <c r="K689" s="201"/>
      <c r="L689" s="201"/>
      <c r="M689" s="201"/>
      <c r="N689" s="201"/>
      <c r="O689" s="201"/>
      <c r="P689" s="201"/>
      <c r="Q689" s="201"/>
      <c r="R689" s="201"/>
      <c r="S689" s="201"/>
      <c r="T689" s="201"/>
      <c r="U689" s="201"/>
      <c r="V689" s="201"/>
      <c r="W689" s="201"/>
      <c r="X689" s="201"/>
      <c r="Y689" s="201"/>
      <c r="Z689" s="201"/>
    </row>
    <row r="690" ht="12.8" customHeight="1" spans="1:26">
      <c r="A690" s="200"/>
      <c r="B690" s="201"/>
      <c r="C690" s="201"/>
      <c r="D690" s="201"/>
      <c r="E690" s="201"/>
      <c r="F690" s="201"/>
      <c r="G690" s="201"/>
      <c r="H690" s="201"/>
      <c r="I690" s="201"/>
      <c r="J690" s="201"/>
      <c r="K690" s="201"/>
      <c r="L690" s="201"/>
      <c r="M690" s="201"/>
      <c r="N690" s="201"/>
      <c r="O690" s="201"/>
      <c r="P690" s="201"/>
      <c r="Q690" s="201"/>
      <c r="R690" s="201"/>
      <c r="S690" s="201"/>
      <c r="T690" s="201"/>
      <c r="U690" s="201"/>
      <c r="V690" s="201"/>
      <c r="W690" s="201"/>
      <c r="X690" s="201"/>
      <c r="Y690" s="201"/>
      <c r="Z690" s="201"/>
    </row>
    <row r="691" ht="12.8" customHeight="1" spans="1:26">
      <c r="A691" s="200"/>
      <c r="B691" s="201"/>
      <c r="C691" s="201"/>
      <c r="D691" s="201"/>
      <c r="E691" s="201"/>
      <c r="F691" s="201"/>
      <c r="G691" s="201"/>
      <c r="H691" s="201"/>
      <c r="I691" s="201"/>
      <c r="J691" s="201"/>
      <c r="K691" s="201"/>
      <c r="L691" s="201"/>
      <c r="M691" s="201"/>
      <c r="N691" s="201"/>
      <c r="O691" s="201"/>
      <c r="P691" s="201"/>
      <c r="Q691" s="201"/>
      <c r="R691" s="201"/>
      <c r="S691" s="201"/>
      <c r="T691" s="201"/>
      <c r="U691" s="201"/>
      <c r="V691" s="201"/>
      <c r="W691" s="201"/>
      <c r="X691" s="201"/>
      <c r="Y691" s="201"/>
      <c r="Z691" s="201"/>
    </row>
    <row r="692" ht="12.8" customHeight="1" spans="1:26">
      <c r="A692" s="200"/>
      <c r="B692" s="201"/>
      <c r="C692" s="201"/>
      <c r="D692" s="201"/>
      <c r="E692" s="201"/>
      <c r="F692" s="201"/>
      <c r="G692" s="201"/>
      <c r="H692" s="201"/>
      <c r="I692" s="201"/>
      <c r="J692" s="201"/>
      <c r="K692" s="201"/>
      <c r="L692" s="201"/>
      <c r="M692" s="201"/>
      <c r="N692" s="201"/>
      <c r="O692" s="201"/>
      <c r="P692" s="201"/>
      <c r="Q692" s="201"/>
      <c r="R692" s="201"/>
      <c r="S692" s="201"/>
      <c r="T692" s="201"/>
      <c r="U692" s="201"/>
      <c r="V692" s="201"/>
      <c r="W692" s="201"/>
      <c r="X692" s="201"/>
      <c r="Y692" s="201"/>
      <c r="Z692" s="201"/>
    </row>
    <row r="693" ht="12.8" customHeight="1" spans="1:26">
      <c r="A693" s="200"/>
      <c r="B693" s="201"/>
      <c r="C693" s="201"/>
      <c r="D693" s="201"/>
      <c r="E693" s="201"/>
      <c r="F693" s="201"/>
      <c r="G693" s="201"/>
      <c r="H693" s="201"/>
      <c r="I693" s="201"/>
      <c r="J693" s="201"/>
      <c r="K693" s="201"/>
      <c r="L693" s="201"/>
      <c r="M693" s="201"/>
      <c r="N693" s="201"/>
      <c r="O693" s="201"/>
      <c r="P693" s="201"/>
      <c r="Q693" s="201"/>
      <c r="R693" s="201"/>
      <c r="S693" s="201"/>
      <c r="T693" s="201"/>
      <c r="U693" s="201"/>
      <c r="V693" s="201"/>
      <c r="W693" s="201"/>
      <c r="X693" s="201"/>
      <c r="Y693" s="201"/>
      <c r="Z693" s="201"/>
    </row>
    <row r="694" ht="12.8" customHeight="1" spans="1:26">
      <c r="A694" s="200"/>
      <c r="B694" s="201"/>
      <c r="C694" s="201"/>
      <c r="D694" s="201"/>
      <c r="E694" s="201"/>
      <c r="F694" s="201"/>
      <c r="G694" s="201"/>
      <c r="H694" s="201"/>
      <c r="I694" s="201"/>
      <c r="J694" s="201"/>
      <c r="K694" s="201"/>
      <c r="L694" s="201"/>
      <c r="M694" s="201"/>
      <c r="N694" s="201"/>
      <c r="O694" s="201"/>
      <c r="P694" s="201"/>
      <c r="Q694" s="201"/>
      <c r="R694" s="201"/>
      <c r="S694" s="201"/>
      <c r="T694" s="201"/>
      <c r="U694" s="201"/>
      <c r="V694" s="201"/>
      <c r="W694" s="201"/>
      <c r="X694" s="201"/>
      <c r="Y694" s="201"/>
      <c r="Z694" s="201"/>
    </row>
    <row r="695" ht="12.8" customHeight="1" spans="1:26">
      <c r="A695" s="200"/>
      <c r="B695" s="201"/>
      <c r="C695" s="201"/>
      <c r="D695" s="201"/>
      <c r="E695" s="201"/>
      <c r="F695" s="201"/>
      <c r="G695" s="201"/>
      <c r="H695" s="201"/>
      <c r="I695" s="201"/>
      <c r="J695" s="201"/>
      <c r="K695" s="201"/>
      <c r="L695" s="201"/>
      <c r="M695" s="201"/>
      <c r="N695" s="201"/>
      <c r="O695" s="201"/>
      <c r="P695" s="201"/>
      <c r="Q695" s="201"/>
      <c r="R695" s="201"/>
      <c r="S695" s="201"/>
      <c r="T695" s="201"/>
      <c r="U695" s="201"/>
      <c r="V695" s="201"/>
      <c r="W695" s="201"/>
      <c r="X695" s="201"/>
      <c r="Y695" s="201"/>
      <c r="Z695" s="201"/>
    </row>
    <row r="696" ht="12.8" customHeight="1" spans="1:26">
      <c r="A696" s="200"/>
      <c r="B696" s="201"/>
      <c r="C696" s="201"/>
      <c r="D696" s="201"/>
      <c r="E696" s="201"/>
      <c r="F696" s="201"/>
      <c r="G696" s="201"/>
      <c r="H696" s="201"/>
      <c r="I696" s="201"/>
      <c r="J696" s="201"/>
      <c r="K696" s="201"/>
      <c r="L696" s="201"/>
      <c r="M696" s="201"/>
      <c r="N696" s="201"/>
      <c r="O696" s="201"/>
      <c r="P696" s="201"/>
      <c r="Q696" s="201"/>
      <c r="R696" s="201"/>
      <c r="S696" s="201"/>
      <c r="T696" s="201"/>
      <c r="U696" s="201"/>
      <c r="V696" s="201"/>
      <c r="W696" s="201"/>
      <c r="X696" s="201"/>
      <c r="Y696" s="201"/>
      <c r="Z696" s="201"/>
    </row>
    <row r="697" ht="12.8" customHeight="1" spans="1:26">
      <c r="A697" s="200"/>
      <c r="B697" s="201"/>
      <c r="C697" s="201"/>
      <c r="D697" s="201"/>
      <c r="E697" s="201"/>
      <c r="F697" s="201"/>
      <c r="G697" s="201"/>
      <c r="H697" s="201"/>
      <c r="I697" s="201"/>
      <c r="J697" s="201"/>
      <c r="K697" s="201"/>
      <c r="L697" s="201"/>
      <c r="M697" s="201"/>
      <c r="N697" s="201"/>
      <c r="O697" s="201"/>
      <c r="P697" s="201"/>
      <c r="Q697" s="201"/>
      <c r="R697" s="201"/>
      <c r="S697" s="201"/>
      <c r="T697" s="201"/>
      <c r="U697" s="201"/>
      <c r="V697" s="201"/>
      <c r="W697" s="201"/>
      <c r="X697" s="201"/>
      <c r="Y697" s="201"/>
      <c r="Z697" s="201"/>
    </row>
    <row r="698" ht="12.8" customHeight="1" spans="1:26">
      <c r="A698" s="200"/>
      <c r="B698" s="201"/>
      <c r="C698" s="201"/>
      <c r="D698" s="201"/>
      <c r="E698" s="201"/>
      <c r="F698" s="201"/>
      <c r="G698" s="201"/>
      <c r="H698" s="201"/>
      <c r="I698" s="201"/>
      <c r="J698" s="201"/>
      <c r="K698" s="201"/>
      <c r="L698" s="201"/>
      <c r="M698" s="201"/>
      <c r="N698" s="201"/>
      <c r="O698" s="201"/>
      <c r="P698" s="201"/>
      <c r="Q698" s="201"/>
      <c r="R698" s="201"/>
      <c r="S698" s="201"/>
      <c r="T698" s="201"/>
      <c r="U698" s="201"/>
      <c r="V698" s="201"/>
      <c r="W698" s="201"/>
      <c r="X698" s="201"/>
      <c r="Y698" s="201"/>
      <c r="Z698" s="201"/>
    </row>
    <row r="699" ht="12.8" customHeight="1" spans="1:26">
      <c r="A699" s="200"/>
      <c r="B699" s="201"/>
      <c r="C699" s="201"/>
      <c r="D699" s="201"/>
      <c r="E699" s="201"/>
      <c r="F699" s="201"/>
      <c r="G699" s="201"/>
      <c r="H699" s="201"/>
      <c r="I699" s="201"/>
      <c r="J699" s="201"/>
      <c r="K699" s="201"/>
      <c r="L699" s="201"/>
      <c r="M699" s="201"/>
      <c r="N699" s="201"/>
      <c r="O699" s="201"/>
      <c r="P699" s="201"/>
      <c r="Q699" s="201"/>
      <c r="R699" s="201"/>
      <c r="S699" s="201"/>
      <c r="T699" s="201"/>
      <c r="U699" s="201"/>
      <c r="V699" s="201"/>
      <c r="W699" s="201"/>
      <c r="X699" s="201"/>
      <c r="Y699" s="201"/>
      <c r="Z699" s="201"/>
    </row>
    <row r="700" ht="12.8" customHeight="1" spans="1:26">
      <c r="A700" s="200"/>
      <c r="B700" s="201"/>
      <c r="C700" s="201"/>
      <c r="D700" s="201"/>
      <c r="E700" s="201"/>
      <c r="F700" s="201"/>
      <c r="G700" s="201"/>
      <c r="H700" s="201"/>
      <c r="I700" s="201"/>
      <c r="J700" s="201"/>
      <c r="K700" s="201"/>
      <c r="L700" s="201"/>
      <c r="M700" s="201"/>
      <c r="N700" s="201"/>
      <c r="O700" s="201"/>
      <c r="P700" s="201"/>
      <c r="Q700" s="201"/>
      <c r="R700" s="201"/>
      <c r="S700" s="201"/>
      <c r="T700" s="201"/>
      <c r="U700" s="201"/>
      <c r="V700" s="201"/>
      <c r="W700" s="201"/>
      <c r="X700" s="201"/>
      <c r="Y700" s="201"/>
      <c r="Z700" s="201"/>
    </row>
    <row r="701" ht="12.8" customHeight="1" spans="1:26">
      <c r="A701" s="200"/>
      <c r="B701" s="201"/>
      <c r="C701" s="201"/>
      <c r="D701" s="201"/>
      <c r="E701" s="201"/>
      <c r="F701" s="201"/>
      <c r="G701" s="201"/>
      <c r="H701" s="201"/>
      <c r="I701" s="201"/>
      <c r="J701" s="201"/>
      <c r="K701" s="201"/>
      <c r="L701" s="201"/>
      <c r="M701" s="201"/>
      <c r="N701" s="201"/>
      <c r="O701" s="201"/>
      <c r="P701" s="201"/>
      <c r="Q701" s="201"/>
      <c r="R701" s="201"/>
      <c r="S701" s="201"/>
      <c r="T701" s="201"/>
      <c r="U701" s="201"/>
      <c r="V701" s="201"/>
      <c r="W701" s="201"/>
      <c r="X701" s="201"/>
      <c r="Y701" s="201"/>
      <c r="Z701" s="201"/>
    </row>
    <row r="702" ht="12.8" customHeight="1" spans="1:26">
      <c r="A702" s="200"/>
      <c r="B702" s="201"/>
      <c r="C702" s="201"/>
      <c r="D702" s="201"/>
      <c r="E702" s="201"/>
      <c r="F702" s="201"/>
      <c r="G702" s="201"/>
      <c r="H702" s="201"/>
      <c r="I702" s="201"/>
      <c r="J702" s="201"/>
      <c r="K702" s="201"/>
      <c r="L702" s="201"/>
      <c r="M702" s="201"/>
      <c r="N702" s="201"/>
      <c r="O702" s="201"/>
      <c r="P702" s="201"/>
      <c r="Q702" s="201"/>
      <c r="R702" s="201"/>
      <c r="S702" s="201"/>
      <c r="T702" s="201"/>
      <c r="U702" s="201"/>
      <c r="V702" s="201"/>
      <c r="W702" s="201"/>
      <c r="X702" s="201"/>
      <c r="Y702" s="201"/>
      <c r="Z702" s="201"/>
    </row>
    <row r="703" ht="12.8" customHeight="1" spans="1:26">
      <c r="A703" s="200"/>
      <c r="B703" s="201"/>
      <c r="C703" s="201"/>
      <c r="D703" s="201"/>
      <c r="E703" s="201"/>
      <c r="F703" s="201"/>
      <c r="G703" s="201"/>
      <c r="H703" s="201"/>
      <c r="I703" s="201"/>
      <c r="J703" s="201"/>
      <c r="K703" s="201"/>
      <c r="L703" s="201"/>
      <c r="M703" s="201"/>
      <c r="N703" s="201"/>
      <c r="O703" s="201"/>
      <c r="P703" s="201"/>
      <c r="Q703" s="201"/>
      <c r="R703" s="201"/>
      <c r="S703" s="201"/>
      <c r="T703" s="201"/>
      <c r="U703" s="201"/>
      <c r="V703" s="201"/>
      <c r="W703" s="201"/>
      <c r="X703" s="201"/>
      <c r="Y703" s="201"/>
      <c r="Z703" s="201"/>
    </row>
    <row r="704" ht="12.8" customHeight="1" spans="1:26">
      <c r="A704" s="200"/>
      <c r="B704" s="201"/>
      <c r="C704" s="201"/>
      <c r="D704" s="201"/>
      <c r="E704" s="201"/>
      <c r="F704" s="201"/>
      <c r="G704" s="201"/>
      <c r="H704" s="201"/>
      <c r="I704" s="201"/>
      <c r="J704" s="201"/>
      <c r="K704" s="201"/>
      <c r="L704" s="201"/>
      <c r="M704" s="201"/>
      <c r="N704" s="201"/>
      <c r="O704" s="201"/>
      <c r="P704" s="201"/>
      <c r="Q704" s="201"/>
      <c r="R704" s="201"/>
      <c r="S704" s="201"/>
      <c r="T704" s="201"/>
      <c r="U704" s="201"/>
      <c r="V704" s="201"/>
      <c r="W704" s="201"/>
      <c r="X704" s="201"/>
      <c r="Y704" s="201"/>
      <c r="Z704" s="201"/>
    </row>
    <row r="705" ht="12.8" customHeight="1" spans="1:26">
      <c r="A705" s="200"/>
      <c r="B705" s="201"/>
      <c r="C705" s="201"/>
      <c r="D705" s="201"/>
      <c r="E705" s="201"/>
      <c r="F705" s="201"/>
      <c r="G705" s="201"/>
      <c r="H705" s="201"/>
      <c r="I705" s="201"/>
      <c r="J705" s="201"/>
      <c r="K705" s="201"/>
      <c r="L705" s="201"/>
      <c r="M705" s="201"/>
      <c r="N705" s="201"/>
      <c r="O705" s="201"/>
      <c r="P705" s="201"/>
      <c r="Q705" s="201"/>
      <c r="R705" s="201"/>
      <c r="S705" s="201"/>
      <c r="T705" s="201"/>
      <c r="U705" s="201"/>
      <c r="V705" s="201"/>
      <c r="W705" s="201"/>
      <c r="X705" s="201"/>
      <c r="Y705" s="201"/>
      <c r="Z705" s="201"/>
    </row>
    <row r="706" ht="12.8" customHeight="1" spans="1:26">
      <c r="A706" s="200"/>
      <c r="B706" s="201"/>
      <c r="C706" s="201"/>
      <c r="D706" s="201"/>
      <c r="E706" s="201"/>
      <c r="F706" s="201"/>
      <c r="G706" s="201"/>
      <c r="H706" s="201"/>
      <c r="I706" s="201"/>
      <c r="J706" s="201"/>
      <c r="K706" s="201"/>
      <c r="L706" s="201"/>
      <c r="M706" s="201"/>
      <c r="N706" s="201"/>
      <c r="O706" s="201"/>
      <c r="P706" s="201"/>
      <c r="Q706" s="201"/>
      <c r="R706" s="201"/>
      <c r="S706" s="201"/>
      <c r="T706" s="201"/>
      <c r="U706" s="201"/>
      <c r="V706" s="201"/>
      <c r="W706" s="201"/>
      <c r="X706" s="201"/>
      <c r="Y706" s="201"/>
      <c r="Z706" s="201"/>
    </row>
    <row r="707" ht="12.8" customHeight="1" spans="1:26">
      <c r="A707" s="200"/>
      <c r="B707" s="201"/>
      <c r="C707" s="201"/>
      <c r="D707" s="201"/>
      <c r="E707" s="201"/>
      <c r="F707" s="201"/>
      <c r="G707" s="201"/>
      <c r="H707" s="201"/>
      <c r="I707" s="201"/>
      <c r="J707" s="201"/>
      <c r="K707" s="201"/>
      <c r="L707" s="201"/>
      <c r="M707" s="201"/>
      <c r="N707" s="201"/>
      <c r="O707" s="201"/>
      <c r="P707" s="201"/>
      <c r="Q707" s="201"/>
      <c r="R707" s="201"/>
      <c r="S707" s="201"/>
      <c r="T707" s="201"/>
      <c r="U707" s="201"/>
      <c r="V707" s="201"/>
      <c r="W707" s="201"/>
      <c r="X707" s="201"/>
      <c r="Y707" s="201"/>
      <c r="Z707" s="201"/>
    </row>
    <row r="708" ht="12.8" customHeight="1" spans="1:26">
      <c r="A708" s="200"/>
      <c r="B708" s="201"/>
      <c r="C708" s="201"/>
      <c r="D708" s="201"/>
      <c r="E708" s="201"/>
      <c r="F708" s="201"/>
      <c r="G708" s="201"/>
      <c r="H708" s="201"/>
      <c r="I708" s="201"/>
      <c r="J708" s="201"/>
      <c r="K708" s="201"/>
      <c r="L708" s="201"/>
      <c r="M708" s="201"/>
      <c r="N708" s="201"/>
      <c r="O708" s="201"/>
      <c r="P708" s="201"/>
      <c r="Q708" s="201"/>
      <c r="R708" s="201"/>
      <c r="S708" s="201"/>
      <c r="T708" s="201"/>
      <c r="U708" s="201"/>
      <c r="V708" s="201"/>
      <c r="W708" s="201"/>
      <c r="X708" s="201"/>
      <c r="Y708" s="201"/>
      <c r="Z708" s="201"/>
    </row>
    <row r="709" ht="12.8" customHeight="1" spans="1:26">
      <c r="A709" s="200"/>
      <c r="B709" s="201"/>
      <c r="C709" s="201"/>
      <c r="D709" s="201"/>
      <c r="E709" s="201"/>
      <c r="F709" s="201"/>
      <c r="G709" s="201"/>
      <c r="H709" s="201"/>
      <c r="I709" s="201"/>
      <c r="J709" s="201"/>
      <c r="K709" s="201"/>
      <c r="L709" s="201"/>
      <c r="M709" s="201"/>
      <c r="N709" s="201"/>
      <c r="O709" s="201"/>
      <c r="P709" s="201"/>
      <c r="Q709" s="201"/>
      <c r="R709" s="201"/>
      <c r="S709" s="201"/>
      <c r="T709" s="201"/>
      <c r="U709" s="201"/>
      <c r="V709" s="201"/>
      <c r="W709" s="201"/>
      <c r="X709" s="201"/>
      <c r="Y709" s="201"/>
      <c r="Z709" s="201"/>
    </row>
    <row r="710" ht="12.8" customHeight="1" spans="1:26">
      <c r="A710" s="200"/>
      <c r="B710" s="201"/>
      <c r="C710" s="201"/>
      <c r="D710" s="201"/>
      <c r="E710" s="201"/>
      <c r="F710" s="201"/>
      <c r="G710" s="201"/>
      <c r="H710" s="201"/>
      <c r="I710" s="201"/>
      <c r="J710" s="201"/>
      <c r="K710" s="201"/>
      <c r="L710" s="201"/>
      <c r="M710" s="201"/>
      <c r="N710" s="201"/>
      <c r="O710" s="201"/>
      <c r="P710" s="201"/>
      <c r="Q710" s="201"/>
      <c r="R710" s="201"/>
      <c r="S710" s="201"/>
      <c r="T710" s="201"/>
      <c r="U710" s="201"/>
      <c r="V710" s="201"/>
      <c r="W710" s="201"/>
      <c r="X710" s="201"/>
      <c r="Y710" s="201"/>
      <c r="Z710" s="201"/>
    </row>
    <row r="711" ht="12.8" customHeight="1" spans="1:26">
      <c r="A711" s="200"/>
      <c r="B711" s="201"/>
      <c r="C711" s="201"/>
      <c r="D711" s="201"/>
      <c r="E711" s="201"/>
      <c r="F711" s="201"/>
      <c r="G711" s="201"/>
      <c r="H711" s="201"/>
      <c r="I711" s="201"/>
      <c r="J711" s="201"/>
      <c r="K711" s="201"/>
      <c r="L711" s="201"/>
      <c r="M711" s="201"/>
      <c r="N711" s="201"/>
      <c r="O711" s="201"/>
      <c r="P711" s="201"/>
      <c r="Q711" s="201"/>
      <c r="R711" s="201"/>
      <c r="S711" s="201"/>
      <c r="T711" s="201"/>
      <c r="U711" s="201"/>
      <c r="V711" s="201"/>
      <c r="W711" s="201"/>
      <c r="X711" s="201"/>
      <c r="Y711" s="201"/>
      <c r="Z711" s="201"/>
    </row>
    <row r="712" ht="12.8" customHeight="1" spans="1:26">
      <c r="A712" s="200"/>
      <c r="B712" s="201"/>
      <c r="C712" s="201"/>
      <c r="D712" s="201"/>
      <c r="E712" s="201"/>
      <c r="F712" s="201"/>
      <c r="G712" s="201"/>
      <c r="H712" s="201"/>
      <c r="I712" s="201"/>
      <c r="J712" s="201"/>
      <c r="K712" s="201"/>
      <c r="L712" s="201"/>
      <c r="M712" s="201"/>
      <c r="N712" s="201"/>
      <c r="O712" s="201"/>
      <c r="P712" s="201"/>
      <c r="Q712" s="201"/>
      <c r="R712" s="201"/>
      <c r="S712" s="201"/>
      <c r="T712" s="201"/>
      <c r="U712" s="201"/>
      <c r="V712" s="201"/>
      <c r="W712" s="201"/>
      <c r="X712" s="201"/>
      <c r="Y712" s="201"/>
      <c r="Z712" s="201"/>
    </row>
    <row r="713" ht="12.8" customHeight="1" spans="1:26">
      <c r="A713" s="200"/>
      <c r="B713" s="201"/>
      <c r="C713" s="201"/>
      <c r="D713" s="201"/>
      <c r="E713" s="201"/>
      <c r="F713" s="201"/>
      <c r="G713" s="201"/>
      <c r="H713" s="201"/>
      <c r="I713" s="201"/>
      <c r="J713" s="201"/>
      <c r="K713" s="201"/>
      <c r="L713" s="201"/>
      <c r="M713" s="201"/>
      <c r="N713" s="201"/>
      <c r="O713" s="201"/>
      <c r="P713" s="201"/>
      <c r="Q713" s="201"/>
      <c r="R713" s="201"/>
      <c r="S713" s="201"/>
      <c r="T713" s="201"/>
      <c r="U713" s="201"/>
      <c r="V713" s="201"/>
      <c r="W713" s="201"/>
      <c r="X713" s="201"/>
      <c r="Y713" s="201"/>
      <c r="Z713" s="201"/>
    </row>
    <row r="714" ht="12.8" customHeight="1" spans="1:26">
      <c r="A714" s="200"/>
      <c r="B714" s="201"/>
      <c r="C714" s="201"/>
      <c r="D714" s="201"/>
      <c r="E714" s="201"/>
      <c r="F714" s="201"/>
      <c r="G714" s="201"/>
      <c r="H714" s="201"/>
      <c r="I714" s="201"/>
      <c r="J714" s="201"/>
      <c r="K714" s="201"/>
      <c r="L714" s="201"/>
      <c r="M714" s="201"/>
      <c r="N714" s="201"/>
      <c r="O714" s="201"/>
      <c r="P714" s="201"/>
      <c r="Q714" s="201"/>
      <c r="R714" s="201"/>
      <c r="S714" s="201"/>
      <c r="T714" s="201"/>
      <c r="U714" s="201"/>
      <c r="V714" s="201"/>
      <c r="W714" s="201"/>
      <c r="X714" s="201"/>
      <c r="Y714" s="201"/>
      <c r="Z714" s="201"/>
    </row>
    <row r="715" ht="12.8" customHeight="1" spans="1:26">
      <c r="A715" s="200"/>
      <c r="B715" s="201"/>
      <c r="C715" s="201"/>
      <c r="D715" s="201"/>
      <c r="E715" s="201"/>
      <c r="F715" s="201"/>
      <c r="G715" s="201"/>
      <c r="H715" s="201"/>
      <c r="I715" s="201"/>
      <c r="J715" s="201"/>
      <c r="K715" s="201"/>
      <c r="L715" s="201"/>
      <c r="M715" s="201"/>
      <c r="N715" s="201"/>
      <c r="O715" s="201"/>
      <c r="P715" s="201"/>
      <c r="Q715" s="201"/>
      <c r="R715" s="201"/>
      <c r="S715" s="201"/>
      <c r="T715" s="201"/>
      <c r="U715" s="201"/>
      <c r="V715" s="201"/>
      <c r="W715" s="201"/>
      <c r="X715" s="201"/>
      <c r="Y715" s="201"/>
      <c r="Z715" s="201"/>
    </row>
    <row r="716" ht="12.8" customHeight="1" spans="1:26">
      <c r="A716" s="200"/>
      <c r="B716" s="201"/>
      <c r="C716" s="201"/>
      <c r="D716" s="201"/>
      <c r="E716" s="201"/>
      <c r="F716" s="201"/>
      <c r="G716" s="201"/>
      <c r="H716" s="201"/>
      <c r="I716" s="201"/>
      <c r="J716" s="201"/>
      <c r="K716" s="201"/>
      <c r="L716" s="201"/>
      <c r="M716" s="201"/>
      <c r="N716" s="201"/>
      <c r="O716" s="201"/>
      <c r="P716" s="201"/>
      <c r="Q716" s="201"/>
      <c r="R716" s="201"/>
      <c r="S716" s="201"/>
      <c r="T716" s="201"/>
      <c r="U716" s="201"/>
      <c r="V716" s="201"/>
      <c r="W716" s="201"/>
      <c r="X716" s="201"/>
      <c r="Y716" s="201"/>
      <c r="Z716" s="201"/>
    </row>
    <row r="717" ht="12.8" customHeight="1" spans="1:26">
      <c r="A717" s="200"/>
      <c r="B717" s="201"/>
      <c r="C717" s="201"/>
      <c r="D717" s="201"/>
      <c r="E717" s="201"/>
      <c r="F717" s="201"/>
      <c r="G717" s="201"/>
      <c r="H717" s="201"/>
      <c r="I717" s="201"/>
      <c r="J717" s="201"/>
      <c r="K717" s="201"/>
      <c r="L717" s="201"/>
      <c r="M717" s="201"/>
      <c r="N717" s="201"/>
      <c r="O717" s="201"/>
      <c r="P717" s="201"/>
      <c r="Q717" s="201"/>
      <c r="R717" s="201"/>
      <c r="S717" s="201"/>
      <c r="T717" s="201"/>
      <c r="U717" s="201"/>
      <c r="V717" s="201"/>
      <c r="W717" s="201"/>
      <c r="X717" s="201"/>
      <c r="Y717" s="201"/>
      <c r="Z717" s="201"/>
    </row>
    <row r="718" ht="12.8" customHeight="1" spans="1:26">
      <c r="A718" s="200"/>
      <c r="B718" s="201"/>
      <c r="C718" s="201"/>
      <c r="D718" s="201"/>
      <c r="E718" s="201"/>
      <c r="F718" s="201"/>
      <c r="G718" s="201"/>
      <c r="H718" s="201"/>
      <c r="I718" s="201"/>
      <c r="J718" s="201"/>
      <c r="K718" s="201"/>
      <c r="L718" s="201"/>
      <c r="M718" s="201"/>
      <c r="N718" s="201"/>
      <c r="O718" s="201"/>
      <c r="P718" s="201"/>
      <c r="Q718" s="201"/>
      <c r="R718" s="201"/>
      <c r="S718" s="201"/>
      <c r="T718" s="201"/>
      <c r="U718" s="201"/>
      <c r="V718" s="201"/>
      <c r="W718" s="201"/>
      <c r="X718" s="201"/>
      <c r="Y718" s="201"/>
      <c r="Z718" s="201"/>
    </row>
    <row r="719" ht="12.8" customHeight="1" spans="1:26">
      <c r="A719" s="200"/>
      <c r="B719" s="201"/>
      <c r="C719" s="201"/>
      <c r="D719" s="201"/>
      <c r="E719" s="201"/>
      <c r="F719" s="201"/>
      <c r="G719" s="201"/>
      <c r="H719" s="201"/>
      <c r="I719" s="201"/>
      <c r="J719" s="201"/>
      <c r="K719" s="201"/>
      <c r="L719" s="201"/>
      <c r="M719" s="201"/>
      <c r="N719" s="201"/>
      <c r="O719" s="201"/>
      <c r="P719" s="201"/>
      <c r="Q719" s="201"/>
      <c r="R719" s="201"/>
      <c r="S719" s="201"/>
      <c r="T719" s="201"/>
      <c r="U719" s="201"/>
      <c r="V719" s="201"/>
      <c r="W719" s="201"/>
      <c r="X719" s="201"/>
      <c r="Y719" s="201"/>
      <c r="Z719" s="201"/>
    </row>
    <row r="720" ht="12.8" customHeight="1" spans="1:26">
      <c r="A720" s="200"/>
      <c r="B720" s="201"/>
      <c r="C720" s="201"/>
      <c r="D720" s="201"/>
      <c r="E720" s="201"/>
      <c r="F720" s="201"/>
      <c r="G720" s="201"/>
      <c r="H720" s="201"/>
      <c r="I720" s="201"/>
      <c r="J720" s="201"/>
      <c r="K720" s="201"/>
      <c r="L720" s="201"/>
      <c r="M720" s="201"/>
      <c r="N720" s="201"/>
      <c r="O720" s="201"/>
      <c r="P720" s="201"/>
      <c r="Q720" s="201"/>
      <c r="R720" s="201"/>
      <c r="S720" s="201"/>
      <c r="T720" s="201"/>
      <c r="U720" s="201"/>
      <c r="V720" s="201"/>
      <c r="W720" s="201"/>
      <c r="X720" s="201"/>
      <c r="Y720" s="201"/>
      <c r="Z720" s="201"/>
    </row>
    <row r="721" ht="12.8" customHeight="1" spans="1:26">
      <c r="A721" s="200"/>
      <c r="B721" s="201"/>
      <c r="C721" s="201"/>
      <c r="D721" s="201"/>
      <c r="E721" s="201"/>
      <c r="F721" s="201"/>
      <c r="G721" s="201"/>
      <c r="H721" s="201"/>
      <c r="I721" s="201"/>
      <c r="J721" s="201"/>
      <c r="K721" s="201"/>
      <c r="L721" s="201"/>
      <c r="M721" s="201"/>
      <c r="N721" s="201"/>
      <c r="O721" s="201"/>
      <c r="P721" s="201"/>
      <c r="Q721" s="201"/>
      <c r="R721" s="201"/>
      <c r="S721" s="201"/>
      <c r="T721" s="201"/>
      <c r="U721" s="201"/>
      <c r="V721" s="201"/>
      <c r="W721" s="201"/>
      <c r="X721" s="201"/>
      <c r="Y721" s="201"/>
      <c r="Z721" s="201"/>
    </row>
    <row r="722" ht="12.8" customHeight="1" spans="1:26">
      <c r="A722" s="200"/>
      <c r="B722" s="201"/>
      <c r="C722" s="201"/>
      <c r="D722" s="201"/>
      <c r="E722" s="201"/>
      <c r="F722" s="201"/>
      <c r="G722" s="201"/>
      <c r="H722" s="201"/>
      <c r="I722" s="201"/>
      <c r="J722" s="201"/>
      <c r="K722" s="201"/>
      <c r="L722" s="201"/>
      <c r="M722" s="201"/>
      <c r="N722" s="201"/>
      <c r="O722" s="201"/>
      <c r="P722" s="201"/>
      <c r="Q722" s="201"/>
      <c r="R722" s="201"/>
      <c r="S722" s="201"/>
      <c r="T722" s="201"/>
      <c r="U722" s="201"/>
      <c r="V722" s="201"/>
      <c r="W722" s="201"/>
      <c r="X722" s="201"/>
      <c r="Y722" s="201"/>
      <c r="Z722" s="201"/>
    </row>
    <row r="723" ht="12.8" customHeight="1" spans="1:26">
      <c r="A723" s="200"/>
      <c r="B723" s="201"/>
      <c r="C723" s="201"/>
      <c r="D723" s="201"/>
      <c r="E723" s="201"/>
      <c r="F723" s="201"/>
      <c r="G723" s="201"/>
      <c r="H723" s="201"/>
      <c r="I723" s="201"/>
      <c r="J723" s="201"/>
      <c r="K723" s="201"/>
      <c r="L723" s="201"/>
      <c r="M723" s="201"/>
      <c r="N723" s="201"/>
      <c r="O723" s="201"/>
      <c r="P723" s="201"/>
      <c r="Q723" s="201"/>
      <c r="R723" s="201"/>
      <c r="S723" s="201"/>
      <c r="T723" s="201"/>
      <c r="U723" s="201"/>
      <c r="V723" s="201"/>
      <c r="W723" s="201"/>
      <c r="X723" s="201"/>
      <c r="Y723" s="201"/>
      <c r="Z723" s="201"/>
    </row>
    <row r="724" ht="12.8" customHeight="1" spans="1:26">
      <c r="A724" s="200"/>
      <c r="B724" s="201"/>
      <c r="C724" s="201"/>
      <c r="D724" s="201"/>
      <c r="E724" s="201"/>
      <c r="F724" s="201"/>
      <c r="G724" s="201"/>
      <c r="H724" s="201"/>
      <c r="I724" s="201"/>
      <c r="J724" s="201"/>
      <c r="K724" s="201"/>
      <c r="L724" s="201"/>
      <c r="M724" s="201"/>
      <c r="N724" s="201"/>
      <c r="O724" s="201"/>
      <c r="P724" s="201"/>
      <c r="Q724" s="201"/>
      <c r="R724" s="201"/>
      <c r="S724" s="201"/>
      <c r="T724" s="201"/>
      <c r="U724" s="201"/>
      <c r="V724" s="201"/>
      <c r="W724" s="201"/>
      <c r="X724" s="201"/>
      <c r="Y724" s="201"/>
      <c r="Z724" s="201"/>
    </row>
    <row r="725" ht="12.8" customHeight="1" spans="1:26">
      <c r="A725" s="200"/>
      <c r="B725" s="201"/>
      <c r="C725" s="201"/>
      <c r="D725" s="201"/>
      <c r="E725" s="201"/>
      <c r="F725" s="201"/>
      <c r="G725" s="201"/>
      <c r="H725" s="201"/>
      <c r="I725" s="201"/>
      <c r="J725" s="201"/>
      <c r="K725" s="201"/>
      <c r="L725" s="201"/>
      <c r="M725" s="201"/>
      <c r="N725" s="201"/>
      <c r="O725" s="201"/>
      <c r="P725" s="201"/>
      <c r="Q725" s="201"/>
      <c r="R725" s="201"/>
      <c r="S725" s="201"/>
      <c r="T725" s="201"/>
      <c r="U725" s="201"/>
      <c r="V725" s="201"/>
      <c r="W725" s="201"/>
      <c r="X725" s="201"/>
      <c r="Y725" s="201"/>
      <c r="Z725" s="201"/>
    </row>
    <row r="726" ht="12.8" customHeight="1" spans="1:26">
      <c r="A726" s="200"/>
      <c r="B726" s="201"/>
      <c r="C726" s="201"/>
      <c r="D726" s="201"/>
      <c r="E726" s="201"/>
      <c r="F726" s="201"/>
      <c r="G726" s="201"/>
      <c r="H726" s="201"/>
      <c r="I726" s="201"/>
      <c r="J726" s="201"/>
      <c r="K726" s="201"/>
      <c r="L726" s="201"/>
      <c r="M726" s="201"/>
      <c r="N726" s="201"/>
      <c r="O726" s="201"/>
      <c r="P726" s="201"/>
      <c r="Q726" s="201"/>
      <c r="R726" s="201"/>
      <c r="S726" s="201"/>
      <c r="T726" s="201"/>
      <c r="U726" s="201"/>
      <c r="V726" s="201"/>
      <c r="W726" s="201"/>
      <c r="X726" s="201"/>
      <c r="Y726" s="201"/>
      <c r="Z726" s="201"/>
    </row>
    <row r="727" ht="12.8" customHeight="1" spans="1:26">
      <c r="A727" s="200"/>
      <c r="B727" s="201"/>
      <c r="C727" s="201"/>
      <c r="D727" s="201"/>
      <c r="E727" s="201"/>
      <c r="F727" s="201"/>
      <c r="G727" s="201"/>
      <c r="H727" s="201"/>
      <c r="I727" s="201"/>
      <c r="J727" s="201"/>
      <c r="K727" s="201"/>
      <c r="L727" s="201"/>
      <c r="M727" s="201"/>
      <c r="N727" s="201"/>
      <c r="O727" s="201"/>
      <c r="P727" s="201"/>
      <c r="Q727" s="201"/>
      <c r="R727" s="201"/>
      <c r="S727" s="201"/>
      <c r="T727" s="201"/>
      <c r="U727" s="201"/>
      <c r="V727" s="201"/>
      <c r="W727" s="201"/>
      <c r="X727" s="201"/>
      <c r="Y727" s="201"/>
      <c r="Z727" s="201"/>
    </row>
    <row r="728" ht="12.8" customHeight="1" spans="1:26">
      <c r="A728" s="200"/>
      <c r="B728" s="201"/>
      <c r="C728" s="201"/>
      <c r="D728" s="201"/>
      <c r="E728" s="201"/>
      <c r="F728" s="201"/>
      <c r="G728" s="201"/>
      <c r="H728" s="201"/>
      <c r="I728" s="201"/>
      <c r="J728" s="201"/>
      <c r="K728" s="201"/>
      <c r="L728" s="201"/>
      <c r="M728" s="201"/>
      <c r="N728" s="201"/>
      <c r="O728" s="201"/>
      <c r="P728" s="201"/>
      <c r="Q728" s="201"/>
      <c r="R728" s="201"/>
      <c r="S728" s="201"/>
      <c r="T728" s="201"/>
      <c r="U728" s="201"/>
      <c r="V728" s="201"/>
      <c r="W728" s="201"/>
      <c r="X728" s="201"/>
      <c r="Y728" s="201"/>
      <c r="Z728" s="201"/>
    </row>
    <row r="729" ht="12.8" customHeight="1" spans="1:26">
      <c r="A729" s="200"/>
      <c r="B729" s="201"/>
      <c r="C729" s="201"/>
      <c r="D729" s="201"/>
      <c r="E729" s="201"/>
      <c r="F729" s="201"/>
      <c r="G729" s="201"/>
      <c r="H729" s="201"/>
      <c r="I729" s="201"/>
      <c r="J729" s="201"/>
      <c r="K729" s="201"/>
      <c r="L729" s="201"/>
      <c r="M729" s="201"/>
      <c r="N729" s="201"/>
      <c r="O729" s="201"/>
      <c r="P729" s="201"/>
      <c r="Q729" s="201"/>
      <c r="R729" s="201"/>
      <c r="S729" s="201"/>
      <c r="T729" s="201"/>
      <c r="U729" s="201"/>
      <c r="V729" s="201"/>
      <c r="W729" s="201"/>
      <c r="X729" s="201"/>
      <c r="Y729" s="201"/>
      <c r="Z729" s="201"/>
    </row>
    <row r="730" ht="12.8" customHeight="1" spans="1:26">
      <c r="A730" s="200"/>
      <c r="B730" s="201"/>
      <c r="C730" s="201"/>
      <c r="D730" s="201"/>
      <c r="E730" s="201"/>
      <c r="F730" s="201"/>
      <c r="G730" s="201"/>
      <c r="H730" s="201"/>
      <c r="I730" s="201"/>
      <c r="J730" s="201"/>
      <c r="K730" s="201"/>
      <c r="L730" s="201"/>
      <c r="M730" s="201"/>
      <c r="N730" s="201"/>
      <c r="O730" s="201"/>
      <c r="P730" s="201"/>
      <c r="Q730" s="201"/>
      <c r="R730" s="201"/>
      <c r="S730" s="201"/>
      <c r="T730" s="201"/>
      <c r="U730" s="201"/>
      <c r="V730" s="201"/>
      <c r="W730" s="201"/>
      <c r="X730" s="201"/>
      <c r="Y730" s="201"/>
      <c r="Z730" s="201"/>
    </row>
    <row r="731" ht="12.8" customHeight="1" spans="1:26">
      <c r="A731" s="200"/>
      <c r="B731" s="201"/>
      <c r="C731" s="201"/>
      <c r="D731" s="201"/>
      <c r="E731" s="201"/>
      <c r="F731" s="201"/>
      <c r="G731" s="201"/>
      <c r="H731" s="201"/>
      <c r="I731" s="201"/>
      <c r="J731" s="201"/>
      <c r="K731" s="201"/>
      <c r="L731" s="201"/>
      <c r="M731" s="201"/>
      <c r="N731" s="201"/>
      <c r="O731" s="201"/>
      <c r="P731" s="201"/>
      <c r="Q731" s="201"/>
      <c r="R731" s="201"/>
      <c r="S731" s="201"/>
      <c r="T731" s="201"/>
      <c r="U731" s="201"/>
      <c r="V731" s="201"/>
      <c r="W731" s="201"/>
      <c r="X731" s="201"/>
      <c r="Y731" s="201"/>
      <c r="Z731" s="201"/>
    </row>
    <row r="732" ht="12.8" customHeight="1" spans="1:26">
      <c r="A732" s="200"/>
      <c r="B732" s="201"/>
      <c r="C732" s="201"/>
      <c r="D732" s="201"/>
      <c r="E732" s="201"/>
      <c r="F732" s="201"/>
      <c r="G732" s="201"/>
      <c r="H732" s="201"/>
      <c r="I732" s="201"/>
      <c r="J732" s="201"/>
      <c r="K732" s="201"/>
      <c r="L732" s="201"/>
      <c r="M732" s="201"/>
      <c r="N732" s="201"/>
      <c r="O732" s="201"/>
      <c r="P732" s="201"/>
      <c r="Q732" s="201"/>
      <c r="R732" s="201"/>
      <c r="S732" s="201"/>
      <c r="T732" s="201"/>
      <c r="U732" s="201"/>
      <c r="V732" s="201"/>
      <c r="W732" s="201"/>
      <c r="X732" s="201"/>
      <c r="Y732" s="201"/>
      <c r="Z732" s="201"/>
    </row>
    <row r="733" ht="12.8" customHeight="1" spans="1:26">
      <c r="A733" s="200"/>
      <c r="B733" s="201"/>
      <c r="C733" s="201"/>
      <c r="D733" s="201"/>
      <c r="E733" s="201"/>
      <c r="F733" s="201"/>
      <c r="G733" s="201"/>
      <c r="H733" s="201"/>
      <c r="I733" s="201"/>
      <c r="J733" s="201"/>
      <c r="K733" s="201"/>
      <c r="L733" s="201"/>
      <c r="M733" s="201"/>
      <c r="N733" s="201"/>
      <c r="O733" s="201"/>
      <c r="P733" s="201"/>
      <c r="Q733" s="201"/>
      <c r="R733" s="201"/>
      <c r="S733" s="201"/>
      <c r="T733" s="201"/>
      <c r="U733" s="201"/>
      <c r="V733" s="201"/>
      <c r="W733" s="201"/>
      <c r="X733" s="201"/>
      <c r="Y733" s="201"/>
      <c r="Z733" s="201"/>
    </row>
    <row r="734" ht="12.8" customHeight="1" spans="1:26">
      <c r="A734" s="200"/>
      <c r="B734" s="201"/>
      <c r="C734" s="201"/>
      <c r="D734" s="201"/>
      <c r="E734" s="201"/>
      <c r="F734" s="201"/>
      <c r="G734" s="201"/>
      <c r="H734" s="201"/>
      <c r="I734" s="201"/>
      <c r="J734" s="201"/>
      <c r="K734" s="201"/>
      <c r="L734" s="201"/>
      <c r="M734" s="201"/>
      <c r="N734" s="201"/>
      <c r="O734" s="201"/>
      <c r="P734" s="201"/>
      <c r="Q734" s="201"/>
      <c r="R734" s="201"/>
      <c r="S734" s="201"/>
      <c r="T734" s="201"/>
      <c r="U734" s="201"/>
      <c r="V734" s="201"/>
      <c r="W734" s="201"/>
      <c r="X734" s="201"/>
      <c r="Y734" s="201"/>
      <c r="Z734" s="201"/>
    </row>
    <row r="735" ht="12.8" customHeight="1" spans="1:26">
      <c r="A735" s="200"/>
      <c r="B735" s="201"/>
      <c r="C735" s="201"/>
      <c r="D735" s="201"/>
      <c r="E735" s="201"/>
      <c r="F735" s="201"/>
      <c r="G735" s="201"/>
      <c r="H735" s="201"/>
      <c r="I735" s="201"/>
      <c r="J735" s="201"/>
      <c r="K735" s="201"/>
      <c r="L735" s="201"/>
      <c r="M735" s="201"/>
      <c r="N735" s="201"/>
      <c r="O735" s="201"/>
      <c r="P735" s="201"/>
      <c r="Q735" s="201"/>
      <c r="R735" s="201"/>
      <c r="S735" s="201"/>
      <c r="T735" s="201"/>
      <c r="U735" s="201"/>
      <c r="V735" s="201"/>
      <c r="W735" s="201"/>
      <c r="X735" s="201"/>
      <c r="Y735" s="201"/>
      <c r="Z735" s="201"/>
    </row>
    <row r="736" ht="12.8" customHeight="1" spans="1:26">
      <c r="A736" s="200"/>
      <c r="B736" s="201"/>
      <c r="C736" s="201"/>
      <c r="D736" s="201"/>
      <c r="E736" s="201"/>
      <c r="F736" s="201"/>
      <c r="G736" s="201"/>
      <c r="H736" s="201"/>
      <c r="I736" s="201"/>
      <c r="J736" s="201"/>
      <c r="K736" s="201"/>
      <c r="L736" s="201"/>
      <c r="M736" s="201"/>
      <c r="N736" s="201"/>
      <c r="O736" s="201"/>
      <c r="P736" s="201"/>
      <c r="Q736" s="201"/>
      <c r="R736" s="201"/>
      <c r="S736" s="201"/>
      <c r="T736" s="201"/>
      <c r="U736" s="201"/>
      <c r="V736" s="201"/>
      <c r="W736" s="201"/>
      <c r="X736" s="201"/>
      <c r="Y736" s="201"/>
      <c r="Z736" s="201"/>
    </row>
    <row r="737" ht="12.8" customHeight="1" spans="1:26">
      <c r="A737" s="200"/>
      <c r="B737" s="201"/>
      <c r="C737" s="201"/>
      <c r="D737" s="201"/>
      <c r="E737" s="201"/>
      <c r="F737" s="201"/>
      <c r="G737" s="201"/>
      <c r="H737" s="201"/>
      <c r="I737" s="201"/>
      <c r="J737" s="201"/>
      <c r="K737" s="201"/>
      <c r="L737" s="201"/>
      <c r="M737" s="201"/>
      <c r="N737" s="201"/>
      <c r="O737" s="201"/>
      <c r="P737" s="201"/>
      <c r="Q737" s="201"/>
      <c r="R737" s="201"/>
      <c r="S737" s="201"/>
      <c r="T737" s="201"/>
      <c r="U737" s="201"/>
      <c r="V737" s="201"/>
      <c r="W737" s="201"/>
      <c r="X737" s="201"/>
      <c r="Y737" s="201"/>
      <c r="Z737" s="201"/>
    </row>
    <row r="738" ht="12.8" customHeight="1" spans="1:26">
      <c r="A738" s="200"/>
      <c r="B738" s="201"/>
      <c r="C738" s="201"/>
      <c r="D738" s="201"/>
      <c r="E738" s="201"/>
      <c r="F738" s="201"/>
      <c r="G738" s="201"/>
      <c r="H738" s="201"/>
      <c r="I738" s="201"/>
      <c r="J738" s="201"/>
      <c r="K738" s="201"/>
      <c r="L738" s="201"/>
      <c r="M738" s="201"/>
      <c r="N738" s="201"/>
      <c r="O738" s="201"/>
      <c r="P738" s="201"/>
      <c r="Q738" s="201"/>
      <c r="R738" s="201"/>
      <c r="S738" s="201"/>
      <c r="T738" s="201"/>
      <c r="U738" s="201"/>
      <c r="V738" s="201"/>
      <c r="W738" s="201"/>
      <c r="X738" s="201"/>
      <c r="Y738" s="201"/>
      <c r="Z738" s="201"/>
    </row>
    <row r="739" ht="12.8" customHeight="1" spans="1:26">
      <c r="A739" s="200"/>
      <c r="B739" s="201"/>
      <c r="C739" s="201"/>
      <c r="D739" s="201"/>
      <c r="E739" s="201"/>
      <c r="F739" s="201"/>
      <c r="G739" s="201"/>
      <c r="H739" s="201"/>
      <c r="I739" s="201"/>
      <c r="J739" s="201"/>
      <c r="K739" s="201"/>
      <c r="L739" s="201"/>
      <c r="M739" s="201"/>
      <c r="N739" s="201"/>
      <c r="O739" s="201"/>
      <c r="P739" s="201"/>
      <c r="Q739" s="201"/>
      <c r="R739" s="201"/>
      <c r="S739" s="201"/>
      <c r="T739" s="201"/>
      <c r="U739" s="201"/>
      <c r="V739" s="201"/>
      <c r="W739" s="201"/>
      <c r="X739" s="201"/>
      <c r="Y739" s="201"/>
      <c r="Z739" s="201"/>
    </row>
    <row r="740" ht="12.8" customHeight="1" spans="1:26">
      <c r="A740" s="200"/>
      <c r="B740" s="201"/>
      <c r="C740" s="201"/>
      <c r="D740" s="201"/>
      <c r="E740" s="201"/>
      <c r="F740" s="201"/>
      <c r="G740" s="201"/>
      <c r="H740" s="201"/>
      <c r="I740" s="201"/>
      <c r="J740" s="201"/>
      <c r="K740" s="201"/>
      <c r="L740" s="201"/>
      <c r="M740" s="201"/>
      <c r="N740" s="201"/>
      <c r="O740" s="201"/>
      <c r="P740" s="201"/>
      <c r="Q740" s="201"/>
      <c r="R740" s="201"/>
      <c r="S740" s="201"/>
      <c r="T740" s="201"/>
      <c r="U740" s="201"/>
      <c r="V740" s="201"/>
      <c r="W740" s="201"/>
      <c r="X740" s="201"/>
      <c r="Y740" s="201"/>
      <c r="Z740" s="201"/>
    </row>
    <row r="741" ht="12.8" customHeight="1" spans="1:26">
      <c r="A741" s="200"/>
      <c r="B741" s="201"/>
      <c r="C741" s="201"/>
      <c r="D741" s="201"/>
      <c r="E741" s="201"/>
      <c r="F741" s="201"/>
      <c r="G741" s="201"/>
      <c r="H741" s="201"/>
      <c r="I741" s="201"/>
      <c r="J741" s="201"/>
      <c r="K741" s="201"/>
      <c r="L741" s="201"/>
      <c r="M741" s="201"/>
      <c r="N741" s="201"/>
      <c r="O741" s="201"/>
      <c r="P741" s="201"/>
      <c r="Q741" s="201"/>
      <c r="R741" s="201"/>
      <c r="S741" s="201"/>
      <c r="T741" s="201"/>
      <c r="U741" s="201"/>
      <c r="V741" s="201"/>
      <c r="W741" s="201"/>
      <c r="X741" s="201"/>
      <c r="Y741" s="201"/>
      <c r="Z741" s="201"/>
    </row>
    <row r="742" ht="12.8" customHeight="1" spans="1:26">
      <c r="A742" s="200"/>
      <c r="B742" s="201"/>
      <c r="C742" s="201"/>
      <c r="D742" s="201"/>
      <c r="E742" s="201"/>
      <c r="F742" s="201"/>
      <c r="G742" s="201"/>
      <c r="H742" s="201"/>
      <c r="I742" s="201"/>
      <c r="J742" s="201"/>
      <c r="K742" s="201"/>
      <c r="L742" s="201"/>
      <c r="M742" s="201"/>
      <c r="N742" s="201"/>
      <c r="O742" s="201"/>
      <c r="P742" s="201"/>
      <c r="Q742" s="201"/>
      <c r="R742" s="201"/>
      <c r="S742" s="201"/>
      <c r="T742" s="201"/>
      <c r="U742" s="201"/>
      <c r="V742" s="201"/>
      <c r="W742" s="201"/>
      <c r="X742" s="201"/>
      <c r="Y742" s="201"/>
      <c r="Z742" s="201"/>
    </row>
    <row r="743" ht="12.8" customHeight="1" spans="1:26">
      <c r="A743" s="200"/>
      <c r="B743" s="201"/>
      <c r="C743" s="201"/>
      <c r="D743" s="201"/>
      <c r="E743" s="201"/>
      <c r="F743" s="201"/>
      <c r="G743" s="201"/>
      <c r="H743" s="201"/>
      <c r="I743" s="201"/>
      <c r="J743" s="201"/>
      <c r="K743" s="201"/>
      <c r="L743" s="201"/>
      <c r="M743" s="201"/>
      <c r="N743" s="201"/>
      <c r="O743" s="201"/>
      <c r="P743" s="201"/>
      <c r="Q743" s="201"/>
      <c r="R743" s="201"/>
      <c r="S743" s="201"/>
      <c r="T743" s="201"/>
      <c r="U743" s="201"/>
      <c r="V743" s="201"/>
      <c r="W743" s="201"/>
      <c r="X743" s="201"/>
      <c r="Y743" s="201"/>
      <c r="Z743" s="201"/>
    </row>
    <row r="744" ht="12.8" customHeight="1" spans="1:26">
      <c r="A744" s="200"/>
      <c r="B744" s="201"/>
      <c r="C744" s="201"/>
      <c r="D744" s="201"/>
      <c r="E744" s="201"/>
      <c r="F744" s="201"/>
      <c r="G744" s="201"/>
      <c r="H744" s="201"/>
      <c r="I744" s="201"/>
      <c r="J744" s="201"/>
      <c r="K744" s="201"/>
      <c r="L744" s="201"/>
      <c r="M744" s="201"/>
      <c r="N744" s="201"/>
      <c r="O744" s="201"/>
      <c r="P744" s="201"/>
      <c r="Q744" s="201"/>
      <c r="R744" s="201"/>
      <c r="S744" s="201"/>
      <c r="T744" s="201"/>
      <c r="U744" s="201"/>
      <c r="V744" s="201"/>
      <c r="W744" s="201"/>
      <c r="X744" s="201"/>
      <c r="Y744" s="201"/>
      <c r="Z744" s="201"/>
    </row>
    <row r="745" ht="12.8" customHeight="1" spans="1:26">
      <c r="A745" s="200"/>
      <c r="B745" s="201"/>
      <c r="C745" s="201"/>
      <c r="D745" s="201"/>
      <c r="E745" s="201"/>
      <c r="F745" s="201"/>
      <c r="G745" s="201"/>
      <c r="H745" s="201"/>
      <c r="I745" s="201"/>
      <c r="J745" s="201"/>
      <c r="K745" s="201"/>
      <c r="L745" s="201"/>
      <c r="M745" s="201"/>
      <c r="N745" s="201"/>
      <c r="O745" s="201"/>
      <c r="P745" s="201"/>
      <c r="Q745" s="201"/>
      <c r="R745" s="201"/>
      <c r="S745" s="201"/>
      <c r="T745" s="201"/>
      <c r="U745" s="201"/>
      <c r="V745" s="201"/>
      <c r="W745" s="201"/>
      <c r="X745" s="201"/>
      <c r="Y745" s="201"/>
      <c r="Z745" s="201"/>
    </row>
    <row r="746" ht="12.8" customHeight="1" spans="1:26">
      <c r="A746" s="200"/>
      <c r="B746" s="201"/>
      <c r="C746" s="201"/>
      <c r="D746" s="201"/>
      <c r="E746" s="201"/>
      <c r="F746" s="201"/>
      <c r="G746" s="201"/>
      <c r="H746" s="201"/>
      <c r="I746" s="201"/>
      <c r="J746" s="201"/>
      <c r="K746" s="201"/>
      <c r="L746" s="201"/>
      <c r="M746" s="201"/>
      <c r="N746" s="201"/>
      <c r="O746" s="201"/>
      <c r="P746" s="201"/>
      <c r="Q746" s="201"/>
      <c r="R746" s="201"/>
      <c r="S746" s="201"/>
      <c r="T746" s="201"/>
      <c r="U746" s="201"/>
      <c r="V746" s="201"/>
      <c r="W746" s="201"/>
      <c r="X746" s="201"/>
      <c r="Y746" s="201"/>
      <c r="Z746" s="201"/>
    </row>
    <row r="747" ht="12.8" customHeight="1" spans="1:26">
      <c r="A747" s="200"/>
      <c r="B747" s="201"/>
      <c r="C747" s="201"/>
      <c r="D747" s="201"/>
      <c r="E747" s="201"/>
      <c r="F747" s="201"/>
      <c r="G747" s="201"/>
      <c r="H747" s="201"/>
      <c r="I747" s="201"/>
      <c r="J747" s="201"/>
      <c r="K747" s="201"/>
      <c r="L747" s="201"/>
      <c r="M747" s="201"/>
      <c r="N747" s="201"/>
      <c r="O747" s="201"/>
      <c r="P747" s="201"/>
      <c r="Q747" s="201"/>
      <c r="R747" s="201"/>
      <c r="S747" s="201"/>
      <c r="T747" s="201"/>
      <c r="U747" s="201"/>
      <c r="V747" s="201"/>
      <c r="W747" s="201"/>
      <c r="X747" s="201"/>
      <c r="Y747" s="201"/>
      <c r="Z747" s="201"/>
    </row>
    <row r="748" ht="12.8" customHeight="1" spans="1:26">
      <c r="A748" s="200"/>
      <c r="B748" s="201"/>
      <c r="C748" s="201"/>
      <c r="D748" s="201"/>
      <c r="E748" s="201"/>
      <c r="F748" s="201"/>
      <c r="G748" s="201"/>
      <c r="H748" s="201"/>
      <c r="I748" s="201"/>
      <c r="J748" s="201"/>
      <c r="K748" s="201"/>
      <c r="L748" s="201"/>
      <c r="M748" s="201"/>
      <c r="N748" s="201"/>
      <c r="O748" s="201"/>
      <c r="P748" s="201"/>
      <c r="Q748" s="201"/>
      <c r="R748" s="201"/>
      <c r="S748" s="201"/>
      <c r="T748" s="201"/>
      <c r="U748" s="201"/>
      <c r="V748" s="201"/>
      <c r="W748" s="201"/>
      <c r="X748" s="201"/>
      <c r="Y748" s="201"/>
      <c r="Z748" s="201"/>
    </row>
    <row r="749" ht="12.8" customHeight="1" spans="1:26">
      <c r="A749" s="200"/>
      <c r="B749" s="201"/>
      <c r="C749" s="201"/>
      <c r="D749" s="201"/>
      <c r="E749" s="201"/>
      <c r="F749" s="201"/>
      <c r="G749" s="201"/>
      <c r="H749" s="201"/>
      <c r="I749" s="201"/>
      <c r="J749" s="201"/>
      <c r="K749" s="201"/>
      <c r="L749" s="201"/>
      <c r="M749" s="201"/>
      <c r="N749" s="201"/>
      <c r="O749" s="201"/>
      <c r="P749" s="201"/>
      <c r="Q749" s="201"/>
      <c r="R749" s="201"/>
      <c r="S749" s="201"/>
      <c r="T749" s="201"/>
      <c r="U749" s="201"/>
      <c r="V749" s="201"/>
      <c r="W749" s="201"/>
      <c r="X749" s="201"/>
      <c r="Y749" s="201"/>
      <c r="Z749" s="201"/>
    </row>
    <row r="750" ht="12.8" customHeight="1" spans="1:26">
      <c r="A750" s="200"/>
      <c r="B750" s="201"/>
      <c r="C750" s="201"/>
      <c r="D750" s="201"/>
      <c r="E750" s="201"/>
      <c r="F750" s="201"/>
      <c r="G750" s="201"/>
      <c r="H750" s="201"/>
      <c r="I750" s="201"/>
      <c r="J750" s="201"/>
      <c r="K750" s="201"/>
      <c r="L750" s="201"/>
      <c r="M750" s="201"/>
      <c r="N750" s="201"/>
      <c r="O750" s="201"/>
      <c r="P750" s="201"/>
      <c r="Q750" s="201"/>
      <c r="R750" s="201"/>
      <c r="S750" s="201"/>
      <c r="T750" s="201"/>
      <c r="U750" s="201"/>
      <c r="V750" s="201"/>
      <c r="W750" s="201"/>
      <c r="X750" s="201"/>
      <c r="Y750" s="201"/>
      <c r="Z750" s="201"/>
    </row>
    <row r="751" ht="12.8" customHeight="1" spans="1:26">
      <c r="A751" s="200"/>
      <c r="B751" s="201"/>
      <c r="C751" s="201"/>
      <c r="D751" s="201"/>
      <c r="E751" s="201"/>
      <c r="F751" s="201"/>
      <c r="G751" s="201"/>
      <c r="H751" s="201"/>
      <c r="I751" s="201"/>
      <c r="J751" s="201"/>
      <c r="K751" s="201"/>
      <c r="L751" s="201"/>
      <c r="M751" s="201"/>
      <c r="N751" s="201"/>
      <c r="O751" s="201"/>
      <c r="P751" s="201"/>
      <c r="Q751" s="201"/>
      <c r="R751" s="201"/>
      <c r="S751" s="201"/>
      <c r="T751" s="201"/>
      <c r="U751" s="201"/>
      <c r="V751" s="201"/>
      <c r="W751" s="201"/>
      <c r="X751" s="201"/>
      <c r="Y751" s="201"/>
      <c r="Z751" s="201"/>
    </row>
    <row r="752" ht="12.8" customHeight="1" spans="1:26">
      <c r="A752" s="200"/>
      <c r="B752" s="201"/>
      <c r="C752" s="201"/>
      <c r="D752" s="201"/>
      <c r="E752" s="201"/>
      <c r="F752" s="201"/>
      <c r="G752" s="201"/>
      <c r="H752" s="201"/>
      <c r="I752" s="201"/>
      <c r="J752" s="201"/>
      <c r="K752" s="201"/>
      <c r="L752" s="201"/>
      <c r="M752" s="201"/>
      <c r="N752" s="201"/>
      <c r="O752" s="201"/>
      <c r="P752" s="201"/>
      <c r="Q752" s="201"/>
      <c r="R752" s="201"/>
      <c r="S752" s="201"/>
      <c r="T752" s="201"/>
      <c r="U752" s="201"/>
      <c r="V752" s="201"/>
      <c r="W752" s="201"/>
      <c r="X752" s="201"/>
      <c r="Y752" s="201"/>
      <c r="Z752" s="201"/>
    </row>
    <row r="753" ht="12.8" customHeight="1" spans="1:26">
      <c r="A753" s="200"/>
      <c r="B753" s="201"/>
      <c r="C753" s="201"/>
      <c r="D753" s="201"/>
      <c r="E753" s="201"/>
      <c r="F753" s="201"/>
      <c r="G753" s="201"/>
      <c r="H753" s="201"/>
      <c r="I753" s="201"/>
      <c r="J753" s="201"/>
      <c r="K753" s="201"/>
      <c r="L753" s="201"/>
      <c r="M753" s="201"/>
      <c r="N753" s="201"/>
      <c r="O753" s="201"/>
      <c r="P753" s="201"/>
      <c r="Q753" s="201"/>
      <c r="R753" s="201"/>
      <c r="S753" s="201"/>
      <c r="T753" s="201"/>
      <c r="U753" s="201"/>
      <c r="V753" s="201"/>
      <c r="W753" s="201"/>
      <c r="X753" s="201"/>
      <c r="Y753" s="201"/>
      <c r="Z753" s="201"/>
    </row>
    <row r="754" ht="12.8" customHeight="1" spans="1:26">
      <c r="A754" s="200"/>
      <c r="B754" s="201"/>
      <c r="C754" s="201"/>
      <c r="D754" s="201"/>
      <c r="E754" s="201"/>
      <c r="F754" s="201"/>
      <c r="G754" s="201"/>
      <c r="H754" s="201"/>
      <c r="I754" s="201"/>
      <c r="J754" s="201"/>
      <c r="K754" s="201"/>
      <c r="L754" s="201"/>
      <c r="M754" s="201"/>
      <c r="N754" s="201"/>
      <c r="O754" s="201"/>
      <c r="P754" s="201"/>
      <c r="Q754" s="201"/>
      <c r="R754" s="201"/>
      <c r="S754" s="201"/>
      <c r="T754" s="201"/>
      <c r="U754" s="201"/>
      <c r="V754" s="201"/>
      <c r="W754" s="201"/>
      <c r="X754" s="201"/>
      <c r="Y754" s="201"/>
      <c r="Z754" s="201"/>
    </row>
    <row r="755" ht="12.8" customHeight="1" spans="1:26">
      <c r="A755" s="200"/>
      <c r="B755" s="201"/>
      <c r="C755" s="201"/>
      <c r="D755" s="201"/>
      <c r="E755" s="201"/>
      <c r="F755" s="201"/>
      <c r="G755" s="201"/>
      <c r="H755" s="201"/>
      <c r="I755" s="201"/>
      <c r="J755" s="201"/>
      <c r="K755" s="201"/>
      <c r="L755" s="201"/>
      <c r="M755" s="201"/>
      <c r="N755" s="201"/>
      <c r="O755" s="201"/>
      <c r="P755" s="201"/>
      <c r="Q755" s="201"/>
      <c r="R755" s="201"/>
      <c r="S755" s="201"/>
      <c r="T755" s="201"/>
      <c r="U755" s="201"/>
      <c r="V755" s="201"/>
      <c r="W755" s="201"/>
      <c r="X755" s="201"/>
      <c r="Y755" s="201"/>
      <c r="Z755" s="201"/>
    </row>
    <row r="756" ht="12.8" customHeight="1" spans="1:26">
      <c r="A756" s="200"/>
      <c r="B756" s="201"/>
      <c r="C756" s="201"/>
      <c r="D756" s="201"/>
      <c r="E756" s="201"/>
      <c r="F756" s="201"/>
      <c r="G756" s="201"/>
      <c r="H756" s="201"/>
      <c r="I756" s="201"/>
      <c r="J756" s="201"/>
      <c r="K756" s="201"/>
      <c r="L756" s="201"/>
      <c r="M756" s="201"/>
      <c r="N756" s="201"/>
      <c r="O756" s="201"/>
      <c r="P756" s="201"/>
      <c r="Q756" s="201"/>
      <c r="R756" s="201"/>
      <c r="S756" s="201"/>
      <c r="T756" s="201"/>
      <c r="U756" s="201"/>
      <c r="V756" s="201"/>
      <c r="W756" s="201"/>
      <c r="X756" s="201"/>
      <c r="Y756" s="201"/>
      <c r="Z756" s="201"/>
    </row>
    <row r="757" ht="12.8" customHeight="1" spans="1:26">
      <c r="A757" s="200"/>
      <c r="B757" s="201"/>
      <c r="C757" s="201"/>
      <c r="D757" s="201"/>
      <c r="E757" s="201"/>
      <c r="F757" s="201"/>
      <c r="G757" s="201"/>
      <c r="H757" s="201"/>
      <c r="I757" s="201"/>
      <c r="J757" s="201"/>
      <c r="K757" s="201"/>
      <c r="L757" s="201"/>
      <c r="M757" s="201"/>
      <c r="N757" s="201"/>
      <c r="O757" s="201"/>
      <c r="P757" s="201"/>
      <c r="Q757" s="201"/>
      <c r="R757" s="201"/>
      <c r="S757" s="201"/>
      <c r="T757" s="201"/>
      <c r="U757" s="201"/>
      <c r="V757" s="201"/>
      <c r="W757" s="201"/>
      <c r="X757" s="201"/>
      <c r="Y757" s="201"/>
      <c r="Z757" s="201"/>
    </row>
    <row r="758" ht="12.8" customHeight="1" spans="1:26">
      <c r="A758" s="200"/>
      <c r="B758" s="201"/>
      <c r="C758" s="201"/>
      <c r="D758" s="201"/>
      <c r="E758" s="201"/>
      <c r="F758" s="201"/>
      <c r="G758" s="201"/>
      <c r="H758" s="201"/>
      <c r="I758" s="201"/>
      <c r="J758" s="201"/>
      <c r="K758" s="201"/>
      <c r="L758" s="201"/>
      <c r="M758" s="201"/>
      <c r="N758" s="201"/>
      <c r="O758" s="201"/>
      <c r="P758" s="201"/>
      <c r="Q758" s="201"/>
      <c r="R758" s="201"/>
      <c r="S758" s="201"/>
      <c r="T758" s="201"/>
      <c r="U758" s="201"/>
      <c r="V758" s="201"/>
      <c r="W758" s="201"/>
      <c r="X758" s="201"/>
      <c r="Y758" s="201"/>
      <c r="Z758" s="201"/>
    </row>
    <row r="759" ht="12.8" customHeight="1" spans="1:26">
      <c r="A759" s="200"/>
      <c r="B759" s="201"/>
      <c r="C759" s="201"/>
      <c r="D759" s="201"/>
      <c r="E759" s="201"/>
      <c r="F759" s="201"/>
      <c r="G759" s="201"/>
      <c r="H759" s="201"/>
      <c r="I759" s="201"/>
      <c r="J759" s="201"/>
      <c r="K759" s="201"/>
      <c r="L759" s="201"/>
      <c r="M759" s="201"/>
      <c r="N759" s="201"/>
      <c r="O759" s="201"/>
      <c r="P759" s="201"/>
      <c r="Q759" s="201"/>
      <c r="R759" s="201"/>
      <c r="S759" s="201"/>
      <c r="T759" s="201"/>
      <c r="U759" s="201"/>
      <c r="V759" s="201"/>
      <c r="W759" s="201"/>
      <c r="X759" s="201"/>
      <c r="Y759" s="201"/>
      <c r="Z759" s="201"/>
    </row>
    <row r="760" ht="12.8" customHeight="1" spans="1:26">
      <c r="A760" s="200"/>
      <c r="B760" s="201"/>
      <c r="C760" s="201"/>
      <c r="D760" s="201"/>
      <c r="E760" s="201"/>
      <c r="F760" s="201"/>
      <c r="G760" s="201"/>
      <c r="H760" s="201"/>
      <c r="I760" s="201"/>
      <c r="J760" s="201"/>
      <c r="K760" s="201"/>
      <c r="L760" s="201"/>
      <c r="M760" s="201"/>
      <c r="N760" s="201"/>
      <c r="O760" s="201"/>
      <c r="P760" s="201"/>
      <c r="Q760" s="201"/>
      <c r="R760" s="201"/>
      <c r="S760" s="201"/>
      <c r="T760" s="201"/>
      <c r="U760" s="201"/>
      <c r="V760" s="201"/>
      <c r="W760" s="201"/>
      <c r="X760" s="201"/>
      <c r="Y760" s="201"/>
      <c r="Z760" s="201"/>
    </row>
    <row r="761" ht="12.8" customHeight="1" spans="1:26">
      <c r="A761" s="200"/>
      <c r="B761" s="201"/>
      <c r="C761" s="201"/>
      <c r="D761" s="201"/>
      <c r="E761" s="201"/>
      <c r="F761" s="201"/>
      <c r="G761" s="201"/>
      <c r="H761" s="201"/>
      <c r="I761" s="201"/>
      <c r="J761" s="201"/>
      <c r="K761" s="201"/>
      <c r="L761" s="201"/>
      <c r="M761" s="201"/>
      <c r="N761" s="201"/>
      <c r="O761" s="201"/>
      <c r="P761" s="201"/>
      <c r="Q761" s="201"/>
      <c r="R761" s="201"/>
      <c r="S761" s="201"/>
      <c r="T761" s="201"/>
      <c r="U761" s="201"/>
      <c r="V761" s="201"/>
      <c r="W761" s="201"/>
      <c r="X761" s="201"/>
      <c r="Y761" s="201"/>
      <c r="Z761" s="201"/>
    </row>
    <row r="762" ht="12.8" customHeight="1" spans="1:26">
      <c r="A762" s="200"/>
      <c r="B762" s="201"/>
      <c r="C762" s="201"/>
      <c r="D762" s="201"/>
      <c r="E762" s="201"/>
      <c r="F762" s="201"/>
      <c r="G762" s="201"/>
      <c r="H762" s="201"/>
      <c r="I762" s="201"/>
      <c r="J762" s="201"/>
      <c r="K762" s="201"/>
      <c r="L762" s="201"/>
      <c r="M762" s="201"/>
      <c r="N762" s="201"/>
      <c r="O762" s="201"/>
      <c r="P762" s="201"/>
      <c r="Q762" s="201"/>
      <c r="R762" s="201"/>
      <c r="S762" s="201"/>
      <c r="T762" s="201"/>
      <c r="U762" s="201"/>
      <c r="V762" s="201"/>
      <c r="W762" s="201"/>
      <c r="X762" s="201"/>
      <c r="Y762" s="201"/>
      <c r="Z762" s="201"/>
    </row>
    <row r="763" ht="12.8" customHeight="1" spans="1:26">
      <c r="A763" s="200"/>
      <c r="B763" s="201"/>
      <c r="C763" s="201"/>
      <c r="D763" s="201"/>
      <c r="E763" s="201"/>
      <c r="F763" s="201"/>
      <c r="G763" s="201"/>
      <c r="H763" s="201"/>
      <c r="I763" s="201"/>
      <c r="J763" s="201"/>
      <c r="K763" s="201"/>
      <c r="L763" s="201"/>
      <c r="M763" s="201"/>
      <c r="N763" s="201"/>
      <c r="O763" s="201"/>
      <c r="P763" s="201"/>
      <c r="Q763" s="201"/>
      <c r="R763" s="201"/>
      <c r="S763" s="201"/>
      <c r="T763" s="201"/>
      <c r="U763" s="201"/>
      <c r="V763" s="201"/>
      <c r="W763" s="201"/>
      <c r="X763" s="201"/>
      <c r="Y763" s="201"/>
      <c r="Z763" s="201"/>
    </row>
    <row r="764" ht="12.8" customHeight="1" spans="1:26">
      <c r="A764" s="200"/>
      <c r="B764" s="201"/>
      <c r="C764" s="201"/>
      <c r="D764" s="201"/>
      <c r="E764" s="201"/>
      <c r="F764" s="201"/>
      <c r="G764" s="201"/>
      <c r="H764" s="201"/>
      <c r="I764" s="201"/>
      <c r="J764" s="201"/>
      <c r="K764" s="201"/>
      <c r="L764" s="201"/>
      <c r="M764" s="201"/>
      <c r="N764" s="201"/>
      <c r="O764" s="201"/>
      <c r="P764" s="201"/>
      <c r="Q764" s="201"/>
      <c r="R764" s="201"/>
      <c r="S764" s="201"/>
      <c r="T764" s="201"/>
      <c r="U764" s="201"/>
      <c r="V764" s="201"/>
      <c r="W764" s="201"/>
      <c r="X764" s="201"/>
      <c r="Y764" s="201"/>
      <c r="Z764" s="201"/>
    </row>
    <row r="765" ht="12.8" customHeight="1" spans="1:26">
      <c r="A765" s="200"/>
      <c r="B765" s="201"/>
      <c r="C765" s="201"/>
      <c r="D765" s="201"/>
      <c r="E765" s="201"/>
      <c r="F765" s="201"/>
      <c r="G765" s="201"/>
      <c r="H765" s="201"/>
      <c r="I765" s="201"/>
      <c r="J765" s="201"/>
      <c r="K765" s="201"/>
      <c r="L765" s="201"/>
      <c r="M765" s="201"/>
      <c r="N765" s="201"/>
      <c r="O765" s="201"/>
      <c r="P765" s="201"/>
      <c r="Q765" s="201"/>
      <c r="R765" s="201"/>
      <c r="S765" s="201"/>
      <c r="T765" s="201"/>
      <c r="U765" s="201"/>
      <c r="V765" s="201"/>
      <c r="W765" s="201"/>
      <c r="X765" s="201"/>
      <c r="Y765" s="201"/>
      <c r="Z765" s="201"/>
    </row>
    <row r="766" ht="12.8" customHeight="1" spans="1:26">
      <c r="A766" s="200"/>
      <c r="B766" s="201"/>
      <c r="C766" s="201"/>
      <c r="D766" s="201"/>
      <c r="E766" s="201"/>
      <c r="F766" s="201"/>
      <c r="G766" s="201"/>
      <c r="H766" s="201"/>
      <c r="I766" s="201"/>
      <c r="J766" s="201"/>
      <c r="K766" s="201"/>
      <c r="L766" s="201"/>
      <c r="M766" s="201"/>
      <c r="N766" s="201"/>
      <c r="O766" s="201"/>
      <c r="P766" s="201"/>
      <c r="Q766" s="201"/>
      <c r="R766" s="201"/>
      <c r="S766" s="201"/>
      <c r="T766" s="201"/>
      <c r="U766" s="201"/>
      <c r="V766" s="201"/>
      <c r="W766" s="201"/>
      <c r="X766" s="201"/>
      <c r="Y766" s="201"/>
      <c r="Z766" s="201"/>
    </row>
    <row r="767" ht="12.8" customHeight="1" spans="1:26">
      <c r="A767" s="200"/>
      <c r="B767" s="201"/>
      <c r="C767" s="201"/>
      <c r="D767" s="201"/>
      <c r="E767" s="201"/>
      <c r="F767" s="201"/>
      <c r="G767" s="201"/>
      <c r="H767" s="201"/>
      <c r="I767" s="201"/>
      <c r="J767" s="201"/>
      <c r="K767" s="201"/>
      <c r="L767" s="201"/>
      <c r="M767" s="201"/>
      <c r="N767" s="201"/>
      <c r="O767" s="201"/>
      <c r="P767" s="201"/>
      <c r="Q767" s="201"/>
      <c r="R767" s="201"/>
      <c r="S767" s="201"/>
      <c r="T767" s="201"/>
      <c r="U767" s="201"/>
      <c r="V767" s="201"/>
      <c r="W767" s="201"/>
      <c r="X767" s="201"/>
      <c r="Y767" s="201"/>
      <c r="Z767" s="201"/>
    </row>
    <row r="768" ht="12.8" customHeight="1" spans="1:26">
      <c r="A768" s="200"/>
      <c r="B768" s="201"/>
      <c r="C768" s="201"/>
      <c r="D768" s="201"/>
      <c r="E768" s="201"/>
      <c r="F768" s="201"/>
      <c r="G768" s="201"/>
      <c r="H768" s="201"/>
      <c r="I768" s="201"/>
      <c r="J768" s="201"/>
      <c r="K768" s="201"/>
      <c r="L768" s="201"/>
      <c r="M768" s="201"/>
      <c r="N768" s="201"/>
      <c r="O768" s="201"/>
      <c r="P768" s="201"/>
      <c r="Q768" s="201"/>
      <c r="R768" s="201"/>
      <c r="S768" s="201"/>
      <c r="T768" s="201"/>
      <c r="U768" s="201"/>
      <c r="V768" s="201"/>
      <c r="W768" s="201"/>
      <c r="X768" s="201"/>
      <c r="Y768" s="201"/>
      <c r="Z768" s="201"/>
    </row>
    <row r="769" ht="12.8" customHeight="1" spans="1:26">
      <c r="A769" s="200"/>
      <c r="B769" s="201"/>
      <c r="C769" s="201"/>
      <c r="D769" s="201"/>
      <c r="E769" s="201"/>
      <c r="F769" s="201"/>
      <c r="G769" s="201"/>
      <c r="H769" s="201"/>
      <c r="I769" s="201"/>
      <c r="J769" s="201"/>
      <c r="K769" s="201"/>
      <c r="L769" s="201"/>
      <c r="M769" s="201"/>
      <c r="N769" s="201"/>
      <c r="O769" s="201"/>
      <c r="P769" s="201"/>
      <c r="Q769" s="201"/>
      <c r="R769" s="201"/>
      <c r="S769" s="201"/>
      <c r="T769" s="201"/>
      <c r="U769" s="201"/>
      <c r="V769" s="201"/>
      <c r="W769" s="201"/>
      <c r="X769" s="201"/>
      <c r="Y769" s="201"/>
      <c r="Z769" s="201"/>
    </row>
    <row r="770" ht="12.8" customHeight="1" spans="1:26">
      <c r="A770" s="200"/>
      <c r="B770" s="201"/>
      <c r="C770" s="201"/>
      <c r="D770" s="201"/>
      <c r="E770" s="201"/>
      <c r="F770" s="201"/>
      <c r="G770" s="201"/>
      <c r="H770" s="201"/>
      <c r="I770" s="201"/>
      <c r="J770" s="201"/>
      <c r="K770" s="201"/>
      <c r="L770" s="201"/>
      <c r="M770" s="201"/>
      <c r="N770" s="201"/>
      <c r="O770" s="201"/>
      <c r="P770" s="201"/>
      <c r="Q770" s="201"/>
      <c r="R770" s="201"/>
      <c r="S770" s="201"/>
      <c r="T770" s="201"/>
      <c r="U770" s="201"/>
      <c r="V770" s="201"/>
      <c r="W770" s="201"/>
      <c r="X770" s="201"/>
      <c r="Y770" s="201"/>
      <c r="Z770" s="201"/>
    </row>
    <row r="771" ht="12.8" customHeight="1" spans="1:26">
      <c r="A771" s="200"/>
      <c r="B771" s="201"/>
      <c r="C771" s="201"/>
      <c r="D771" s="201"/>
      <c r="E771" s="201"/>
      <c r="F771" s="201"/>
      <c r="G771" s="201"/>
      <c r="H771" s="201"/>
      <c r="I771" s="201"/>
      <c r="J771" s="201"/>
      <c r="K771" s="201"/>
      <c r="L771" s="201"/>
      <c r="M771" s="201"/>
      <c r="N771" s="201"/>
      <c r="O771" s="201"/>
      <c r="P771" s="201"/>
      <c r="Q771" s="201"/>
      <c r="R771" s="201"/>
      <c r="S771" s="201"/>
      <c r="T771" s="201"/>
      <c r="U771" s="201"/>
      <c r="V771" s="201"/>
      <c r="W771" s="201"/>
      <c r="X771" s="201"/>
      <c r="Y771" s="201"/>
      <c r="Z771" s="201"/>
    </row>
    <row r="772" ht="12.8" customHeight="1" spans="1:26">
      <c r="A772" s="200"/>
      <c r="B772" s="201"/>
      <c r="C772" s="201"/>
      <c r="D772" s="201"/>
      <c r="E772" s="201"/>
      <c r="F772" s="201"/>
      <c r="G772" s="201"/>
      <c r="H772" s="201"/>
      <c r="I772" s="201"/>
      <c r="J772" s="201"/>
      <c r="K772" s="201"/>
      <c r="L772" s="201"/>
      <c r="M772" s="201"/>
      <c r="N772" s="201"/>
      <c r="O772" s="201"/>
      <c r="P772" s="201"/>
      <c r="Q772" s="201"/>
      <c r="R772" s="201"/>
      <c r="S772" s="201"/>
      <c r="T772" s="201"/>
      <c r="U772" s="201"/>
      <c r="V772" s="201"/>
      <c r="W772" s="201"/>
      <c r="X772" s="201"/>
      <c r="Y772" s="201"/>
      <c r="Z772" s="201"/>
    </row>
    <row r="773" ht="12.8" customHeight="1" spans="1:26">
      <c r="A773" s="200"/>
      <c r="B773" s="201"/>
      <c r="C773" s="201"/>
      <c r="D773" s="201"/>
      <c r="E773" s="201"/>
      <c r="F773" s="201"/>
      <c r="G773" s="201"/>
      <c r="H773" s="201"/>
      <c r="I773" s="201"/>
      <c r="J773" s="201"/>
      <c r="K773" s="201"/>
      <c r="L773" s="201"/>
      <c r="M773" s="201"/>
      <c r="N773" s="201"/>
      <c r="O773" s="201"/>
      <c r="P773" s="201"/>
      <c r="Q773" s="201"/>
      <c r="R773" s="201"/>
      <c r="S773" s="201"/>
      <c r="T773" s="201"/>
      <c r="U773" s="201"/>
      <c r="V773" s="201"/>
      <c r="W773" s="201"/>
      <c r="X773" s="201"/>
      <c r="Y773" s="201"/>
      <c r="Z773" s="201"/>
    </row>
    <row r="774" ht="12.8" customHeight="1" spans="1:26">
      <c r="A774" s="200"/>
      <c r="B774" s="201"/>
      <c r="C774" s="201"/>
      <c r="D774" s="201"/>
      <c r="E774" s="201"/>
      <c r="F774" s="201"/>
      <c r="G774" s="201"/>
      <c r="H774" s="201"/>
      <c r="I774" s="201"/>
      <c r="J774" s="201"/>
      <c r="K774" s="201"/>
      <c r="L774" s="201"/>
      <c r="M774" s="201"/>
      <c r="N774" s="201"/>
      <c r="O774" s="201"/>
      <c r="P774" s="201"/>
      <c r="Q774" s="201"/>
      <c r="R774" s="201"/>
      <c r="S774" s="201"/>
      <c r="T774" s="201"/>
      <c r="U774" s="201"/>
      <c r="V774" s="201"/>
      <c r="W774" s="201"/>
      <c r="X774" s="201"/>
      <c r="Y774" s="201"/>
      <c r="Z774" s="201"/>
    </row>
    <row r="775" ht="12.8" customHeight="1" spans="1:26">
      <c r="A775" s="200"/>
      <c r="B775" s="201"/>
      <c r="C775" s="201"/>
      <c r="D775" s="201"/>
      <c r="E775" s="201"/>
      <c r="F775" s="201"/>
      <c r="G775" s="201"/>
      <c r="H775" s="201"/>
      <c r="I775" s="201"/>
      <c r="J775" s="201"/>
      <c r="K775" s="201"/>
      <c r="L775" s="201"/>
      <c r="M775" s="201"/>
      <c r="N775" s="201"/>
      <c r="O775" s="201"/>
      <c r="P775" s="201"/>
      <c r="Q775" s="201"/>
      <c r="R775" s="201"/>
      <c r="S775" s="201"/>
      <c r="T775" s="201"/>
      <c r="U775" s="201"/>
      <c r="V775" s="201"/>
      <c r="W775" s="201"/>
      <c r="X775" s="201"/>
      <c r="Y775" s="201"/>
      <c r="Z775" s="201"/>
    </row>
    <row r="776" ht="12.8" customHeight="1" spans="1:26">
      <c r="A776" s="200"/>
      <c r="B776" s="201"/>
      <c r="C776" s="201"/>
      <c r="D776" s="201"/>
      <c r="E776" s="201"/>
      <c r="F776" s="201"/>
      <c r="G776" s="201"/>
      <c r="H776" s="201"/>
      <c r="I776" s="201"/>
      <c r="J776" s="201"/>
      <c r="K776" s="201"/>
      <c r="L776" s="201"/>
      <c r="M776" s="201"/>
      <c r="N776" s="201"/>
      <c r="O776" s="201"/>
      <c r="P776" s="201"/>
      <c r="Q776" s="201"/>
      <c r="R776" s="201"/>
      <c r="S776" s="201"/>
      <c r="T776" s="201"/>
      <c r="U776" s="201"/>
      <c r="V776" s="201"/>
      <c r="W776" s="201"/>
      <c r="X776" s="201"/>
      <c r="Y776" s="201"/>
      <c r="Z776" s="201"/>
    </row>
    <row r="777" ht="12.8" customHeight="1" spans="1:26">
      <c r="A777" s="200"/>
      <c r="B777" s="201"/>
      <c r="C777" s="201"/>
      <c r="D777" s="201"/>
      <c r="E777" s="201"/>
      <c r="F777" s="201"/>
      <c r="G777" s="201"/>
      <c r="H777" s="201"/>
      <c r="I777" s="201"/>
      <c r="J777" s="201"/>
      <c r="K777" s="201"/>
      <c r="L777" s="201"/>
      <c r="M777" s="201"/>
      <c r="N777" s="201"/>
      <c r="O777" s="201"/>
      <c r="P777" s="201"/>
      <c r="Q777" s="201"/>
      <c r="R777" s="201"/>
      <c r="S777" s="201"/>
      <c r="T777" s="201"/>
      <c r="U777" s="201"/>
      <c r="V777" s="201"/>
      <c r="W777" s="201"/>
      <c r="X777" s="201"/>
      <c r="Y777" s="201"/>
      <c r="Z777" s="201"/>
    </row>
    <row r="778" ht="12.8" customHeight="1" spans="1:26">
      <c r="A778" s="200"/>
      <c r="B778" s="201"/>
      <c r="C778" s="201"/>
      <c r="D778" s="201"/>
      <c r="E778" s="201"/>
      <c r="F778" s="201"/>
      <c r="G778" s="201"/>
      <c r="H778" s="201"/>
      <c r="I778" s="201"/>
      <c r="J778" s="201"/>
      <c r="K778" s="201"/>
      <c r="L778" s="201"/>
      <c r="M778" s="201"/>
      <c r="N778" s="201"/>
      <c r="O778" s="201"/>
      <c r="P778" s="201"/>
      <c r="Q778" s="201"/>
      <c r="R778" s="201"/>
      <c r="S778" s="201"/>
      <c r="T778" s="201"/>
      <c r="U778" s="201"/>
      <c r="V778" s="201"/>
      <c r="W778" s="201"/>
      <c r="X778" s="201"/>
      <c r="Y778" s="201"/>
      <c r="Z778" s="201"/>
    </row>
    <row r="779" ht="12.8" customHeight="1" spans="1:26">
      <c r="A779" s="200"/>
      <c r="B779" s="201"/>
      <c r="C779" s="201"/>
      <c r="D779" s="201"/>
      <c r="E779" s="201"/>
      <c r="F779" s="201"/>
      <c r="G779" s="201"/>
      <c r="H779" s="201"/>
      <c r="I779" s="201"/>
      <c r="J779" s="201"/>
      <c r="K779" s="201"/>
      <c r="L779" s="201"/>
      <c r="M779" s="201"/>
      <c r="N779" s="201"/>
      <c r="O779" s="201"/>
      <c r="P779" s="201"/>
      <c r="Q779" s="201"/>
      <c r="R779" s="201"/>
      <c r="S779" s="201"/>
      <c r="T779" s="201"/>
      <c r="U779" s="201"/>
      <c r="V779" s="201"/>
      <c r="W779" s="201"/>
      <c r="X779" s="201"/>
      <c r="Y779" s="201"/>
      <c r="Z779" s="201"/>
    </row>
    <row r="780" ht="12.8" customHeight="1" spans="1:26">
      <c r="A780" s="200"/>
      <c r="B780" s="201"/>
      <c r="C780" s="201"/>
      <c r="D780" s="201"/>
      <c r="E780" s="201"/>
      <c r="F780" s="201"/>
      <c r="G780" s="201"/>
      <c r="H780" s="201"/>
      <c r="I780" s="201"/>
      <c r="J780" s="201"/>
      <c r="K780" s="201"/>
      <c r="L780" s="201"/>
      <c r="M780" s="201"/>
      <c r="N780" s="201"/>
      <c r="O780" s="201"/>
      <c r="P780" s="201"/>
      <c r="Q780" s="201"/>
      <c r="R780" s="201"/>
      <c r="S780" s="201"/>
      <c r="T780" s="201"/>
      <c r="U780" s="201"/>
      <c r="V780" s="201"/>
      <c r="W780" s="201"/>
      <c r="X780" s="201"/>
      <c r="Y780" s="201"/>
      <c r="Z780" s="201"/>
    </row>
    <row r="781" ht="12.8" customHeight="1" spans="1:26">
      <c r="A781" s="200"/>
      <c r="B781" s="201"/>
      <c r="C781" s="201"/>
      <c r="D781" s="201"/>
      <c r="E781" s="201"/>
      <c r="F781" s="201"/>
      <c r="G781" s="201"/>
      <c r="H781" s="201"/>
      <c r="I781" s="201"/>
      <c r="J781" s="201"/>
      <c r="K781" s="201"/>
      <c r="L781" s="201"/>
      <c r="M781" s="201"/>
      <c r="N781" s="201"/>
      <c r="O781" s="201"/>
      <c r="P781" s="201"/>
      <c r="Q781" s="201"/>
      <c r="R781" s="201"/>
      <c r="S781" s="201"/>
      <c r="T781" s="201"/>
      <c r="U781" s="201"/>
      <c r="V781" s="201"/>
      <c r="W781" s="201"/>
      <c r="X781" s="201"/>
      <c r="Y781" s="201"/>
      <c r="Z781" s="201"/>
    </row>
    <row r="782" ht="12.8" customHeight="1" spans="1:26">
      <c r="A782" s="200"/>
      <c r="B782" s="201"/>
      <c r="C782" s="201"/>
      <c r="D782" s="201"/>
      <c r="E782" s="201"/>
      <c r="F782" s="201"/>
      <c r="G782" s="201"/>
      <c r="H782" s="201"/>
      <c r="I782" s="201"/>
      <c r="J782" s="201"/>
      <c r="K782" s="201"/>
      <c r="L782" s="201"/>
      <c r="M782" s="201"/>
      <c r="N782" s="201"/>
      <c r="O782" s="201"/>
      <c r="P782" s="201"/>
      <c r="Q782" s="201"/>
      <c r="R782" s="201"/>
      <c r="S782" s="201"/>
      <c r="T782" s="201"/>
      <c r="U782" s="201"/>
      <c r="V782" s="201"/>
      <c r="W782" s="201"/>
      <c r="X782" s="201"/>
      <c r="Y782" s="201"/>
      <c r="Z782" s="201"/>
    </row>
    <row r="783" ht="12.8" customHeight="1" spans="1:26">
      <c r="A783" s="200"/>
      <c r="B783" s="201"/>
      <c r="C783" s="201"/>
      <c r="D783" s="201"/>
      <c r="E783" s="201"/>
      <c r="F783" s="201"/>
      <c r="G783" s="201"/>
      <c r="H783" s="201"/>
      <c r="I783" s="201"/>
      <c r="J783" s="201"/>
      <c r="K783" s="201"/>
      <c r="L783" s="201"/>
      <c r="M783" s="201"/>
      <c r="N783" s="201"/>
      <c r="O783" s="201"/>
      <c r="P783" s="201"/>
      <c r="Q783" s="201"/>
      <c r="R783" s="201"/>
      <c r="S783" s="201"/>
      <c r="T783" s="201"/>
      <c r="U783" s="201"/>
      <c r="V783" s="201"/>
      <c r="W783" s="201"/>
      <c r="X783" s="201"/>
      <c r="Y783" s="201"/>
      <c r="Z783" s="201"/>
    </row>
    <row r="784" ht="12.8" customHeight="1" spans="1:26">
      <c r="A784" s="200"/>
      <c r="B784" s="201"/>
      <c r="C784" s="201"/>
      <c r="D784" s="201"/>
      <c r="E784" s="201"/>
      <c r="F784" s="201"/>
      <c r="G784" s="201"/>
      <c r="H784" s="201"/>
      <c r="I784" s="201"/>
      <c r="J784" s="201"/>
      <c r="K784" s="201"/>
      <c r="L784" s="201"/>
      <c r="M784" s="201"/>
      <c r="N784" s="201"/>
      <c r="O784" s="201"/>
      <c r="P784" s="201"/>
      <c r="Q784" s="201"/>
      <c r="R784" s="201"/>
      <c r="S784" s="201"/>
      <c r="T784" s="201"/>
      <c r="U784" s="201"/>
      <c r="V784" s="201"/>
      <c r="W784" s="201"/>
      <c r="X784" s="201"/>
      <c r="Y784" s="201"/>
      <c r="Z784" s="201"/>
    </row>
    <row r="785" ht="12.8" customHeight="1" spans="1:26">
      <c r="A785" s="200"/>
      <c r="B785" s="201"/>
      <c r="C785" s="201"/>
      <c r="D785" s="201"/>
      <c r="E785" s="201"/>
      <c r="F785" s="201"/>
      <c r="G785" s="201"/>
      <c r="H785" s="201"/>
      <c r="I785" s="201"/>
      <c r="J785" s="201"/>
      <c r="K785" s="201"/>
      <c r="L785" s="201"/>
      <c r="M785" s="201"/>
      <c r="N785" s="201"/>
      <c r="O785" s="201"/>
      <c r="P785" s="201"/>
      <c r="Q785" s="201"/>
      <c r="R785" s="201"/>
      <c r="S785" s="201"/>
      <c r="T785" s="201"/>
      <c r="U785" s="201"/>
      <c r="V785" s="201"/>
      <c r="W785" s="201"/>
      <c r="X785" s="201"/>
      <c r="Y785" s="201"/>
      <c r="Z785" s="201"/>
    </row>
    <row r="786" ht="12.8" customHeight="1" spans="1:26">
      <c r="A786" s="200"/>
      <c r="B786" s="201"/>
      <c r="C786" s="201"/>
      <c r="D786" s="201"/>
      <c r="E786" s="201"/>
      <c r="F786" s="201"/>
      <c r="G786" s="201"/>
      <c r="H786" s="201"/>
      <c r="I786" s="201"/>
      <c r="J786" s="201"/>
      <c r="K786" s="201"/>
      <c r="L786" s="201"/>
      <c r="M786" s="201"/>
      <c r="N786" s="201"/>
      <c r="O786" s="201"/>
      <c r="P786" s="201"/>
      <c r="Q786" s="201"/>
      <c r="R786" s="201"/>
      <c r="S786" s="201"/>
      <c r="T786" s="201"/>
      <c r="U786" s="201"/>
      <c r="V786" s="201"/>
      <c r="W786" s="201"/>
      <c r="X786" s="201"/>
      <c r="Y786" s="201"/>
      <c r="Z786" s="201"/>
    </row>
    <row r="787" ht="12.8" customHeight="1" spans="1:26">
      <c r="A787" s="200"/>
      <c r="B787" s="201"/>
      <c r="C787" s="201"/>
      <c r="D787" s="201"/>
      <c r="E787" s="201"/>
      <c r="F787" s="201"/>
      <c r="G787" s="201"/>
      <c r="H787" s="201"/>
      <c r="I787" s="201"/>
      <c r="J787" s="201"/>
      <c r="K787" s="201"/>
      <c r="L787" s="201"/>
      <c r="M787" s="201"/>
      <c r="N787" s="201"/>
      <c r="O787" s="201"/>
      <c r="P787" s="201"/>
      <c r="Q787" s="201"/>
      <c r="R787" s="201"/>
      <c r="S787" s="201"/>
      <c r="T787" s="201"/>
      <c r="U787" s="201"/>
      <c r="V787" s="201"/>
      <c r="W787" s="201"/>
      <c r="X787" s="201"/>
      <c r="Y787" s="201"/>
      <c r="Z787" s="201"/>
    </row>
    <row r="788" ht="12.8" customHeight="1" spans="1:26">
      <c r="A788" s="200"/>
      <c r="B788" s="201"/>
      <c r="C788" s="201"/>
      <c r="D788" s="201"/>
      <c r="E788" s="201"/>
      <c r="F788" s="201"/>
      <c r="G788" s="201"/>
      <c r="H788" s="201"/>
      <c r="I788" s="201"/>
      <c r="J788" s="201"/>
      <c r="K788" s="201"/>
      <c r="L788" s="201"/>
      <c r="M788" s="201"/>
      <c r="N788" s="201"/>
      <c r="O788" s="201"/>
      <c r="P788" s="201"/>
      <c r="Q788" s="201"/>
      <c r="R788" s="201"/>
      <c r="S788" s="201"/>
      <c r="T788" s="201"/>
      <c r="U788" s="201"/>
      <c r="V788" s="201"/>
      <c r="W788" s="201"/>
      <c r="X788" s="201"/>
      <c r="Y788" s="201"/>
      <c r="Z788" s="201"/>
    </row>
    <row r="789" ht="12.8" customHeight="1" spans="1:26">
      <c r="A789" s="200"/>
      <c r="B789" s="201"/>
      <c r="C789" s="201"/>
      <c r="D789" s="201"/>
      <c r="E789" s="201"/>
      <c r="F789" s="201"/>
      <c r="G789" s="201"/>
      <c r="H789" s="201"/>
      <c r="I789" s="201"/>
      <c r="J789" s="201"/>
      <c r="K789" s="201"/>
      <c r="L789" s="201"/>
      <c r="M789" s="201"/>
      <c r="N789" s="201"/>
      <c r="O789" s="201"/>
      <c r="P789" s="201"/>
      <c r="Q789" s="201"/>
      <c r="R789" s="201"/>
      <c r="S789" s="201"/>
      <c r="T789" s="201"/>
      <c r="U789" s="201"/>
      <c r="V789" s="201"/>
      <c r="W789" s="201"/>
      <c r="X789" s="201"/>
      <c r="Y789" s="201"/>
      <c r="Z789" s="201"/>
    </row>
    <row r="790" ht="12.8" customHeight="1" spans="1:26">
      <c r="A790" s="200"/>
      <c r="B790" s="201"/>
      <c r="C790" s="201"/>
      <c r="D790" s="201"/>
      <c r="E790" s="201"/>
      <c r="F790" s="201"/>
      <c r="G790" s="201"/>
      <c r="H790" s="201"/>
      <c r="I790" s="201"/>
      <c r="J790" s="201"/>
      <c r="K790" s="201"/>
      <c r="L790" s="201"/>
      <c r="M790" s="201"/>
      <c r="N790" s="201"/>
      <c r="O790" s="201"/>
      <c r="P790" s="201"/>
      <c r="Q790" s="201"/>
      <c r="R790" s="201"/>
      <c r="S790" s="201"/>
      <c r="T790" s="201"/>
      <c r="U790" s="201"/>
      <c r="V790" s="201"/>
      <c r="W790" s="201"/>
      <c r="X790" s="201"/>
      <c r="Y790" s="201"/>
      <c r="Z790" s="201"/>
    </row>
    <row r="791" ht="12.8" customHeight="1" spans="1:26">
      <c r="A791" s="200"/>
      <c r="B791" s="201"/>
      <c r="C791" s="201"/>
      <c r="D791" s="201"/>
      <c r="E791" s="201"/>
      <c r="F791" s="201"/>
      <c r="G791" s="201"/>
      <c r="H791" s="201"/>
      <c r="I791" s="201"/>
      <c r="J791" s="201"/>
      <c r="K791" s="201"/>
      <c r="L791" s="201"/>
      <c r="M791" s="201"/>
      <c r="N791" s="201"/>
      <c r="O791" s="201"/>
      <c r="P791" s="201"/>
      <c r="Q791" s="201"/>
      <c r="R791" s="201"/>
      <c r="S791" s="201"/>
      <c r="T791" s="201"/>
      <c r="U791" s="201"/>
      <c r="V791" s="201"/>
      <c r="W791" s="201"/>
      <c r="X791" s="201"/>
      <c r="Y791" s="201"/>
      <c r="Z791" s="201"/>
    </row>
    <row r="792" ht="12.8" customHeight="1" spans="1:26">
      <c r="A792" s="200"/>
      <c r="B792" s="201"/>
      <c r="C792" s="201"/>
      <c r="D792" s="201"/>
      <c r="E792" s="201"/>
      <c r="F792" s="201"/>
      <c r="G792" s="201"/>
      <c r="H792" s="201"/>
      <c r="I792" s="201"/>
      <c r="J792" s="201"/>
      <c r="K792" s="201"/>
      <c r="L792" s="201"/>
      <c r="M792" s="201"/>
      <c r="N792" s="201"/>
      <c r="O792" s="201"/>
      <c r="P792" s="201"/>
      <c r="Q792" s="201"/>
      <c r="R792" s="201"/>
      <c r="S792" s="201"/>
      <c r="T792" s="201"/>
      <c r="U792" s="201"/>
      <c r="V792" s="201"/>
      <c r="W792" s="201"/>
      <c r="X792" s="201"/>
      <c r="Y792" s="201"/>
      <c r="Z792" s="201"/>
    </row>
    <row r="793" ht="12.8" customHeight="1" spans="1:26">
      <c r="A793" s="200"/>
      <c r="B793" s="201"/>
      <c r="C793" s="201"/>
      <c r="D793" s="201"/>
      <c r="E793" s="201"/>
      <c r="F793" s="201"/>
      <c r="G793" s="201"/>
      <c r="H793" s="201"/>
      <c r="I793" s="201"/>
      <c r="J793" s="201"/>
      <c r="K793" s="201"/>
      <c r="L793" s="201"/>
      <c r="M793" s="201"/>
      <c r="N793" s="201"/>
      <c r="O793" s="201"/>
      <c r="P793" s="201"/>
      <c r="Q793" s="201"/>
      <c r="R793" s="201"/>
      <c r="S793" s="201"/>
      <c r="T793" s="201"/>
      <c r="U793" s="201"/>
      <c r="V793" s="201"/>
      <c r="W793" s="201"/>
      <c r="X793" s="201"/>
      <c r="Y793" s="201"/>
      <c r="Z793" s="201"/>
    </row>
    <row r="794" ht="12.8" customHeight="1" spans="1:26">
      <c r="A794" s="200"/>
      <c r="B794" s="201"/>
      <c r="C794" s="201"/>
      <c r="D794" s="201"/>
      <c r="E794" s="201"/>
      <c r="F794" s="201"/>
      <c r="G794" s="201"/>
      <c r="H794" s="201"/>
      <c r="I794" s="201"/>
      <c r="J794" s="201"/>
      <c r="K794" s="201"/>
      <c r="L794" s="201"/>
      <c r="M794" s="201"/>
      <c r="N794" s="201"/>
      <c r="O794" s="201"/>
      <c r="P794" s="201"/>
      <c r="Q794" s="201"/>
      <c r="R794" s="201"/>
      <c r="S794" s="201"/>
      <c r="T794" s="201"/>
      <c r="U794" s="201"/>
      <c r="V794" s="201"/>
      <c r="W794" s="201"/>
      <c r="X794" s="201"/>
      <c r="Y794" s="201"/>
      <c r="Z794" s="201"/>
    </row>
    <row r="795" ht="12.8" customHeight="1" spans="1:26">
      <c r="A795" s="200"/>
      <c r="B795" s="201"/>
      <c r="C795" s="201"/>
      <c r="D795" s="201"/>
      <c r="E795" s="201"/>
      <c r="F795" s="201"/>
      <c r="G795" s="201"/>
      <c r="H795" s="201"/>
      <c r="I795" s="201"/>
      <c r="J795" s="201"/>
      <c r="K795" s="201"/>
      <c r="L795" s="201"/>
      <c r="M795" s="201"/>
      <c r="N795" s="201"/>
      <c r="O795" s="201"/>
      <c r="P795" s="201"/>
      <c r="Q795" s="201"/>
      <c r="R795" s="201"/>
      <c r="S795" s="201"/>
      <c r="T795" s="201"/>
      <c r="U795" s="201"/>
      <c r="V795" s="201"/>
      <c r="W795" s="201"/>
      <c r="X795" s="201"/>
      <c r="Y795" s="201"/>
      <c r="Z795" s="201"/>
    </row>
    <row r="796" ht="12.8" customHeight="1" spans="1:26">
      <c r="A796" s="200"/>
      <c r="B796" s="201"/>
      <c r="C796" s="201"/>
      <c r="D796" s="201"/>
      <c r="E796" s="201"/>
      <c r="F796" s="201"/>
      <c r="G796" s="201"/>
      <c r="H796" s="201"/>
      <c r="I796" s="201"/>
      <c r="J796" s="201"/>
      <c r="K796" s="201"/>
      <c r="L796" s="201"/>
      <c r="M796" s="201"/>
      <c r="N796" s="201"/>
      <c r="O796" s="201"/>
      <c r="P796" s="201"/>
      <c r="Q796" s="201"/>
      <c r="R796" s="201"/>
      <c r="S796" s="201"/>
      <c r="T796" s="201"/>
      <c r="U796" s="201"/>
      <c r="V796" s="201"/>
      <c r="W796" s="201"/>
      <c r="X796" s="201"/>
      <c r="Y796" s="201"/>
      <c r="Z796" s="201"/>
    </row>
    <row r="797" ht="12.8" customHeight="1" spans="1:26">
      <c r="A797" s="200"/>
      <c r="B797" s="201"/>
      <c r="C797" s="201"/>
      <c r="D797" s="201"/>
      <c r="E797" s="201"/>
      <c r="F797" s="201"/>
      <c r="G797" s="201"/>
      <c r="H797" s="201"/>
      <c r="I797" s="201"/>
      <c r="J797" s="201"/>
      <c r="K797" s="201"/>
      <c r="L797" s="201"/>
      <c r="M797" s="201"/>
      <c r="N797" s="201"/>
      <c r="O797" s="201"/>
      <c r="P797" s="201"/>
      <c r="Q797" s="201"/>
      <c r="R797" s="201"/>
      <c r="S797" s="201"/>
      <c r="T797" s="201"/>
      <c r="U797" s="201"/>
      <c r="V797" s="201"/>
      <c r="W797" s="201"/>
      <c r="X797" s="201"/>
      <c r="Y797" s="201"/>
      <c r="Z797" s="201"/>
    </row>
    <row r="798" ht="12.8" customHeight="1" spans="1:26">
      <c r="A798" s="200"/>
      <c r="B798" s="201"/>
      <c r="C798" s="201"/>
      <c r="D798" s="201"/>
      <c r="E798" s="201"/>
      <c r="F798" s="201"/>
      <c r="G798" s="201"/>
      <c r="H798" s="201"/>
      <c r="I798" s="201"/>
      <c r="J798" s="201"/>
      <c r="K798" s="201"/>
      <c r="L798" s="201"/>
      <c r="M798" s="201"/>
      <c r="N798" s="201"/>
      <c r="O798" s="201"/>
      <c r="P798" s="201"/>
      <c r="Q798" s="201"/>
      <c r="R798" s="201"/>
      <c r="S798" s="201"/>
      <c r="T798" s="201"/>
      <c r="U798" s="201"/>
      <c r="V798" s="201"/>
      <c r="W798" s="201"/>
      <c r="X798" s="201"/>
      <c r="Y798" s="201"/>
      <c r="Z798" s="201"/>
    </row>
    <row r="799" ht="12.8" customHeight="1" spans="1:26">
      <c r="A799" s="200"/>
      <c r="B799" s="201"/>
      <c r="C799" s="201"/>
      <c r="D799" s="201"/>
      <c r="E799" s="201"/>
      <c r="F799" s="201"/>
      <c r="G799" s="201"/>
      <c r="H799" s="201"/>
      <c r="I799" s="201"/>
      <c r="J799" s="201"/>
      <c r="K799" s="201"/>
      <c r="L799" s="201"/>
      <c r="M799" s="201"/>
      <c r="N799" s="201"/>
      <c r="O799" s="201"/>
      <c r="P799" s="201"/>
      <c r="Q799" s="201"/>
      <c r="R799" s="201"/>
      <c r="S799" s="201"/>
      <c r="T799" s="201"/>
      <c r="U799" s="201"/>
      <c r="V799" s="201"/>
      <c r="W799" s="201"/>
      <c r="X799" s="201"/>
      <c r="Y799" s="201"/>
      <c r="Z799" s="201"/>
    </row>
    <row r="800" ht="12.8" customHeight="1" spans="1:26">
      <c r="A800" s="200"/>
      <c r="B800" s="201"/>
      <c r="C800" s="201"/>
      <c r="D800" s="201"/>
      <c r="E800" s="201"/>
      <c r="F800" s="201"/>
      <c r="G800" s="201"/>
      <c r="H800" s="201"/>
      <c r="I800" s="201"/>
      <c r="J800" s="201"/>
      <c r="K800" s="201"/>
      <c r="L800" s="201"/>
      <c r="M800" s="201"/>
      <c r="N800" s="201"/>
      <c r="O800" s="201"/>
      <c r="P800" s="201"/>
      <c r="Q800" s="201"/>
      <c r="R800" s="201"/>
      <c r="S800" s="201"/>
      <c r="T800" s="201"/>
      <c r="U800" s="201"/>
      <c r="V800" s="201"/>
      <c r="W800" s="201"/>
      <c r="X800" s="201"/>
      <c r="Y800" s="201"/>
      <c r="Z800" s="201"/>
    </row>
    <row r="801" ht="12.8" customHeight="1" spans="1:26">
      <c r="A801" s="200"/>
      <c r="B801" s="201"/>
      <c r="C801" s="201"/>
      <c r="D801" s="201"/>
      <c r="E801" s="201"/>
      <c r="F801" s="201"/>
      <c r="G801" s="201"/>
      <c r="H801" s="201"/>
      <c r="I801" s="201"/>
      <c r="J801" s="201"/>
      <c r="K801" s="201"/>
      <c r="L801" s="201"/>
      <c r="M801" s="201"/>
      <c r="N801" s="201"/>
      <c r="O801" s="201"/>
      <c r="P801" s="201"/>
      <c r="Q801" s="201"/>
      <c r="R801" s="201"/>
      <c r="S801" s="201"/>
      <c r="T801" s="201"/>
      <c r="U801" s="201"/>
      <c r="V801" s="201"/>
      <c r="W801" s="201"/>
      <c r="X801" s="201"/>
      <c r="Y801" s="201"/>
      <c r="Z801" s="201"/>
    </row>
    <row r="802" ht="12.8" customHeight="1" spans="1:26">
      <c r="A802" s="200"/>
      <c r="B802" s="201"/>
      <c r="C802" s="201"/>
      <c r="D802" s="201"/>
      <c r="E802" s="201"/>
      <c r="F802" s="201"/>
      <c r="G802" s="201"/>
      <c r="H802" s="201"/>
      <c r="I802" s="201"/>
      <c r="J802" s="201"/>
      <c r="K802" s="201"/>
      <c r="L802" s="201"/>
      <c r="M802" s="201"/>
      <c r="N802" s="201"/>
      <c r="O802" s="201"/>
      <c r="P802" s="201"/>
      <c r="Q802" s="201"/>
      <c r="R802" s="201"/>
      <c r="S802" s="201"/>
      <c r="T802" s="201"/>
      <c r="U802" s="201"/>
      <c r="V802" s="201"/>
      <c r="W802" s="201"/>
      <c r="X802" s="201"/>
      <c r="Y802" s="201"/>
      <c r="Z802" s="201"/>
    </row>
    <row r="803" ht="12.8" customHeight="1" spans="1:26">
      <c r="A803" s="200"/>
      <c r="B803" s="201"/>
      <c r="C803" s="201"/>
      <c r="D803" s="201"/>
      <c r="E803" s="201"/>
      <c r="F803" s="201"/>
      <c r="G803" s="201"/>
      <c r="H803" s="201"/>
      <c r="I803" s="201"/>
      <c r="J803" s="201"/>
      <c r="K803" s="201"/>
      <c r="L803" s="201"/>
      <c r="M803" s="201"/>
      <c r="N803" s="201"/>
      <c r="O803" s="201"/>
      <c r="P803" s="201"/>
      <c r="Q803" s="201"/>
      <c r="R803" s="201"/>
      <c r="S803" s="201"/>
      <c r="T803" s="201"/>
      <c r="U803" s="201"/>
      <c r="V803" s="201"/>
      <c r="W803" s="201"/>
      <c r="X803" s="201"/>
      <c r="Y803" s="201"/>
      <c r="Z803" s="201"/>
    </row>
    <row r="804" ht="12.8" customHeight="1" spans="1:26">
      <c r="A804" s="200"/>
      <c r="B804" s="201"/>
      <c r="C804" s="201"/>
      <c r="D804" s="201"/>
      <c r="E804" s="201"/>
      <c r="F804" s="201"/>
      <c r="G804" s="201"/>
      <c r="H804" s="201"/>
      <c r="I804" s="201"/>
      <c r="J804" s="201"/>
      <c r="K804" s="201"/>
      <c r="L804" s="201"/>
      <c r="M804" s="201"/>
      <c r="N804" s="201"/>
      <c r="O804" s="201"/>
      <c r="P804" s="201"/>
      <c r="Q804" s="201"/>
      <c r="R804" s="201"/>
      <c r="S804" s="201"/>
      <c r="T804" s="201"/>
      <c r="U804" s="201"/>
      <c r="V804" s="201"/>
      <c r="W804" s="201"/>
      <c r="X804" s="201"/>
      <c r="Y804" s="201"/>
      <c r="Z804" s="201"/>
    </row>
    <row r="805" ht="12.8" customHeight="1" spans="1:26">
      <c r="A805" s="200"/>
      <c r="B805" s="201"/>
      <c r="C805" s="201"/>
      <c r="D805" s="201"/>
      <c r="E805" s="201"/>
      <c r="F805" s="201"/>
      <c r="G805" s="201"/>
      <c r="H805" s="201"/>
      <c r="I805" s="201"/>
      <c r="J805" s="201"/>
      <c r="K805" s="201"/>
      <c r="L805" s="201"/>
      <c r="M805" s="201"/>
      <c r="N805" s="201"/>
      <c r="O805" s="201"/>
      <c r="P805" s="201"/>
      <c r="Q805" s="201"/>
      <c r="R805" s="201"/>
      <c r="S805" s="201"/>
      <c r="T805" s="201"/>
      <c r="U805" s="201"/>
      <c r="V805" s="201"/>
      <c r="W805" s="201"/>
      <c r="X805" s="201"/>
      <c r="Y805" s="201"/>
      <c r="Z805" s="201"/>
    </row>
    <row r="806" ht="12.8" customHeight="1" spans="1:26">
      <c r="A806" s="200"/>
      <c r="B806" s="201"/>
      <c r="C806" s="201"/>
      <c r="D806" s="201"/>
      <c r="E806" s="201"/>
      <c r="F806" s="201"/>
      <c r="G806" s="201"/>
      <c r="H806" s="201"/>
      <c r="I806" s="201"/>
      <c r="J806" s="201"/>
      <c r="K806" s="201"/>
      <c r="L806" s="201"/>
      <c r="M806" s="201"/>
      <c r="N806" s="201"/>
      <c r="O806" s="201"/>
      <c r="P806" s="201"/>
      <c r="Q806" s="201"/>
      <c r="R806" s="201"/>
      <c r="S806" s="201"/>
      <c r="T806" s="201"/>
      <c r="U806" s="201"/>
      <c r="V806" s="201"/>
      <c r="W806" s="201"/>
      <c r="X806" s="201"/>
      <c r="Y806" s="201"/>
      <c r="Z806" s="201"/>
    </row>
    <row r="807" ht="12.8" customHeight="1" spans="1:26">
      <c r="A807" s="200"/>
      <c r="B807" s="201"/>
      <c r="C807" s="201"/>
      <c r="D807" s="201"/>
      <c r="E807" s="201"/>
      <c r="F807" s="201"/>
      <c r="G807" s="201"/>
      <c r="H807" s="201"/>
      <c r="I807" s="201"/>
      <c r="J807" s="201"/>
      <c r="K807" s="201"/>
      <c r="L807" s="201"/>
      <c r="M807" s="201"/>
      <c r="N807" s="201"/>
      <c r="O807" s="201"/>
      <c r="P807" s="201"/>
      <c r="Q807" s="201"/>
      <c r="R807" s="201"/>
      <c r="S807" s="201"/>
      <c r="T807" s="201"/>
      <c r="U807" s="201"/>
      <c r="V807" s="201"/>
      <c r="W807" s="201"/>
      <c r="X807" s="201"/>
      <c r="Y807" s="201"/>
      <c r="Z807" s="201"/>
    </row>
    <row r="808" ht="12.8" customHeight="1" spans="1:26">
      <c r="A808" s="200"/>
      <c r="B808" s="201"/>
      <c r="C808" s="201"/>
      <c r="D808" s="201"/>
      <c r="E808" s="201"/>
      <c r="F808" s="201"/>
      <c r="G808" s="201"/>
      <c r="H808" s="201"/>
      <c r="I808" s="201"/>
      <c r="J808" s="201"/>
      <c r="K808" s="201"/>
      <c r="L808" s="201"/>
      <c r="M808" s="201"/>
      <c r="N808" s="201"/>
      <c r="O808" s="201"/>
      <c r="P808" s="201"/>
      <c r="Q808" s="201"/>
      <c r="R808" s="201"/>
      <c r="S808" s="201"/>
      <c r="T808" s="201"/>
      <c r="U808" s="201"/>
      <c r="V808" s="201"/>
      <c r="W808" s="201"/>
      <c r="X808" s="201"/>
      <c r="Y808" s="201"/>
      <c r="Z808" s="201"/>
    </row>
    <row r="809" ht="12.8" customHeight="1" spans="1:26">
      <c r="A809" s="200"/>
      <c r="B809" s="201"/>
      <c r="C809" s="201"/>
      <c r="D809" s="201"/>
      <c r="E809" s="201"/>
      <c r="F809" s="201"/>
      <c r="G809" s="201"/>
      <c r="H809" s="201"/>
      <c r="I809" s="201"/>
      <c r="J809" s="201"/>
      <c r="K809" s="201"/>
      <c r="L809" s="201"/>
      <c r="M809" s="201"/>
      <c r="N809" s="201"/>
      <c r="O809" s="201"/>
      <c r="P809" s="201"/>
      <c r="Q809" s="201"/>
      <c r="R809" s="201"/>
      <c r="S809" s="201"/>
      <c r="T809" s="201"/>
      <c r="U809" s="201"/>
      <c r="V809" s="201"/>
      <c r="W809" s="201"/>
      <c r="X809" s="201"/>
      <c r="Y809" s="201"/>
      <c r="Z809" s="201"/>
    </row>
    <row r="810" ht="12.8" customHeight="1" spans="1:26">
      <c r="A810" s="200"/>
      <c r="B810" s="201"/>
      <c r="C810" s="201"/>
      <c r="D810" s="201"/>
      <c r="E810" s="201"/>
      <c r="F810" s="201"/>
      <c r="G810" s="201"/>
      <c r="H810" s="201"/>
      <c r="I810" s="201"/>
      <c r="J810" s="201"/>
      <c r="K810" s="201"/>
      <c r="L810" s="201"/>
      <c r="M810" s="201"/>
      <c r="N810" s="201"/>
      <c r="O810" s="201"/>
      <c r="P810" s="201"/>
      <c r="Q810" s="201"/>
      <c r="R810" s="201"/>
      <c r="S810" s="201"/>
      <c r="T810" s="201"/>
      <c r="U810" s="201"/>
      <c r="V810" s="201"/>
      <c r="W810" s="201"/>
      <c r="X810" s="201"/>
      <c r="Y810" s="201"/>
      <c r="Z810" s="201"/>
    </row>
    <row r="811" ht="12.8" customHeight="1" spans="1:26">
      <c r="A811" s="200"/>
      <c r="B811" s="201"/>
      <c r="C811" s="201"/>
      <c r="D811" s="201"/>
      <c r="E811" s="201"/>
      <c r="F811" s="201"/>
      <c r="G811" s="201"/>
      <c r="H811" s="201"/>
      <c r="I811" s="201"/>
      <c r="J811" s="201"/>
      <c r="K811" s="201"/>
      <c r="L811" s="201"/>
      <c r="M811" s="201"/>
      <c r="N811" s="201"/>
      <c r="O811" s="201"/>
      <c r="P811" s="201"/>
      <c r="Q811" s="201"/>
      <c r="R811" s="201"/>
      <c r="S811" s="201"/>
      <c r="T811" s="201"/>
      <c r="U811" s="201"/>
      <c r="V811" s="201"/>
      <c r="W811" s="201"/>
      <c r="X811" s="201"/>
      <c r="Y811" s="201"/>
      <c r="Z811" s="201"/>
    </row>
    <row r="812" ht="12.8" customHeight="1" spans="1:26">
      <c r="A812" s="200"/>
      <c r="B812" s="201"/>
      <c r="C812" s="201"/>
      <c r="D812" s="201"/>
      <c r="E812" s="201"/>
      <c r="F812" s="201"/>
      <c r="G812" s="201"/>
      <c r="H812" s="201"/>
      <c r="I812" s="201"/>
      <c r="J812" s="201"/>
      <c r="K812" s="201"/>
      <c r="L812" s="201"/>
      <c r="M812" s="201"/>
      <c r="N812" s="201"/>
      <c r="O812" s="201"/>
      <c r="P812" s="201"/>
      <c r="Q812" s="201"/>
      <c r="R812" s="201"/>
      <c r="S812" s="201"/>
      <c r="T812" s="201"/>
      <c r="U812" s="201"/>
      <c r="V812" s="201"/>
      <c r="W812" s="201"/>
      <c r="X812" s="201"/>
      <c r="Y812" s="201"/>
      <c r="Z812" s="201"/>
    </row>
    <row r="813" ht="12.8" customHeight="1" spans="1:26">
      <c r="A813" s="200"/>
      <c r="B813" s="201"/>
      <c r="C813" s="201"/>
      <c r="D813" s="201"/>
      <c r="E813" s="201"/>
      <c r="F813" s="201"/>
      <c r="G813" s="201"/>
      <c r="H813" s="201"/>
      <c r="I813" s="201"/>
      <c r="J813" s="201"/>
      <c r="K813" s="201"/>
      <c r="L813" s="201"/>
      <c r="M813" s="201"/>
      <c r="N813" s="201"/>
      <c r="O813" s="201"/>
      <c r="P813" s="201"/>
      <c r="Q813" s="201"/>
      <c r="R813" s="201"/>
      <c r="S813" s="201"/>
      <c r="T813" s="201"/>
      <c r="U813" s="201"/>
      <c r="V813" s="201"/>
      <c r="W813" s="201"/>
      <c r="X813" s="201"/>
      <c r="Y813" s="201"/>
      <c r="Z813" s="201"/>
    </row>
    <row r="814" ht="12.8" customHeight="1" spans="1:26">
      <c r="A814" s="200"/>
      <c r="B814" s="201"/>
      <c r="C814" s="201"/>
      <c r="D814" s="201"/>
      <c r="E814" s="201"/>
      <c r="F814" s="201"/>
      <c r="G814" s="201"/>
      <c r="H814" s="201"/>
      <c r="I814" s="201"/>
      <c r="J814" s="201"/>
      <c r="K814" s="201"/>
      <c r="L814" s="201"/>
      <c r="M814" s="201"/>
      <c r="N814" s="201"/>
      <c r="O814" s="201"/>
      <c r="P814" s="201"/>
      <c r="Q814" s="201"/>
      <c r="R814" s="201"/>
      <c r="S814" s="201"/>
      <c r="T814" s="201"/>
      <c r="U814" s="201"/>
      <c r="V814" s="201"/>
      <c r="W814" s="201"/>
      <c r="X814" s="201"/>
      <c r="Y814" s="201"/>
      <c r="Z814" s="201"/>
    </row>
    <row r="815" ht="12.8" customHeight="1" spans="1:26">
      <c r="A815" s="200"/>
      <c r="B815" s="201"/>
      <c r="C815" s="201"/>
      <c r="D815" s="201"/>
      <c r="E815" s="201"/>
      <c r="F815" s="201"/>
      <c r="G815" s="201"/>
      <c r="H815" s="201"/>
      <c r="I815" s="201"/>
      <c r="J815" s="201"/>
      <c r="K815" s="201"/>
      <c r="L815" s="201"/>
      <c r="M815" s="201"/>
      <c r="N815" s="201"/>
      <c r="O815" s="201"/>
      <c r="P815" s="201"/>
      <c r="Q815" s="201"/>
      <c r="R815" s="201"/>
      <c r="S815" s="201"/>
      <c r="T815" s="201"/>
      <c r="U815" s="201"/>
      <c r="V815" s="201"/>
      <c r="W815" s="201"/>
      <c r="X815" s="201"/>
      <c r="Y815" s="201"/>
      <c r="Z815" s="201"/>
    </row>
    <row r="816" ht="12.8" customHeight="1" spans="1:26">
      <c r="A816" s="200"/>
      <c r="B816" s="201"/>
      <c r="C816" s="201"/>
      <c r="D816" s="201"/>
      <c r="E816" s="201"/>
      <c r="F816" s="201"/>
      <c r="G816" s="201"/>
      <c r="H816" s="201"/>
      <c r="I816" s="201"/>
      <c r="J816" s="201"/>
      <c r="K816" s="201"/>
      <c r="L816" s="201"/>
      <c r="M816" s="201"/>
      <c r="N816" s="201"/>
      <c r="O816" s="201"/>
      <c r="P816" s="201"/>
      <c r="Q816" s="201"/>
      <c r="R816" s="201"/>
      <c r="S816" s="201"/>
      <c r="T816" s="201"/>
      <c r="U816" s="201"/>
      <c r="V816" s="201"/>
      <c r="W816" s="201"/>
      <c r="X816" s="201"/>
      <c r="Y816" s="201"/>
      <c r="Z816" s="201"/>
    </row>
    <row r="817" ht="12.8" customHeight="1" spans="1:26">
      <c r="A817" s="200"/>
      <c r="B817" s="201"/>
      <c r="C817" s="201"/>
      <c r="D817" s="201"/>
      <c r="E817" s="201"/>
      <c r="F817" s="201"/>
      <c r="G817" s="201"/>
      <c r="H817" s="201"/>
      <c r="I817" s="201"/>
      <c r="J817" s="201"/>
      <c r="K817" s="201"/>
      <c r="L817" s="201"/>
      <c r="M817" s="201"/>
      <c r="N817" s="201"/>
      <c r="O817" s="201"/>
      <c r="P817" s="201"/>
      <c r="Q817" s="201"/>
      <c r="R817" s="201"/>
      <c r="S817" s="201"/>
      <c r="T817" s="201"/>
      <c r="U817" s="201"/>
      <c r="V817" s="201"/>
      <c r="W817" s="201"/>
      <c r="X817" s="201"/>
      <c r="Y817" s="201"/>
      <c r="Z817" s="201"/>
    </row>
    <row r="818" ht="12.8" customHeight="1" spans="1:26">
      <c r="A818" s="200"/>
      <c r="B818" s="201"/>
      <c r="C818" s="201"/>
      <c r="D818" s="201"/>
      <c r="E818" s="201"/>
      <c r="F818" s="201"/>
      <c r="G818" s="201"/>
      <c r="H818" s="201"/>
      <c r="I818" s="201"/>
      <c r="J818" s="201"/>
      <c r="K818" s="201"/>
      <c r="L818" s="201"/>
      <c r="M818" s="201"/>
      <c r="N818" s="201"/>
      <c r="O818" s="201"/>
      <c r="P818" s="201"/>
      <c r="Q818" s="201"/>
      <c r="R818" s="201"/>
      <c r="S818" s="201"/>
      <c r="T818" s="201"/>
      <c r="U818" s="201"/>
      <c r="V818" s="201"/>
      <c r="W818" s="201"/>
      <c r="X818" s="201"/>
      <c r="Y818" s="201"/>
      <c r="Z818" s="201"/>
    </row>
    <row r="819" ht="12.8" customHeight="1" spans="1:26">
      <c r="A819" s="200"/>
      <c r="B819" s="201"/>
      <c r="C819" s="201"/>
      <c r="D819" s="201"/>
      <c r="E819" s="201"/>
      <c r="F819" s="201"/>
      <c r="G819" s="201"/>
      <c r="H819" s="201"/>
      <c r="I819" s="201"/>
      <c r="J819" s="201"/>
      <c r="K819" s="201"/>
      <c r="L819" s="201"/>
      <c r="M819" s="201"/>
      <c r="N819" s="201"/>
      <c r="O819" s="201"/>
      <c r="P819" s="201"/>
      <c r="Q819" s="201"/>
      <c r="R819" s="201"/>
      <c r="S819" s="201"/>
      <c r="T819" s="201"/>
      <c r="U819" s="201"/>
      <c r="V819" s="201"/>
      <c r="W819" s="201"/>
      <c r="X819" s="201"/>
      <c r="Y819" s="201"/>
      <c r="Z819" s="201"/>
    </row>
    <row r="820" ht="12.8" customHeight="1" spans="1:26">
      <c r="A820" s="200"/>
      <c r="B820" s="201"/>
      <c r="C820" s="201"/>
      <c r="D820" s="201"/>
      <c r="E820" s="201"/>
      <c r="F820" s="201"/>
      <c r="G820" s="201"/>
      <c r="H820" s="201"/>
      <c r="I820" s="201"/>
      <c r="J820" s="201"/>
      <c r="K820" s="201"/>
      <c r="L820" s="201"/>
      <c r="M820" s="201"/>
      <c r="N820" s="201"/>
      <c r="O820" s="201"/>
      <c r="P820" s="201"/>
      <c r="Q820" s="201"/>
      <c r="R820" s="201"/>
      <c r="S820" s="201"/>
      <c r="T820" s="201"/>
      <c r="U820" s="201"/>
      <c r="V820" s="201"/>
      <c r="W820" s="201"/>
      <c r="X820" s="201"/>
      <c r="Y820" s="201"/>
      <c r="Z820" s="201"/>
    </row>
    <row r="821" ht="12.8" customHeight="1" spans="1:26">
      <c r="A821" s="200"/>
      <c r="B821" s="201"/>
      <c r="C821" s="201"/>
      <c r="D821" s="201"/>
      <c r="E821" s="201"/>
      <c r="F821" s="201"/>
      <c r="G821" s="201"/>
      <c r="H821" s="201"/>
      <c r="I821" s="201"/>
      <c r="J821" s="201"/>
      <c r="K821" s="201"/>
      <c r="L821" s="201"/>
      <c r="M821" s="201"/>
      <c r="N821" s="201"/>
      <c r="O821" s="201"/>
      <c r="P821" s="201"/>
      <c r="Q821" s="201"/>
      <c r="R821" s="201"/>
      <c r="S821" s="201"/>
      <c r="T821" s="201"/>
      <c r="U821" s="201"/>
      <c r="V821" s="201"/>
      <c r="W821" s="201"/>
      <c r="X821" s="201"/>
      <c r="Y821" s="201"/>
      <c r="Z821" s="201"/>
    </row>
    <row r="822" ht="12.8" customHeight="1" spans="1:26">
      <c r="A822" s="200"/>
      <c r="B822" s="201"/>
      <c r="C822" s="201"/>
      <c r="D822" s="201"/>
      <c r="E822" s="201"/>
      <c r="F822" s="201"/>
      <c r="G822" s="201"/>
      <c r="H822" s="201"/>
      <c r="I822" s="201"/>
      <c r="J822" s="201"/>
      <c r="K822" s="201"/>
      <c r="L822" s="201"/>
      <c r="M822" s="201"/>
      <c r="N822" s="201"/>
      <c r="O822" s="201"/>
      <c r="P822" s="201"/>
      <c r="Q822" s="201"/>
      <c r="R822" s="201"/>
      <c r="S822" s="201"/>
      <c r="T822" s="201"/>
      <c r="U822" s="201"/>
      <c r="V822" s="201"/>
      <c r="W822" s="201"/>
      <c r="X822" s="201"/>
      <c r="Y822" s="201"/>
      <c r="Z822" s="201"/>
    </row>
    <row r="823" ht="12.8" customHeight="1" spans="1:26">
      <c r="A823" s="200"/>
      <c r="B823" s="201"/>
      <c r="C823" s="201"/>
      <c r="D823" s="201"/>
      <c r="E823" s="201"/>
      <c r="F823" s="201"/>
      <c r="G823" s="201"/>
      <c r="H823" s="201"/>
      <c r="I823" s="201"/>
      <c r="J823" s="201"/>
      <c r="K823" s="201"/>
      <c r="L823" s="201"/>
      <c r="M823" s="201"/>
      <c r="N823" s="201"/>
      <c r="O823" s="201"/>
      <c r="P823" s="201"/>
      <c r="Q823" s="201"/>
      <c r="R823" s="201"/>
      <c r="S823" s="201"/>
      <c r="T823" s="201"/>
      <c r="U823" s="201"/>
      <c r="V823" s="201"/>
      <c r="W823" s="201"/>
      <c r="X823" s="201"/>
      <c r="Y823" s="201"/>
      <c r="Z823" s="201"/>
    </row>
    <row r="824" ht="12.8" customHeight="1" spans="1:26">
      <c r="A824" s="200"/>
      <c r="B824" s="201"/>
      <c r="C824" s="201"/>
      <c r="D824" s="201"/>
      <c r="E824" s="201"/>
      <c r="F824" s="201"/>
      <c r="G824" s="201"/>
      <c r="H824" s="201"/>
      <c r="I824" s="201"/>
      <c r="J824" s="201"/>
      <c r="K824" s="201"/>
      <c r="L824" s="201"/>
      <c r="M824" s="201"/>
      <c r="N824" s="201"/>
      <c r="O824" s="201"/>
      <c r="P824" s="201"/>
      <c r="Q824" s="201"/>
      <c r="R824" s="201"/>
      <c r="S824" s="201"/>
      <c r="T824" s="201"/>
      <c r="U824" s="201"/>
      <c r="V824" s="201"/>
      <c r="W824" s="201"/>
      <c r="X824" s="201"/>
      <c r="Y824" s="201"/>
      <c r="Z824" s="201"/>
    </row>
    <row r="825" ht="12.8" customHeight="1" spans="1:26">
      <c r="A825" s="200"/>
      <c r="B825" s="201"/>
      <c r="C825" s="201"/>
      <c r="D825" s="201"/>
      <c r="E825" s="201"/>
      <c r="F825" s="201"/>
      <c r="G825" s="201"/>
      <c r="H825" s="201"/>
      <c r="I825" s="201"/>
      <c r="J825" s="201"/>
      <c r="K825" s="201"/>
      <c r="L825" s="201"/>
      <c r="M825" s="201"/>
      <c r="N825" s="201"/>
      <c r="O825" s="201"/>
      <c r="P825" s="201"/>
      <c r="Q825" s="201"/>
      <c r="R825" s="201"/>
      <c r="S825" s="201"/>
      <c r="T825" s="201"/>
      <c r="U825" s="201"/>
      <c r="V825" s="201"/>
      <c r="W825" s="201"/>
      <c r="X825" s="201"/>
      <c r="Y825" s="201"/>
      <c r="Z825" s="201"/>
    </row>
    <row r="826" ht="12.8" customHeight="1" spans="1:26">
      <c r="A826" s="200"/>
      <c r="B826" s="201"/>
      <c r="C826" s="201"/>
      <c r="D826" s="201"/>
      <c r="E826" s="201"/>
      <c r="F826" s="201"/>
      <c r="G826" s="201"/>
      <c r="H826" s="201"/>
      <c r="I826" s="201"/>
      <c r="J826" s="201"/>
      <c r="K826" s="201"/>
      <c r="L826" s="201"/>
      <c r="M826" s="201"/>
      <c r="N826" s="201"/>
      <c r="O826" s="201"/>
      <c r="P826" s="201"/>
      <c r="Q826" s="201"/>
      <c r="R826" s="201"/>
      <c r="S826" s="201"/>
      <c r="T826" s="201"/>
      <c r="U826" s="201"/>
      <c r="V826" s="201"/>
      <c r="W826" s="201"/>
      <c r="X826" s="201"/>
      <c r="Y826" s="201"/>
      <c r="Z826" s="201"/>
    </row>
    <row r="827" ht="12.8" customHeight="1" spans="1:26">
      <c r="A827" s="200"/>
      <c r="B827" s="201"/>
      <c r="C827" s="201"/>
      <c r="D827" s="201"/>
      <c r="E827" s="201"/>
      <c r="F827" s="201"/>
      <c r="G827" s="201"/>
      <c r="H827" s="201"/>
      <c r="I827" s="201"/>
      <c r="J827" s="201"/>
      <c r="K827" s="201"/>
      <c r="L827" s="201"/>
      <c r="M827" s="201"/>
      <c r="N827" s="201"/>
      <c r="O827" s="201"/>
      <c r="P827" s="201"/>
      <c r="Q827" s="201"/>
      <c r="R827" s="201"/>
      <c r="S827" s="201"/>
      <c r="T827" s="201"/>
      <c r="U827" s="201"/>
      <c r="V827" s="201"/>
      <c r="W827" s="201"/>
      <c r="X827" s="201"/>
      <c r="Y827" s="201"/>
      <c r="Z827" s="201"/>
    </row>
    <row r="828" ht="12.8" customHeight="1" spans="1:26">
      <c r="A828" s="200"/>
      <c r="B828" s="201"/>
      <c r="C828" s="201"/>
      <c r="D828" s="201"/>
      <c r="E828" s="201"/>
      <c r="F828" s="201"/>
      <c r="G828" s="201"/>
      <c r="H828" s="201"/>
      <c r="I828" s="201"/>
      <c r="J828" s="201"/>
      <c r="K828" s="201"/>
      <c r="L828" s="201"/>
      <c r="M828" s="201"/>
      <c r="N828" s="201"/>
      <c r="O828" s="201"/>
      <c r="P828" s="201"/>
      <c r="Q828" s="201"/>
      <c r="R828" s="201"/>
      <c r="S828" s="201"/>
      <c r="T828" s="201"/>
      <c r="U828" s="201"/>
      <c r="V828" s="201"/>
      <c r="W828" s="201"/>
      <c r="X828" s="201"/>
      <c r="Y828" s="201"/>
      <c r="Z828" s="201"/>
    </row>
    <row r="829" ht="12.8" customHeight="1" spans="1:26">
      <c r="A829" s="200"/>
      <c r="B829" s="201"/>
      <c r="C829" s="201"/>
      <c r="D829" s="201"/>
      <c r="E829" s="201"/>
      <c r="F829" s="201"/>
      <c r="G829" s="201"/>
      <c r="H829" s="201"/>
      <c r="I829" s="201"/>
      <c r="J829" s="201"/>
      <c r="K829" s="201"/>
      <c r="L829" s="201"/>
      <c r="M829" s="201"/>
      <c r="N829" s="201"/>
      <c r="O829" s="201"/>
      <c r="P829" s="201"/>
      <c r="Q829" s="201"/>
      <c r="R829" s="201"/>
      <c r="S829" s="201"/>
      <c r="T829" s="201"/>
      <c r="U829" s="201"/>
      <c r="V829" s="201"/>
      <c r="W829" s="201"/>
      <c r="X829" s="201"/>
      <c r="Y829" s="201"/>
      <c r="Z829" s="201"/>
    </row>
    <row r="830" ht="12.8" customHeight="1" spans="1:26">
      <c r="A830" s="200"/>
      <c r="B830" s="201"/>
      <c r="C830" s="201"/>
      <c r="D830" s="201"/>
      <c r="E830" s="201"/>
      <c r="F830" s="201"/>
      <c r="G830" s="201"/>
      <c r="H830" s="201"/>
      <c r="I830" s="201"/>
      <c r="J830" s="201"/>
      <c r="K830" s="201"/>
      <c r="L830" s="201"/>
      <c r="M830" s="201"/>
      <c r="N830" s="201"/>
      <c r="O830" s="201"/>
      <c r="P830" s="201"/>
      <c r="Q830" s="201"/>
      <c r="R830" s="201"/>
      <c r="S830" s="201"/>
      <c r="T830" s="201"/>
      <c r="U830" s="201"/>
      <c r="V830" s="201"/>
      <c r="W830" s="201"/>
      <c r="X830" s="201"/>
      <c r="Y830" s="201"/>
      <c r="Z830" s="201"/>
    </row>
    <row r="831" ht="12.8" customHeight="1" spans="1:26">
      <c r="A831" s="200"/>
      <c r="B831" s="201"/>
      <c r="C831" s="201"/>
      <c r="D831" s="201"/>
      <c r="E831" s="201"/>
      <c r="F831" s="201"/>
      <c r="G831" s="201"/>
      <c r="H831" s="201"/>
      <c r="I831" s="201"/>
      <c r="J831" s="201"/>
      <c r="K831" s="201"/>
      <c r="L831" s="201"/>
      <c r="M831" s="201"/>
      <c r="N831" s="201"/>
      <c r="O831" s="201"/>
      <c r="P831" s="201"/>
      <c r="Q831" s="201"/>
      <c r="R831" s="201"/>
      <c r="S831" s="201"/>
      <c r="T831" s="201"/>
      <c r="U831" s="201"/>
      <c r="V831" s="201"/>
      <c r="W831" s="201"/>
      <c r="X831" s="201"/>
      <c r="Y831" s="201"/>
      <c r="Z831" s="201"/>
    </row>
    <row r="832" ht="12.8" customHeight="1" spans="1:26">
      <c r="A832" s="200"/>
      <c r="B832" s="201"/>
      <c r="C832" s="201"/>
      <c r="D832" s="201"/>
      <c r="E832" s="201"/>
      <c r="F832" s="201"/>
      <c r="G832" s="201"/>
      <c r="H832" s="201"/>
      <c r="I832" s="201"/>
      <c r="J832" s="201"/>
      <c r="K832" s="201"/>
      <c r="L832" s="201"/>
      <c r="M832" s="201"/>
      <c r="N832" s="201"/>
      <c r="O832" s="201"/>
      <c r="P832" s="201"/>
      <c r="Q832" s="201"/>
      <c r="R832" s="201"/>
      <c r="S832" s="201"/>
      <c r="T832" s="201"/>
      <c r="U832" s="201"/>
      <c r="V832" s="201"/>
      <c r="W832" s="201"/>
      <c r="X832" s="201"/>
      <c r="Y832" s="201"/>
      <c r="Z832" s="201"/>
    </row>
    <row r="833" ht="12.8" customHeight="1" spans="1:26">
      <c r="A833" s="200"/>
      <c r="B833" s="201"/>
      <c r="C833" s="201"/>
      <c r="D833" s="201"/>
      <c r="E833" s="201"/>
      <c r="F833" s="201"/>
      <c r="G833" s="201"/>
      <c r="H833" s="201"/>
      <c r="I833" s="201"/>
      <c r="J833" s="201"/>
      <c r="K833" s="201"/>
      <c r="L833" s="201"/>
      <c r="M833" s="201"/>
      <c r="N833" s="201"/>
      <c r="O833" s="201"/>
      <c r="P833" s="201"/>
      <c r="Q833" s="201"/>
      <c r="R833" s="201"/>
      <c r="S833" s="201"/>
      <c r="T833" s="201"/>
      <c r="U833" s="201"/>
      <c r="V833" s="201"/>
      <c r="W833" s="201"/>
      <c r="X833" s="201"/>
      <c r="Y833" s="201"/>
      <c r="Z833" s="201"/>
    </row>
    <row r="834" ht="12.8" customHeight="1" spans="1:26">
      <c r="A834" s="200"/>
      <c r="B834" s="201"/>
      <c r="C834" s="201"/>
      <c r="D834" s="201"/>
      <c r="E834" s="201"/>
      <c r="F834" s="201"/>
      <c r="G834" s="201"/>
      <c r="H834" s="201"/>
      <c r="I834" s="201"/>
      <c r="J834" s="201"/>
      <c r="K834" s="201"/>
      <c r="L834" s="201"/>
      <c r="M834" s="201"/>
      <c r="N834" s="201"/>
      <c r="O834" s="201"/>
      <c r="P834" s="201"/>
      <c r="Q834" s="201"/>
      <c r="R834" s="201"/>
      <c r="S834" s="201"/>
      <c r="T834" s="201"/>
      <c r="U834" s="201"/>
      <c r="V834" s="201"/>
      <c r="W834" s="201"/>
      <c r="X834" s="201"/>
      <c r="Y834" s="201"/>
      <c r="Z834" s="201"/>
    </row>
    <row r="835" ht="12.8" customHeight="1" spans="1:26">
      <c r="A835" s="200"/>
      <c r="B835" s="201"/>
      <c r="C835" s="201"/>
      <c r="D835" s="201"/>
      <c r="E835" s="201"/>
      <c r="F835" s="201"/>
      <c r="G835" s="201"/>
      <c r="H835" s="201"/>
      <c r="I835" s="201"/>
      <c r="J835" s="201"/>
      <c r="K835" s="201"/>
      <c r="L835" s="201"/>
      <c r="M835" s="201"/>
      <c r="N835" s="201"/>
      <c r="O835" s="201"/>
      <c r="P835" s="201"/>
      <c r="Q835" s="201"/>
      <c r="R835" s="201"/>
      <c r="S835" s="201"/>
      <c r="T835" s="201"/>
      <c r="U835" s="201"/>
      <c r="V835" s="201"/>
      <c r="W835" s="201"/>
      <c r="X835" s="201"/>
      <c r="Y835" s="201"/>
      <c r="Z835" s="201"/>
    </row>
    <row r="836" ht="12.8" customHeight="1" spans="1:26">
      <c r="A836" s="200"/>
      <c r="B836" s="201"/>
      <c r="C836" s="201"/>
      <c r="D836" s="201"/>
      <c r="E836" s="201"/>
      <c r="F836" s="201"/>
      <c r="G836" s="201"/>
      <c r="H836" s="201"/>
      <c r="I836" s="201"/>
      <c r="J836" s="201"/>
      <c r="K836" s="201"/>
      <c r="L836" s="201"/>
      <c r="M836" s="201"/>
      <c r="N836" s="201"/>
      <c r="O836" s="201"/>
      <c r="P836" s="201"/>
      <c r="Q836" s="201"/>
      <c r="R836" s="201"/>
      <c r="S836" s="201"/>
      <c r="T836" s="201"/>
      <c r="U836" s="201"/>
      <c r="V836" s="201"/>
      <c r="W836" s="201"/>
      <c r="X836" s="201"/>
      <c r="Y836" s="201"/>
      <c r="Z836" s="201"/>
    </row>
    <row r="837" ht="12.8" customHeight="1" spans="1:26">
      <c r="A837" s="200"/>
      <c r="B837" s="201"/>
      <c r="C837" s="201"/>
      <c r="D837" s="201"/>
      <c r="E837" s="201"/>
      <c r="F837" s="201"/>
      <c r="G837" s="201"/>
      <c r="H837" s="201"/>
      <c r="I837" s="201"/>
      <c r="J837" s="201"/>
      <c r="K837" s="201"/>
      <c r="L837" s="201"/>
      <c r="M837" s="201"/>
      <c r="N837" s="201"/>
      <c r="O837" s="201"/>
      <c r="P837" s="201"/>
      <c r="Q837" s="201"/>
      <c r="R837" s="201"/>
      <c r="S837" s="201"/>
      <c r="T837" s="201"/>
      <c r="U837" s="201"/>
      <c r="V837" s="201"/>
      <c r="W837" s="201"/>
      <c r="X837" s="201"/>
      <c r="Y837" s="201"/>
      <c r="Z837" s="201"/>
    </row>
    <row r="838" ht="12.8" customHeight="1" spans="1:26">
      <c r="A838" s="200"/>
      <c r="B838" s="201"/>
      <c r="C838" s="201"/>
      <c r="D838" s="201"/>
      <c r="E838" s="201"/>
      <c r="F838" s="201"/>
      <c r="G838" s="201"/>
      <c r="H838" s="201"/>
      <c r="I838" s="201"/>
      <c r="J838" s="201"/>
      <c r="K838" s="201"/>
      <c r="L838" s="201"/>
      <c r="M838" s="201"/>
      <c r="N838" s="201"/>
      <c r="O838" s="201"/>
      <c r="P838" s="201"/>
      <c r="Q838" s="201"/>
      <c r="R838" s="201"/>
      <c r="S838" s="201"/>
      <c r="T838" s="201"/>
      <c r="U838" s="201"/>
      <c r="V838" s="201"/>
      <c r="W838" s="201"/>
      <c r="X838" s="201"/>
      <c r="Y838" s="201"/>
      <c r="Z838" s="201"/>
    </row>
    <row r="839" ht="12.8" customHeight="1" spans="1:26">
      <c r="A839" s="200"/>
      <c r="B839" s="201"/>
      <c r="C839" s="201"/>
      <c r="D839" s="201"/>
      <c r="E839" s="201"/>
      <c r="F839" s="201"/>
      <c r="G839" s="201"/>
      <c r="H839" s="201"/>
      <c r="I839" s="201"/>
      <c r="J839" s="201"/>
      <c r="K839" s="201"/>
      <c r="L839" s="201"/>
      <c r="M839" s="201"/>
      <c r="N839" s="201"/>
      <c r="O839" s="201"/>
      <c r="P839" s="201"/>
      <c r="Q839" s="201"/>
      <c r="R839" s="201"/>
      <c r="S839" s="201"/>
      <c r="T839" s="201"/>
      <c r="U839" s="201"/>
      <c r="V839" s="201"/>
      <c r="W839" s="201"/>
      <c r="X839" s="201"/>
      <c r="Y839" s="201"/>
      <c r="Z839" s="201"/>
    </row>
    <row r="840" ht="12.8" customHeight="1" spans="1:26">
      <c r="A840" s="200"/>
      <c r="B840" s="201"/>
      <c r="C840" s="201"/>
      <c r="D840" s="201"/>
      <c r="E840" s="201"/>
      <c r="F840" s="201"/>
      <c r="G840" s="201"/>
      <c r="H840" s="201"/>
      <c r="I840" s="201"/>
      <c r="J840" s="201"/>
      <c r="K840" s="201"/>
      <c r="L840" s="201"/>
      <c r="M840" s="201"/>
      <c r="N840" s="201"/>
      <c r="O840" s="201"/>
      <c r="P840" s="201"/>
      <c r="Q840" s="201"/>
      <c r="R840" s="201"/>
      <c r="S840" s="201"/>
      <c r="T840" s="201"/>
      <c r="U840" s="201"/>
      <c r="V840" s="201"/>
      <c r="W840" s="201"/>
      <c r="X840" s="201"/>
      <c r="Y840" s="201"/>
      <c r="Z840" s="201"/>
    </row>
    <row r="841" ht="12.8" customHeight="1" spans="1:26">
      <c r="A841" s="200"/>
      <c r="B841" s="201"/>
      <c r="C841" s="201"/>
      <c r="D841" s="201"/>
      <c r="E841" s="201"/>
      <c r="F841" s="201"/>
      <c r="G841" s="201"/>
      <c r="H841" s="201"/>
      <c r="I841" s="201"/>
      <c r="J841" s="201"/>
      <c r="K841" s="201"/>
      <c r="L841" s="201"/>
      <c r="M841" s="201"/>
      <c r="N841" s="201"/>
      <c r="O841" s="201"/>
      <c r="P841" s="201"/>
      <c r="Q841" s="201"/>
      <c r="R841" s="201"/>
      <c r="S841" s="201"/>
      <c r="T841" s="201"/>
      <c r="U841" s="201"/>
      <c r="V841" s="201"/>
      <c r="W841" s="201"/>
      <c r="X841" s="201"/>
      <c r="Y841" s="201"/>
      <c r="Z841" s="201"/>
    </row>
    <row r="842" ht="12.8" customHeight="1" spans="1:26">
      <c r="A842" s="200"/>
      <c r="B842" s="201"/>
      <c r="C842" s="201"/>
      <c r="D842" s="201"/>
      <c r="E842" s="201"/>
      <c r="F842" s="201"/>
      <c r="G842" s="201"/>
      <c r="H842" s="201"/>
      <c r="I842" s="201"/>
      <c r="J842" s="201"/>
      <c r="K842" s="201"/>
      <c r="L842" s="201"/>
      <c r="M842" s="201"/>
      <c r="N842" s="201"/>
      <c r="O842" s="201"/>
      <c r="P842" s="201"/>
      <c r="Q842" s="201"/>
      <c r="R842" s="201"/>
      <c r="S842" s="201"/>
      <c r="T842" s="201"/>
      <c r="U842" s="201"/>
      <c r="V842" s="201"/>
      <c r="W842" s="201"/>
      <c r="X842" s="201"/>
      <c r="Y842" s="201"/>
      <c r="Z842" s="201"/>
    </row>
    <row r="843" ht="12.8" customHeight="1" spans="1:26">
      <c r="A843" s="200"/>
      <c r="B843" s="201"/>
      <c r="C843" s="201"/>
      <c r="D843" s="201"/>
      <c r="E843" s="201"/>
      <c r="F843" s="201"/>
      <c r="G843" s="201"/>
      <c r="H843" s="201"/>
      <c r="I843" s="201"/>
      <c r="J843" s="201"/>
      <c r="K843" s="201"/>
      <c r="L843" s="201"/>
      <c r="M843" s="201"/>
      <c r="N843" s="201"/>
      <c r="O843" s="201"/>
      <c r="P843" s="201"/>
      <c r="Q843" s="201"/>
      <c r="R843" s="201"/>
      <c r="S843" s="201"/>
      <c r="T843" s="201"/>
      <c r="U843" s="201"/>
      <c r="V843" s="201"/>
      <c r="W843" s="201"/>
      <c r="X843" s="201"/>
      <c r="Y843" s="201"/>
      <c r="Z843" s="201"/>
    </row>
    <row r="844" ht="12.8" customHeight="1" spans="1:26">
      <c r="A844" s="200"/>
      <c r="B844" s="201"/>
      <c r="C844" s="201"/>
      <c r="D844" s="201"/>
      <c r="E844" s="201"/>
      <c r="F844" s="201"/>
      <c r="G844" s="201"/>
      <c r="H844" s="201"/>
      <c r="I844" s="201"/>
      <c r="J844" s="201"/>
      <c r="K844" s="201"/>
      <c r="L844" s="201"/>
      <c r="M844" s="201"/>
      <c r="N844" s="201"/>
      <c r="O844" s="201"/>
      <c r="P844" s="201"/>
      <c r="Q844" s="201"/>
      <c r="R844" s="201"/>
      <c r="S844" s="201"/>
      <c r="T844" s="201"/>
      <c r="U844" s="201"/>
      <c r="V844" s="201"/>
      <c r="W844" s="201"/>
      <c r="X844" s="201"/>
      <c r="Y844" s="201"/>
      <c r="Z844" s="201"/>
    </row>
    <row r="845" ht="12.8" customHeight="1" spans="1:26">
      <c r="A845" s="200"/>
      <c r="B845" s="201"/>
      <c r="C845" s="201"/>
      <c r="D845" s="201"/>
      <c r="E845" s="201"/>
      <c r="F845" s="201"/>
      <c r="G845" s="201"/>
      <c r="H845" s="201"/>
      <c r="I845" s="201"/>
      <c r="J845" s="201"/>
      <c r="K845" s="201"/>
      <c r="L845" s="201"/>
      <c r="M845" s="201"/>
      <c r="N845" s="201"/>
      <c r="O845" s="201"/>
      <c r="P845" s="201"/>
      <c r="Q845" s="201"/>
      <c r="R845" s="201"/>
      <c r="S845" s="201"/>
      <c r="T845" s="201"/>
      <c r="U845" s="201"/>
      <c r="V845" s="201"/>
      <c r="W845" s="201"/>
      <c r="X845" s="201"/>
      <c r="Y845" s="201"/>
      <c r="Z845" s="201"/>
    </row>
    <row r="846" ht="12.8" customHeight="1" spans="1:26">
      <c r="A846" s="200"/>
      <c r="B846" s="201"/>
      <c r="C846" s="201"/>
      <c r="D846" s="201"/>
      <c r="E846" s="201"/>
      <c r="F846" s="201"/>
      <c r="G846" s="201"/>
      <c r="H846" s="201"/>
      <c r="I846" s="201"/>
      <c r="J846" s="201"/>
      <c r="K846" s="201"/>
      <c r="L846" s="201"/>
      <c r="M846" s="201"/>
      <c r="N846" s="201"/>
      <c r="O846" s="201"/>
      <c r="P846" s="201"/>
      <c r="Q846" s="201"/>
      <c r="R846" s="201"/>
      <c r="S846" s="201"/>
      <c r="T846" s="201"/>
      <c r="U846" s="201"/>
      <c r="V846" s="201"/>
      <c r="W846" s="201"/>
      <c r="X846" s="201"/>
      <c r="Y846" s="201"/>
      <c r="Z846" s="201"/>
    </row>
    <row r="847" ht="12.8" customHeight="1" spans="1:26">
      <c r="A847" s="200"/>
      <c r="B847" s="201"/>
      <c r="C847" s="201"/>
      <c r="D847" s="201"/>
      <c r="E847" s="201"/>
      <c r="F847" s="201"/>
      <c r="G847" s="201"/>
      <c r="H847" s="201"/>
      <c r="I847" s="201"/>
      <c r="J847" s="201"/>
      <c r="K847" s="201"/>
      <c r="L847" s="201"/>
      <c r="M847" s="201"/>
      <c r="N847" s="201"/>
      <c r="O847" s="201"/>
      <c r="P847" s="201"/>
      <c r="Q847" s="201"/>
      <c r="R847" s="201"/>
      <c r="S847" s="201"/>
      <c r="T847" s="201"/>
      <c r="U847" s="201"/>
      <c r="V847" s="201"/>
      <c r="W847" s="201"/>
      <c r="X847" s="201"/>
      <c r="Y847" s="201"/>
      <c r="Z847" s="201"/>
    </row>
    <row r="848" ht="12.8" customHeight="1" spans="1:26">
      <c r="A848" s="200"/>
      <c r="B848" s="201"/>
      <c r="C848" s="201"/>
      <c r="D848" s="201"/>
      <c r="E848" s="201"/>
      <c r="F848" s="201"/>
      <c r="G848" s="201"/>
      <c r="H848" s="201"/>
      <c r="I848" s="201"/>
      <c r="J848" s="201"/>
      <c r="K848" s="201"/>
      <c r="L848" s="201"/>
      <c r="M848" s="201"/>
      <c r="N848" s="201"/>
      <c r="O848" s="201"/>
      <c r="P848" s="201"/>
      <c r="Q848" s="201"/>
      <c r="R848" s="201"/>
      <c r="S848" s="201"/>
      <c r="T848" s="201"/>
      <c r="U848" s="201"/>
      <c r="V848" s="201"/>
      <c r="W848" s="201"/>
      <c r="X848" s="201"/>
      <c r="Y848" s="201"/>
      <c r="Z848" s="201"/>
    </row>
    <row r="849" ht="12.8" customHeight="1" spans="1:26">
      <c r="A849" s="200"/>
      <c r="B849" s="201"/>
      <c r="C849" s="201"/>
      <c r="D849" s="201"/>
      <c r="E849" s="201"/>
      <c r="F849" s="201"/>
      <c r="G849" s="201"/>
      <c r="H849" s="201"/>
      <c r="I849" s="201"/>
      <c r="J849" s="201"/>
      <c r="K849" s="201"/>
      <c r="L849" s="201"/>
      <c r="M849" s="201"/>
      <c r="N849" s="201"/>
      <c r="O849" s="201"/>
      <c r="P849" s="201"/>
      <c r="Q849" s="201"/>
      <c r="R849" s="201"/>
      <c r="S849" s="201"/>
      <c r="T849" s="201"/>
      <c r="U849" s="201"/>
      <c r="V849" s="201"/>
      <c r="W849" s="201"/>
      <c r="X849" s="201"/>
      <c r="Y849" s="201"/>
      <c r="Z849" s="201"/>
    </row>
    <row r="850" ht="12.8" customHeight="1" spans="1:26">
      <c r="A850" s="200"/>
      <c r="B850" s="201"/>
      <c r="C850" s="201"/>
      <c r="D850" s="201"/>
      <c r="E850" s="201"/>
      <c r="F850" s="201"/>
      <c r="G850" s="201"/>
      <c r="H850" s="201"/>
      <c r="I850" s="201"/>
      <c r="J850" s="201"/>
      <c r="K850" s="201"/>
      <c r="L850" s="201"/>
      <c r="M850" s="201"/>
      <c r="N850" s="201"/>
      <c r="O850" s="201"/>
      <c r="P850" s="201"/>
      <c r="Q850" s="201"/>
      <c r="R850" s="201"/>
      <c r="S850" s="201"/>
      <c r="T850" s="201"/>
      <c r="U850" s="201"/>
      <c r="V850" s="201"/>
      <c r="W850" s="201"/>
      <c r="X850" s="201"/>
      <c r="Y850" s="201"/>
      <c r="Z850" s="201"/>
    </row>
    <row r="851" ht="12.8" customHeight="1" spans="1:26">
      <c r="A851" s="200"/>
      <c r="B851" s="201"/>
      <c r="C851" s="201"/>
      <c r="D851" s="201"/>
      <c r="E851" s="201"/>
      <c r="F851" s="201"/>
      <c r="G851" s="201"/>
      <c r="H851" s="201"/>
      <c r="I851" s="201"/>
      <c r="J851" s="201"/>
      <c r="K851" s="201"/>
      <c r="L851" s="201"/>
      <c r="M851" s="201"/>
      <c r="N851" s="201"/>
      <c r="O851" s="201"/>
      <c r="P851" s="201"/>
      <c r="Q851" s="201"/>
      <c r="R851" s="201"/>
      <c r="S851" s="201"/>
      <c r="T851" s="201"/>
      <c r="U851" s="201"/>
      <c r="V851" s="201"/>
      <c r="W851" s="201"/>
      <c r="X851" s="201"/>
      <c r="Y851" s="201"/>
      <c r="Z851" s="201"/>
    </row>
    <row r="852" ht="12.8" customHeight="1" spans="1:26">
      <c r="A852" s="200"/>
      <c r="B852" s="201"/>
      <c r="C852" s="201"/>
      <c r="D852" s="201"/>
      <c r="E852" s="201"/>
      <c r="F852" s="201"/>
      <c r="G852" s="201"/>
      <c r="H852" s="201"/>
      <c r="I852" s="201"/>
      <c r="J852" s="201"/>
      <c r="K852" s="201"/>
      <c r="L852" s="201"/>
      <c r="M852" s="201"/>
      <c r="N852" s="201"/>
      <c r="O852" s="201"/>
      <c r="P852" s="201"/>
      <c r="Q852" s="201"/>
      <c r="R852" s="201"/>
      <c r="S852" s="201"/>
      <c r="T852" s="201"/>
      <c r="U852" s="201"/>
      <c r="V852" s="201"/>
      <c r="W852" s="201"/>
      <c r="X852" s="201"/>
      <c r="Y852" s="201"/>
      <c r="Z852" s="201"/>
    </row>
    <row r="853" ht="12.8" customHeight="1" spans="1:26">
      <c r="A853" s="200"/>
      <c r="B853" s="201"/>
      <c r="C853" s="201"/>
      <c r="D853" s="201"/>
      <c r="E853" s="201"/>
      <c r="F853" s="201"/>
      <c r="G853" s="201"/>
      <c r="H853" s="201"/>
      <c r="I853" s="201"/>
      <c r="J853" s="201"/>
      <c r="K853" s="201"/>
      <c r="L853" s="201"/>
      <c r="M853" s="201"/>
      <c r="N853" s="201"/>
      <c r="O853" s="201"/>
      <c r="P853" s="201"/>
      <c r="Q853" s="201"/>
      <c r="R853" s="201"/>
      <c r="S853" s="201"/>
      <c r="T853" s="201"/>
      <c r="U853" s="201"/>
      <c r="V853" s="201"/>
      <c r="W853" s="201"/>
      <c r="X853" s="201"/>
      <c r="Y853" s="201"/>
      <c r="Z853" s="201"/>
    </row>
    <row r="854" ht="12.8" customHeight="1" spans="1:26">
      <c r="A854" s="200"/>
      <c r="B854" s="201"/>
      <c r="C854" s="201"/>
      <c r="D854" s="201"/>
      <c r="E854" s="201"/>
      <c r="F854" s="201"/>
      <c r="G854" s="201"/>
      <c r="H854" s="201"/>
      <c r="I854" s="201"/>
      <c r="J854" s="201"/>
      <c r="K854" s="201"/>
      <c r="L854" s="201"/>
      <c r="M854" s="201"/>
      <c r="N854" s="201"/>
      <c r="O854" s="201"/>
      <c r="P854" s="201"/>
      <c r="Q854" s="201"/>
      <c r="R854" s="201"/>
      <c r="S854" s="201"/>
      <c r="T854" s="201"/>
      <c r="U854" s="201"/>
      <c r="V854" s="201"/>
      <c r="W854" s="201"/>
      <c r="X854" s="201"/>
      <c r="Y854" s="201"/>
      <c r="Z854" s="201"/>
    </row>
    <row r="855" ht="12.8" customHeight="1" spans="1:26">
      <c r="A855" s="200"/>
      <c r="B855" s="201"/>
      <c r="C855" s="201"/>
      <c r="D855" s="201"/>
      <c r="E855" s="201"/>
      <c r="F855" s="201"/>
      <c r="G855" s="201"/>
      <c r="H855" s="201"/>
      <c r="I855" s="201"/>
      <c r="J855" s="201"/>
      <c r="K855" s="201"/>
      <c r="L855" s="201"/>
      <c r="M855" s="201"/>
      <c r="N855" s="201"/>
      <c r="O855" s="201"/>
      <c r="P855" s="201"/>
      <c r="Q855" s="201"/>
      <c r="R855" s="201"/>
      <c r="S855" s="201"/>
      <c r="T855" s="201"/>
      <c r="U855" s="201"/>
      <c r="V855" s="201"/>
      <c r="W855" s="201"/>
      <c r="X855" s="201"/>
      <c r="Y855" s="201"/>
      <c r="Z855" s="201"/>
    </row>
    <row r="856" ht="12.8" customHeight="1" spans="1:26">
      <c r="A856" s="200"/>
      <c r="B856" s="201"/>
      <c r="C856" s="201"/>
      <c r="D856" s="201"/>
      <c r="E856" s="201"/>
      <c r="F856" s="201"/>
      <c r="G856" s="201"/>
      <c r="H856" s="201"/>
      <c r="I856" s="201"/>
      <c r="J856" s="201"/>
      <c r="K856" s="201"/>
      <c r="L856" s="201"/>
      <c r="M856" s="201"/>
      <c r="N856" s="201"/>
      <c r="O856" s="201"/>
      <c r="P856" s="201"/>
      <c r="Q856" s="201"/>
      <c r="R856" s="201"/>
      <c r="S856" s="201"/>
      <c r="T856" s="201"/>
      <c r="U856" s="201"/>
      <c r="V856" s="201"/>
      <c r="W856" s="201"/>
      <c r="X856" s="201"/>
      <c r="Y856" s="201"/>
      <c r="Z856" s="201"/>
    </row>
    <row r="857" ht="12.8" customHeight="1" spans="1:26">
      <c r="A857" s="200"/>
      <c r="B857" s="201"/>
      <c r="C857" s="201"/>
      <c r="D857" s="201"/>
      <c r="E857" s="201"/>
      <c r="F857" s="201"/>
      <c r="G857" s="201"/>
      <c r="H857" s="201"/>
      <c r="I857" s="201"/>
      <c r="J857" s="201"/>
      <c r="K857" s="201"/>
      <c r="L857" s="201"/>
      <c r="M857" s="201"/>
      <c r="N857" s="201"/>
      <c r="O857" s="201"/>
      <c r="P857" s="201"/>
      <c r="Q857" s="201"/>
      <c r="R857" s="201"/>
      <c r="S857" s="201"/>
      <c r="T857" s="201"/>
      <c r="U857" s="201"/>
      <c r="V857" s="201"/>
      <c r="W857" s="201"/>
      <c r="X857" s="201"/>
      <c r="Y857" s="201"/>
      <c r="Z857" s="201"/>
    </row>
    <row r="858" ht="12.8" customHeight="1" spans="1:26">
      <c r="A858" s="200"/>
      <c r="B858" s="201"/>
      <c r="C858" s="201"/>
      <c r="D858" s="201"/>
      <c r="E858" s="201"/>
      <c r="F858" s="201"/>
      <c r="G858" s="201"/>
      <c r="H858" s="201"/>
      <c r="I858" s="201"/>
      <c r="J858" s="201"/>
      <c r="K858" s="201"/>
      <c r="L858" s="201"/>
      <c r="M858" s="201"/>
      <c r="N858" s="201"/>
      <c r="O858" s="201"/>
      <c r="P858" s="201"/>
      <c r="Q858" s="201"/>
      <c r="R858" s="201"/>
      <c r="S858" s="201"/>
      <c r="T858" s="201"/>
      <c r="U858" s="201"/>
      <c r="V858" s="201"/>
      <c r="W858" s="201"/>
      <c r="X858" s="201"/>
      <c r="Y858" s="201"/>
      <c r="Z858" s="201"/>
    </row>
    <row r="859" ht="12.8" customHeight="1" spans="1:26">
      <c r="A859" s="200"/>
      <c r="B859" s="201"/>
      <c r="C859" s="201"/>
      <c r="D859" s="201"/>
      <c r="E859" s="201"/>
      <c r="F859" s="201"/>
      <c r="G859" s="201"/>
      <c r="H859" s="201"/>
      <c r="I859" s="201"/>
      <c r="J859" s="201"/>
      <c r="K859" s="201"/>
      <c r="L859" s="201"/>
      <c r="M859" s="201"/>
      <c r="N859" s="201"/>
      <c r="O859" s="201"/>
      <c r="P859" s="201"/>
      <c r="Q859" s="201"/>
      <c r="R859" s="201"/>
      <c r="S859" s="201"/>
      <c r="T859" s="201"/>
      <c r="U859" s="201"/>
      <c r="V859" s="201"/>
      <c r="W859" s="201"/>
      <c r="X859" s="201"/>
      <c r="Y859" s="201"/>
      <c r="Z859" s="201"/>
    </row>
    <row r="860" ht="12.8" customHeight="1" spans="1:26">
      <c r="A860" s="200"/>
      <c r="B860" s="201"/>
      <c r="C860" s="201"/>
      <c r="D860" s="201"/>
      <c r="E860" s="201"/>
      <c r="F860" s="201"/>
      <c r="G860" s="201"/>
      <c r="H860" s="201"/>
      <c r="I860" s="201"/>
      <c r="J860" s="201"/>
      <c r="K860" s="201"/>
      <c r="L860" s="201"/>
      <c r="M860" s="201"/>
      <c r="N860" s="201"/>
      <c r="O860" s="201"/>
      <c r="P860" s="201"/>
      <c r="Q860" s="201"/>
      <c r="R860" s="201"/>
      <c r="S860" s="201"/>
      <c r="T860" s="201"/>
      <c r="U860" s="201"/>
      <c r="V860" s="201"/>
      <c r="W860" s="201"/>
      <c r="X860" s="201"/>
      <c r="Y860" s="201"/>
      <c r="Z860" s="201"/>
    </row>
    <row r="861" ht="12.8" customHeight="1" spans="1:26">
      <c r="A861" s="200"/>
      <c r="B861" s="201"/>
      <c r="C861" s="201"/>
      <c r="D861" s="201"/>
      <c r="E861" s="201"/>
      <c r="F861" s="201"/>
      <c r="G861" s="201"/>
      <c r="H861" s="201"/>
      <c r="I861" s="201"/>
      <c r="J861" s="201"/>
      <c r="K861" s="201"/>
      <c r="L861" s="201"/>
      <c r="M861" s="201"/>
      <c r="N861" s="201"/>
      <c r="O861" s="201"/>
      <c r="P861" s="201"/>
      <c r="Q861" s="201"/>
      <c r="R861" s="201"/>
      <c r="S861" s="201"/>
      <c r="T861" s="201"/>
      <c r="U861" s="201"/>
      <c r="V861" s="201"/>
      <c r="W861" s="201"/>
      <c r="X861" s="201"/>
      <c r="Y861" s="201"/>
      <c r="Z861" s="201"/>
    </row>
    <row r="862" ht="12.8" customHeight="1" spans="1:26">
      <c r="A862" s="200"/>
      <c r="B862" s="201"/>
      <c r="C862" s="201"/>
      <c r="D862" s="201"/>
      <c r="E862" s="201"/>
      <c r="F862" s="201"/>
      <c r="G862" s="201"/>
      <c r="H862" s="201"/>
      <c r="I862" s="201"/>
      <c r="J862" s="201"/>
      <c r="K862" s="201"/>
      <c r="L862" s="201"/>
      <c r="M862" s="201"/>
      <c r="N862" s="201"/>
      <c r="O862" s="201"/>
      <c r="P862" s="201"/>
      <c r="Q862" s="201"/>
      <c r="R862" s="201"/>
      <c r="S862" s="201"/>
      <c r="T862" s="201"/>
      <c r="U862" s="201"/>
      <c r="V862" s="201"/>
      <c r="W862" s="201"/>
      <c r="X862" s="201"/>
      <c r="Y862" s="201"/>
      <c r="Z862" s="201"/>
    </row>
    <row r="863" ht="12.8" customHeight="1" spans="1:26">
      <c r="A863" s="200"/>
      <c r="B863" s="201"/>
      <c r="C863" s="201"/>
      <c r="D863" s="201"/>
      <c r="E863" s="201"/>
      <c r="F863" s="201"/>
      <c r="G863" s="201"/>
      <c r="H863" s="201"/>
      <c r="I863" s="201"/>
      <c r="J863" s="201"/>
      <c r="K863" s="201"/>
      <c r="L863" s="201"/>
      <c r="M863" s="201"/>
      <c r="N863" s="201"/>
      <c r="O863" s="201"/>
      <c r="P863" s="201"/>
      <c r="Q863" s="201"/>
      <c r="R863" s="201"/>
      <c r="S863" s="201"/>
      <c r="T863" s="201"/>
      <c r="U863" s="201"/>
      <c r="V863" s="201"/>
      <c r="W863" s="201"/>
      <c r="X863" s="201"/>
      <c r="Y863" s="201"/>
      <c r="Z863" s="201"/>
    </row>
    <row r="864" ht="12.8" customHeight="1" spans="1:26">
      <c r="A864" s="200"/>
      <c r="B864" s="201"/>
      <c r="C864" s="201"/>
      <c r="D864" s="201"/>
      <c r="E864" s="201"/>
      <c r="F864" s="201"/>
      <c r="G864" s="201"/>
      <c r="H864" s="201"/>
      <c r="I864" s="201"/>
      <c r="J864" s="201"/>
      <c r="K864" s="201"/>
      <c r="L864" s="201"/>
      <c r="M864" s="201"/>
      <c r="N864" s="201"/>
      <c r="O864" s="201"/>
      <c r="P864" s="201"/>
      <c r="Q864" s="201"/>
      <c r="R864" s="201"/>
      <c r="S864" s="201"/>
      <c r="T864" s="201"/>
      <c r="U864" s="201"/>
      <c r="V864" s="201"/>
      <c r="W864" s="201"/>
      <c r="X864" s="201"/>
      <c r="Y864" s="201"/>
      <c r="Z864" s="201"/>
    </row>
    <row r="865" ht="12.8" customHeight="1" spans="1:26">
      <c r="A865" s="200"/>
      <c r="B865" s="201"/>
      <c r="C865" s="201"/>
      <c r="D865" s="201"/>
      <c r="E865" s="201"/>
      <c r="F865" s="201"/>
      <c r="G865" s="201"/>
      <c r="H865" s="201"/>
      <c r="I865" s="201"/>
      <c r="J865" s="201"/>
      <c r="K865" s="201"/>
      <c r="L865" s="201"/>
      <c r="M865" s="201"/>
      <c r="N865" s="201"/>
      <c r="O865" s="201"/>
      <c r="P865" s="201"/>
      <c r="Q865" s="201"/>
      <c r="R865" s="201"/>
      <c r="S865" s="201"/>
      <c r="T865" s="201"/>
      <c r="U865" s="201"/>
      <c r="V865" s="201"/>
      <c r="W865" s="201"/>
      <c r="X865" s="201"/>
      <c r="Y865" s="201"/>
      <c r="Z865" s="201"/>
    </row>
    <row r="866" ht="12.8" customHeight="1" spans="1:26">
      <c r="A866" s="200"/>
      <c r="B866" s="201"/>
      <c r="C866" s="201"/>
      <c r="D866" s="201"/>
      <c r="E866" s="201"/>
      <c r="F866" s="201"/>
      <c r="G866" s="201"/>
      <c r="H866" s="201"/>
      <c r="I866" s="201"/>
      <c r="J866" s="201"/>
      <c r="K866" s="201"/>
      <c r="L866" s="201"/>
      <c r="M866" s="201"/>
      <c r="N866" s="201"/>
      <c r="O866" s="201"/>
      <c r="P866" s="201"/>
      <c r="Q866" s="201"/>
      <c r="R866" s="201"/>
      <c r="S866" s="201"/>
      <c r="T866" s="201"/>
      <c r="U866" s="201"/>
      <c r="V866" s="201"/>
      <c r="W866" s="201"/>
      <c r="X866" s="201"/>
      <c r="Y866" s="201"/>
      <c r="Z866" s="201"/>
    </row>
    <row r="867" ht="12.8" customHeight="1" spans="1:26">
      <c r="A867" s="200"/>
      <c r="B867" s="201"/>
      <c r="C867" s="201"/>
      <c r="D867" s="201"/>
      <c r="E867" s="201"/>
      <c r="F867" s="201"/>
      <c r="G867" s="201"/>
      <c r="H867" s="201"/>
      <c r="I867" s="201"/>
      <c r="J867" s="201"/>
      <c r="K867" s="201"/>
      <c r="L867" s="201"/>
      <c r="M867" s="201"/>
      <c r="N867" s="201"/>
      <c r="O867" s="201"/>
      <c r="P867" s="201"/>
      <c r="Q867" s="201"/>
      <c r="R867" s="201"/>
      <c r="S867" s="201"/>
      <c r="T867" s="201"/>
      <c r="U867" s="201"/>
      <c r="V867" s="201"/>
      <c r="W867" s="201"/>
      <c r="X867" s="201"/>
      <c r="Y867" s="201"/>
      <c r="Z867" s="201"/>
    </row>
    <row r="868" ht="12.8" customHeight="1" spans="1:26">
      <c r="A868" s="200"/>
      <c r="B868" s="201"/>
      <c r="C868" s="201"/>
      <c r="D868" s="201"/>
      <c r="E868" s="201"/>
      <c r="F868" s="201"/>
      <c r="G868" s="201"/>
      <c r="H868" s="201"/>
      <c r="I868" s="201"/>
      <c r="J868" s="201"/>
      <c r="K868" s="201"/>
      <c r="L868" s="201"/>
      <c r="M868" s="201"/>
      <c r="N868" s="201"/>
      <c r="O868" s="201"/>
      <c r="P868" s="201"/>
      <c r="Q868" s="201"/>
      <c r="R868" s="201"/>
      <c r="S868" s="201"/>
      <c r="T868" s="201"/>
      <c r="U868" s="201"/>
      <c r="V868" s="201"/>
      <c r="W868" s="201"/>
      <c r="X868" s="201"/>
      <c r="Y868" s="201"/>
      <c r="Z868" s="201"/>
    </row>
    <row r="869" ht="12.8" customHeight="1" spans="1:26">
      <c r="A869" s="200"/>
      <c r="B869" s="201"/>
      <c r="C869" s="201"/>
      <c r="D869" s="201"/>
      <c r="E869" s="201"/>
      <c r="F869" s="201"/>
      <c r="G869" s="201"/>
      <c r="H869" s="201"/>
      <c r="I869" s="201"/>
      <c r="J869" s="201"/>
      <c r="K869" s="201"/>
      <c r="L869" s="201"/>
      <c r="M869" s="201"/>
      <c r="N869" s="201"/>
      <c r="O869" s="201"/>
      <c r="P869" s="201"/>
      <c r="Q869" s="201"/>
      <c r="R869" s="201"/>
      <c r="S869" s="201"/>
      <c r="T869" s="201"/>
      <c r="U869" s="201"/>
      <c r="V869" s="201"/>
      <c r="W869" s="201"/>
      <c r="X869" s="201"/>
      <c r="Y869" s="201"/>
      <c r="Z869" s="201"/>
    </row>
    <row r="870" ht="12.8" customHeight="1" spans="1:26">
      <c r="A870" s="200"/>
      <c r="B870" s="201"/>
      <c r="C870" s="201"/>
      <c r="D870" s="201"/>
      <c r="E870" s="201"/>
      <c r="F870" s="201"/>
      <c r="G870" s="201"/>
      <c r="H870" s="201"/>
      <c r="I870" s="201"/>
      <c r="J870" s="201"/>
      <c r="K870" s="201"/>
      <c r="L870" s="201"/>
      <c r="M870" s="201"/>
      <c r="N870" s="201"/>
      <c r="O870" s="201"/>
      <c r="P870" s="201"/>
      <c r="Q870" s="201"/>
      <c r="R870" s="201"/>
      <c r="S870" s="201"/>
      <c r="T870" s="201"/>
      <c r="U870" s="201"/>
      <c r="V870" s="201"/>
      <c r="W870" s="201"/>
      <c r="X870" s="201"/>
      <c r="Y870" s="201"/>
      <c r="Z870" s="201"/>
    </row>
    <row r="871" ht="12.8" customHeight="1" spans="1:26">
      <c r="A871" s="200"/>
      <c r="B871" s="201"/>
      <c r="C871" s="201"/>
      <c r="D871" s="201"/>
      <c r="E871" s="201"/>
      <c r="F871" s="201"/>
      <c r="G871" s="201"/>
      <c r="H871" s="201"/>
      <c r="I871" s="201"/>
      <c r="J871" s="201"/>
      <c r="K871" s="201"/>
      <c r="L871" s="201"/>
      <c r="M871" s="201"/>
      <c r="N871" s="201"/>
      <c r="O871" s="201"/>
      <c r="P871" s="201"/>
      <c r="Q871" s="201"/>
      <c r="R871" s="201"/>
      <c r="S871" s="201"/>
      <c r="T871" s="201"/>
      <c r="U871" s="201"/>
      <c r="V871" s="201"/>
      <c r="W871" s="201"/>
      <c r="X871" s="201"/>
      <c r="Y871" s="201"/>
      <c r="Z871" s="201"/>
    </row>
    <row r="872" ht="12.8" customHeight="1" spans="1:26">
      <c r="A872" s="200"/>
      <c r="B872" s="201"/>
      <c r="C872" s="201"/>
      <c r="D872" s="201"/>
      <c r="E872" s="201"/>
      <c r="F872" s="201"/>
      <c r="G872" s="201"/>
      <c r="H872" s="201"/>
      <c r="I872" s="201"/>
      <c r="J872" s="201"/>
      <c r="K872" s="201"/>
      <c r="L872" s="201"/>
      <c r="M872" s="201"/>
      <c r="N872" s="201"/>
      <c r="O872" s="201"/>
      <c r="P872" s="201"/>
      <c r="Q872" s="201"/>
      <c r="R872" s="201"/>
      <c r="S872" s="201"/>
      <c r="T872" s="201"/>
      <c r="U872" s="201"/>
      <c r="V872" s="201"/>
      <c r="W872" s="201"/>
      <c r="X872" s="201"/>
      <c r="Y872" s="201"/>
      <c r="Z872" s="201"/>
    </row>
    <row r="873" ht="12.8" customHeight="1" spans="1:26">
      <c r="A873" s="200"/>
      <c r="B873" s="201"/>
      <c r="C873" s="201"/>
      <c r="D873" s="201"/>
      <c r="E873" s="201"/>
      <c r="F873" s="201"/>
      <c r="G873" s="201"/>
      <c r="H873" s="201"/>
      <c r="I873" s="201"/>
      <c r="J873" s="201"/>
      <c r="K873" s="201"/>
      <c r="L873" s="201"/>
      <c r="M873" s="201"/>
      <c r="N873" s="201"/>
      <c r="O873" s="201"/>
      <c r="P873" s="201"/>
      <c r="Q873" s="201"/>
      <c r="R873" s="201"/>
      <c r="S873" s="201"/>
      <c r="T873" s="201"/>
      <c r="U873" s="201"/>
      <c r="V873" s="201"/>
      <c r="W873" s="201"/>
      <c r="X873" s="201"/>
      <c r="Y873" s="201"/>
      <c r="Z873" s="201"/>
    </row>
    <row r="874" ht="12.8" customHeight="1" spans="1:26">
      <c r="A874" s="200"/>
      <c r="B874" s="201"/>
      <c r="C874" s="201"/>
      <c r="D874" s="201"/>
      <c r="E874" s="201"/>
      <c r="F874" s="201"/>
      <c r="G874" s="201"/>
      <c r="H874" s="201"/>
      <c r="I874" s="201"/>
      <c r="J874" s="201"/>
      <c r="K874" s="201"/>
      <c r="L874" s="201"/>
      <c r="M874" s="201"/>
      <c r="N874" s="201"/>
      <c r="O874" s="201"/>
      <c r="P874" s="201"/>
      <c r="Q874" s="201"/>
      <c r="R874" s="201"/>
      <c r="S874" s="201"/>
      <c r="T874" s="201"/>
      <c r="U874" s="201"/>
      <c r="V874" s="201"/>
      <c r="W874" s="201"/>
      <c r="X874" s="201"/>
      <c r="Y874" s="201"/>
      <c r="Z874" s="201"/>
    </row>
    <row r="875" ht="12.8" customHeight="1" spans="1:26">
      <c r="A875" s="200"/>
      <c r="B875" s="201"/>
      <c r="C875" s="201"/>
      <c r="D875" s="201"/>
      <c r="E875" s="201"/>
      <c r="F875" s="201"/>
      <c r="G875" s="201"/>
      <c r="H875" s="201"/>
      <c r="I875" s="201"/>
      <c r="J875" s="201"/>
      <c r="K875" s="201"/>
      <c r="L875" s="201"/>
      <c r="M875" s="201"/>
      <c r="N875" s="201"/>
      <c r="O875" s="201"/>
      <c r="P875" s="201"/>
      <c r="Q875" s="201"/>
      <c r="R875" s="201"/>
      <c r="S875" s="201"/>
      <c r="T875" s="201"/>
      <c r="U875" s="201"/>
      <c r="V875" s="201"/>
      <c r="W875" s="201"/>
      <c r="X875" s="201"/>
      <c r="Y875" s="201"/>
      <c r="Z875" s="201"/>
    </row>
    <row r="876" ht="12.8" customHeight="1" spans="1:26">
      <c r="A876" s="200"/>
      <c r="B876" s="201"/>
      <c r="C876" s="201"/>
      <c r="D876" s="201"/>
      <c r="E876" s="201"/>
      <c r="F876" s="201"/>
      <c r="G876" s="201"/>
      <c r="H876" s="201"/>
      <c r="I876" s="201"/>
      <c r="J876" s="201"/>
      <c r="K876" s="201"/>
      <c r="L876" s="201"/>
      <c r="M876" s="201"/>
      <c r="N876" s="201"/>
      <c r="O876" s="201"/>
      <c r="P876" s="201"/>
      <c r="Q876" s="201"/>
      <c r="R876" s="201"/>
      <c r="S876" s="201"/>
      <c r="T876" s="201"/>
      <c r="U876" s="201"/>
      <c r="V876" s="201"/>
      <c r="W876" s="201"/>
      <c r="X876" s="201"/>
      <c r="Y876" s="201"/>
      <c r="Z876" s="201"/>
    </row>
    <row r="877" ht="12.8" customHeight="1" spans="1:26">
      <c r="A877" s="200"/>
      <c r="B877" s="201"/>
      <c r="C877" s="201"/>
      <c r="D877" s="201"/>
      <c r="E877" s="201"/>
      <c r="F877" s="201"/>
      <c r="G877" s="201"/>
      <c r="H877" s="201"/>
      <c r="I877" s="201"/>
      <c r="J877" s="201"/>
      <c r="K877" s="201"/>
      <c r="L877" s="201"/>
      <c r="M877" s="201"/>
      <c r="N877" s="201"/>
      <c r="O877" s="201"/>
      <c r="P877" s="201"/>
      <c r="Q877" s="201"/>
      <c r="R877" s="201"/>
      <c r="S877" s="201"/>
      <c r="T877" s="201"/>
      <c r="U877" s="201"/>
      <c r="V877" s="201"/>
      <c r="W877" s="201"/>
      <c r="X877" s="201"/>
      <c r="Y877" s="201"/>
      <c r="Z877" s="201"/>
    </row>
    <row r="878" ht="12.8" customHeight="1" spans="1:26">
      <c r="A878" s="200"/>
      <c r="B878" s="201"/>
      <c r="C878" s="201"/>
      <c r="D878" s="201"/>
      <c r="E878" s="201"/>
      <c r="F878" s="201"/>
      <c r="G878" s="201"/>
      <c r="H878" s="201"/>
      <c r="I878" s="201"/>
      <c r="J878" s="201"/>
      <c r="K878" s="201"/>
      <c r="L878" s="201"/>
      <c r="M878" s="201"/>
      <c r="N878" s="201"/>
      <c r="O878" s="201"/>
      <c r="P878" s="201"/>
      <c r="Q878" s="201"/>
      <c r="R878" s="201"/>
      <c r="S878" s="201"/>
      <c r="T878" s="201"/>
      <c r="U878" s="201"/>
      <c r="V878" s="201"/>
      <c r="W878" s="201"/>
      <c r="X878" s="201"/>
      <c r="Y878" s="201"/>
      <c r="Z878" s="201"/>
    </row>
    <row r="879" ht="12.8" customHeight="1" spans="1:26">
      <c r="A879" s="200"/>
      <c r="B879" s="201"/>
      <c r="C879" s="201"/>
      <c r="D879" s="201"/>
      <c r="E879" s="201"/>
      <c r="F879" s="201"/>
      <c r="G879" s="201"/>
      <c r="H879" s="201"/>
      <c r="I879" s="201"/>
      <c r="J879" s="201"/>
      <c r="K879" s="201"/>
      <c r="L879" s="201"/>
      <c r="M879" s="201"/>
      <c r="N879" s="201"/>
      <c r="O879" s="201"/>
      <c r="P879" s="201"/>
      <c r="Q879" s="201"/>
      <c r="R879" s="201"/>
      <c r="S879" s="201"/>
      <c r="T879" s="201"/>
      <c r="U879" s="201"/>
      <c r="V879" s="201"/>
      <c r="W879" s="201"/>
      <c r="X879" s="201"/>
      <c r="Y879" s="201"/>
      <c r="Z879" s="201"/>
    </row>
    <row r="880" ht="12.8" customHeight="1" spans="1:26">
      <c r="A880" s="200"/>
      <c r="B880" s="201"/>
      <c r="C880" s="201"/>
      <c r="D880" s="201"/>
      <c r="E880" s="201"/>
      <c r="F880" s="201"/>
      <c r="G880" s="201"/>
      <c r="H880" s="201"/>
      <c r="I880" s="201"/>
      <c r="J880" s="201"/>
      <c r="K880" s="201"/>
      <c r="L880" s="201"/>
      <c r="M880" s="201"/>
      <c r="N880" s="201"/>
      <c r="O880" s="201"/>
      <c r="P880" s="201"/>
      <c r="Q880" s="201"/>
      <c r="R880" s="201"/>
      <c r="S880" s="201"/>
      <c r="T880" s="201"/>
      <c r="U880" s="201"/>
      <c r="V880" s="201"/>
      <c r="W880" s="201"/>
      <c r="X880" s="201"/>
      <c r="Y880" s="201"/>
      <c r="Z880" s="201"/>
    </row>
    <row r="881" ht="12.8" customHeight="1" spans="1:26">
      <c r="A881" s="200"/>
      <c r="B881" s="201"/>
      <c r="C881" s="201"/>
      <c r="D881" s="201"/>
      <c r="E881" s="201"/>
      <c r="F881" s="201"/>
      <c r="G881" s="201"/>
      <c r="H881" s="201"/>
      <c r="I881" s="201"/>
      <c r="J881" s="201"/>
      <c r="K881" s="201"/>
      <c r="L881" s="201"/>
      <c r="M881" s="201"/>
      <c r="N881" s="201"/>
      <c r="O881" s="201"/>
      <c r="P881" s="201"/>
      <c r="Q881" s="201"/>
      <c r="R881" s="201"/>
      <c r="S881" s="201"/>
      <c r="T881" s="201"/>
      <c r="U881" s="201"/>
      <c r="V881" s="201"/>
      <c r="W881" s="201"/>
      <c r="X881" s="201"/>
      <c r="Y881" s="201"/>
      <c r="Z881" s="201"/>
    </row>
    <row r="882" ht="12.8" customHeight="1" spans="1:26">
      <c r="A882" s="200"/>
      <c r="B882" s="201"/>
      <c r="C882" s="201"/>
      <c r="D882" s="201"/>
      <c r="E882" s="201"/>
      <c r="F882" s="201"/>
      <c r="G882" s="201"/>
      <c r="H882" s="201"/>
      <c r="I882" s="201"/>
      <c r="J882" s="201"/>
      <c r="K882" s="201"/>
      <c r="L882" s="201"/>
      <c r="M882" s="201"/>
      <c r="N882" s="201"/>
      <c r="O882" s="201"/>
      <c r="P882" s="201"/>
      <c r="Q882" s="201"/>
      <c r="R882" s="201"/>
      <c r="S882" s="201"/>
      <c r="T882" s="201"/>
      <c r="U882" s="201"/>
      <c r="V882" s="201"/>
      <c r="W882" s="201"/>
      <c r="X882" s="201"/>
      <c r="Y882" s="201"/>
      <c r="Z882" s="201"/>
    </row>
    <row r="883" ht="12.8" customHeight="1" spans="1:26">
      <c r="A883" s="200"/>
      <c r="B883" s="201"/>
      <c r="C883" s="201"/>
      <c r="D883" s="201"/>
      <c r="E883" s="201"/>
      <c r="F883" s="201"/>
      <c r="G883" s="201"/>
      <c r="H883" s="201"/>
      <c r="I883" s="201"/>
      <c r="J883" s="201"/>
      <c r="K883" s="201"/>
      <c r="L883" s="201"/>
      <c r="M883" s="201"/>
      <c r="N883" s="201"/>
      <c r="O883" s="201"/>
      <c r="P883" s="201"/>
      <c r="Q883" s="201"/>
      <c r="R883" s="201"/>
      <c r="S883" s="201"/>
      <c r="T883" s="201"/>
      <c r="U883" s="201"/>
      <c r="V883" s="201"/>
      <c r="W883" s="201"/>
      <c r="X883" s="201"/>
      <c r="Y883" s="201"/>
      <c r="Z883" s="201"/>
    </row>
    <row r="884" ht="12.8" customHeight="1" spans="1:26">
      <c r="A884" s="200"/>
      <c r="B884" s="201"/>
      <c r="C884" s="201"/>
      <c r="D884" s="201"/>
      <c r="E884" s="201"/>
      <c r="F884" s="201"/>
      <c r="G884" s="201"/>
      <c r="H884" s="201"/>
      <c r="I884" s="201"/>
      <c r="J884" s="201"/>
      <c r="K884" s="201"/>
      <c r="L884" s="201"/>
      <c r="M884" s="201"/>
      <c r="N884" s="201"/>
      <c r="O884" s="201"/>
      <c r="P884" s="201"/>
      <c r="Q884" s="201"/>
      <c r="R884" s="201"/>
      <c r="S884" s="201"/>
      <c r="T884" s="201"/>
      <c r="U884" s="201"/>
      <c r="V884" s="201"/>
      <c r="W884" s="201"/>
      <c r="X884" s="201"/>
      <c r="Y884" s="201"/>
      <c r="Z884" s="201"/>
    </row>
    <row r="885" ht="12.8" customHeight="1" spans="1:26">
      <c r="A885" s="200"/>
      <c r="B885" s="201"/>
      <c r="C885" s="201"/>
      <c r="D885" s="201"/>
      <c r="E885" s="201"/>
      <c r="F885" s="201"/>
      <c r="G885" s="201"/>
      <c r="H885" s="201"/>
      <c r="I885" s="201"/>
      <c r="J885" s="201"/>
      <c r="K885" s="201"/>
      <c r="L885" s="201"/>
      <c r="M885" s="201"/>
      <c r="N885" s="201"/>
      <c r="O885" s="201"/>
      <c r="P885" s="201"/>
      <c r="Q885" s="201"/>
      <c r="R885" s="201"/>
      <c r="S885" s="201"/>
      <c r="T885" s="201"/>
      <c r="U885" s="201"/>
      <c r="V885" s="201"/>
      <c r="W885" s="201"/>
      <c r="X885" s="201"/>
      <c r="Y885" s="201"/>
      <c r="Z885" s="201"/>
    </row>
    <row r="886" ht="12.8" customHeight="1" spans="1:26">
      <c r="A886" s="200"/>
      <c r="B886" s="201"/>
      <c r="C886" s="201"/>
      <c r="D886" s="201"/>
      <c r="E886" s="201"/>
      <c r="F886" s="201"/>
      <c r="G886" s="201"/>
      <c r="H886" s="201"/>
      <c r="I886" s="201"/>
      <c r="J886" s="201"/>
      <c r="K886" s="201"/>
      <c r="L886" s="201"/>
      <c r="M886" s="201"/>
      <c r="N886" s="201"/>
      <c r="O886" s="201"/>
      <c r="P886" s="201"/>
      <c r="Q886" s="201"/>
      <c r="R886" s="201"/>
      <c r="S886" s="201"/>
      <c r="T886" s="201"/>
      <c r="U886" s="201"/>
      <c r="V886" s="201"/>
      <c r="W886" s="201"/>
      <c r="X886" s="201"/>
      <c r="Y886" s="201"/>
      <c r="Z886" s="201"/>
    </row>
    <row r="887" ht="12.8" customHeight="1" spans="1:26">
      <c r="A887" s="200"/>
      <c r="B887" s="201"/>
      <c r="C887" s="201"/>
      <c r="D887" s="201"/>
      <c r="E887" s="201"/>
      <c r="F887" s="201"/>
      <c r="G887" s="201"/>
      <c r="H887" s="201"/>
      <c r="I887" s="201"/>
      <c r="J887" s="201"/>
      <c r="K887" s="201"/>
      <c r="L887" s="201"/>
      <c r="M887" s="201"/>
      <c r="N887" s="201"/>
      <c r="O887" s="201"/>
      <c r="P887" s="201"/>
      <c r="Q887" s="201"/>
      <c r="R887" s="201"/>
      <c r="S887" s="201"/>
      <c r="T887" s="201"/>
      <c r="U887" s="201"/>
      <c r="V887" s="201"/>
      <c r="W887" s="201"/>
      <c r="X887" s="201"/>
      <c r="Y887" s="201"/>
      <c r="Z887" s="201"/>
    </row>
    <row r="888" ht="12.8" customHeight="1" spans="1:26">
      <c r="A888" s="200"/>
      <c r="B888" s="201"/>
      <c r="C888" s="201"/>
      <c r="D888" s="201"/>
      <c r="E888" s="201"/>
      <c r="F888" s="201"/>
      <c r="G888" s="201"/>
      <c r="H888" s="201"/>
      <c r="I888" s="201"/>
      <c r="J888" s="201"/>
      <c r="K888" s="201"/>
      <c r="L888" s="201"/>
      <c r="M888" s="201"/>
      <c r="N888" s="201"/>
      <c r="O888" s="201"/>
      <c r="P888" s="201"/>
      <c r="Q888" s="201"/>
      <c r="R888" s="201"/>
      <c r="S888" s="201"/>
      <c r="T888" s="201"/>
      <c r="U888" s="201"/>
      <c r="V888" s="201"/>
      <c r="W888" s="201"/>
      <c r="X888" s="201"/>
      <c r="Y888" s="201"/>
      <c r="Z888" s="201"/>
    </row>
    <row r="889" ht="12.8" customHeight="1" spans="1:26">
      <c r="A889" s="200"/>
      <c r="B889" s="201"/>
      <c r="C889" s="201"/>
      <c r="D889" s="201"/>
      <c r="E889" s="201"/>
      <c r="F889" s="201"/>
      <c r="G889" s="201"/>
      <c r="H889" s="201"/>
      <c r="I889" s="201"/>
      <c r="J889" s="201"/>
      <c r="K889" s="201"/>
      <c r="L889" s="201"/>
      <c r="M889" s="201"/>
      <c r="N889" s="201"/>
      <c r="O889" s="201"/>
      <c r="P889" s="201"/>
      <c r="Q889" s="201"/>
      <c r="R889" s="201"/>
      <c r="S889" s="201"/>
      <c r="T889" s="201"/>
      <c r="U889" s="201"/>
      <c r="V889" s="201"/>
      <c r="W889" s="201"/>
      <c r="X889" s="201"/>
      <c r="Y889" s="201"/>
      <c r="Z889" s="201"/>
    </row>
    <row r="890" ht="12.8" customHeight="1" spans="1:26">
      <c r="A890" s="200"/>
      <c r="B890" s="201"/>
      <c r="C890" s="201"/>
      <c r="D890" s="201"/>
      <c r="E890" s="201"/>
      <c r="F890" s="201"/>
      <c r="G890" s="201"/>
      <c r="H890" s="201"/>
      <c r="I890" s="201"/>
      <c r="J890" s="201"/>
      <c r="K890" s="201"/>
      <c r="L890" s="201"/>
      <c r="M890" s="201"/>
      <c r="N890" s="201"/>
      <c r="O890" s="201"/>
      <c r="P890" s="201"/>
      <c r="Q890" s="201"/>
      <c r="R890" s="201"/>
      <c r="S890" s="201"/>
      <c r="T890" s="201"/>
      <c r="U890" s="201"/>
      <c r="V890" s="201"/>
      <c r="W890" s="201"/>
      <c r="X890" s="201"/>
      <c r="Y890" s="201"/>
      <c r="Z890" s="201"/>
    </row>
    <row r="891" ht="12.8" customHeight="1" spans="1:26">
      <c r="A891" s="200"/>
      <c r="B891" s="201"/>
      <c r="C891" s="201"/>
      <c r="D891" s="201"/>
      <c r="E891" s="201"/>
      <c r="F891" s="201"/>
      <c r="G891" s="201"/>
      <c r="H891" s="201"/>
      <c r="I891" s="201"/>
      <c r="J891" s="201"/>
      <c r="K891" s="201"/>
      <c r="L891" s="201"/>
      <c r="M891" s="201"/>
      <c r="N891" s="201"/>
      <c r="O891" s="201"/>
      <c r="P891" s="201"/>
      <c r="Q891" s="201"/>
      <c r="R891" s="201"/>
      <c r="S891" s="201"/>
      <c r="T891" s="201"/>
      <c r="U891" s="201"/>
      <c r="V891" s="201"/>
      <c r="W891" s="201"/>
      <c r="X891" s="201"/>
      <c r="Y891" s="201"/>
      <c r="Z891" s="201"/>
    </row>
    <row r="892" ht="12.8" customHeight="1" spans="1:26">
      <c r="A892" s="200"/>
      <c r="B892" s="201"/>
      <c r="C892" s="201"/>
      <c r="D892" s="201"/>
      <c r="E892" s="201"/>
      <c r="F892" s="201"/>
      <c r="G892" s="201"/>
      <c r="H892" s="201"/>
      <c r="I892" s="201"/>
      <c r="J892" s="201"/>
      <c r="K892" s="201"/>
      <c r="L892" s="201"/>
      <c r="M892" s="201"/>
      <c r="N892" s="201"/>
      <c r="O892" s="201"/>
      <c r="P892" s="201"/>
      <c r="Q892" s="201"/>
      <c r="R892" s="201"/>
      <c r="S892" s="201"/>
      <c r="T892" s="201"/>
      <c r="U892" s="201"/>
      <c r="V892" s="201"/>
      <c r="W892" s="201"/>
      <c r="X892" s="201"/>
      <c r="Y892" s="201"/>
      <c r="Z892" s="201"/>
    </row>
    <row r="893" ht="12.8" customHeight="1" spans="1:26">
      <c r="A893" s="200"/>
      <c r="B893" s="201"/>
      <c r="C893" s="201"/>
      <c r="D893" s="201"/>
      <c r="E893" s="201"/>
      <c r="F893" s="201"/>
      <c r="G893" s="201"/>
      <c r="H893" s="201"/>
      <c r="I893" s="201"/>
      <c r="J893" s="201"/>
      <c r="K893" s="201"/>
      <c r="L893" s="201"/>
      <c r="M893" s="201"/>
      <c r="N893" s="201"/>
      <c r="O893" s="201"/>
      <c r="P893" s="201"/>
      <c r="Q893" s="201"/>
      <c r="R893" s="201"/>
      <c r="S893" s="201"/>
      <c r="T893" s="201"/>
      <c r="U893" s="201"/>
      <c r="V893" s="201"/>
      <c r="W893" s="201"/>
      <c r="X893" s="201"/>
      <c r="Y893" s="201"/>
      <c r="Z893" s="201"/>
    </row>
    <row r="894" ht="12.8" customHeight="1" spans="1:26">
      <c r="A894" s="200"/>
      <c r="B894" s="201"/>
      <c r="C894" s="201"/>
      <c r="D894" s="201"/>
      <c r="E894" s="201"/>
      <c r="F894" s="201"/>
      <c r="G894" s="201"/>
      <c r="H894" s="201"/>
      <c r="I894" s="201"/>
      <c r="J894" s="201"/>
      <c r="K894" s="201"/>
      <c r="L894" s="201"/>
      <c r="M894" s="201"/>
      <c r="N894" s="201"/>
      <c r="O894" s="201"/>
      <c r="P894" s="201"/>
      <c r="Q894" s="201"/>
      <c r="R894" s="201"/>
      <c r="S894" s="201"/>
      <c r="T894" s="201"/>
      <c r="U894" s="201"/>
      <c r="V894" s="201"/>
      <c r="W894" s="201"/>
      <c r="X894" s="201"/>
      <c r="Y894" s="201"/>
      <c r="Z894" s="201"/>
    </row>
    <row r="895" ht="12.8" customHeight="1" spans="1:26">
      <c r="A895" s="200"/>
      <c r="B895" s="201"/>
      <c r="C895" s="201"/>
      <c r="D895" s="201"/>
      <c r="E895" s="201"/>
      <c r="F895" s="201"/>
      <c r="G895" s="201"/>
      <c r="H895" s="201"/>
      <c r="I895" s="201"/>
      <c r="J895" s="201"/>
      <c r="K895" s="201"/>
      <c r="L895" s="201"/>
      <c r="M895" s="201"/>
      <c r="N895" s="201"/>
      <c r="O895" s="201"/>
      <c r="P895" s="201"/>
      <c r="Q895" s="201"/>
      <c r="R895" s="201"/>
      <c r="S895" s="201"/>
      <c r="T895" s="201"/>
      <c r="U895" s="201"/>
      <c r="V895" s="201"/>
      <c r="W895" s="201"/>
      <c r="X895" s="201"/>
      <c r="Y895" s="201"/>
      <c r="Z895" s="201"/>
    </row>
    <row r="896" ht="12.8" customHeight="1" spans="1:26">
      <c r="A896" s="200"/>
      <c r="B896" s="201"/>
      <c r="C896" s="201"/>
      <c r="D896" s="201"/>
      <c r="E896" s="201"/>
      <c r="F896" s="201"/>
      <c r="G896" s="201"/>
      <c r="H896" s="201"/>
      <c r="I896" s="201"/>
      <c r="J896" s="201"/>
      <c r="K896" s="201"/>
      <c r="L896" s="201"/>
      <c r="M896" s="201"/>
      <c r="N896" s="201"/>
      <c r="O896" s="201"/>
      <c r="P896" s="201"/>
      <c r="Q896" s="201"/>
      <c r="R896" s="201"/>
      <c r="S896" s="201"/>
      <c r="T896" s="201"/>
      <c r="U896" s="201"/>
      <c r="V896" s="201"/>
      <c r="W896" s="201"/>
      <c r="X896" s="201"/>
      <c r="Y896" s="201"/>
      <c r="Z896" s="201"/>
    </row>
    <row r="897" ht="12.8" customHeight="1" spans="1:26">
      <c r="A897" s="200"/>
      <c r="B897" s="201"/>
      <c r="C897" s="201"/>
      <c r="D897" s="201"/>
      <c r="E897" s="201"/>
      <c r="F897" s="201"/>
      <c r="G897" s="201"/>
      <c r="H897" s="201"/>
      <c r="I897" s="201"/>
      <c r="J897" s="201"/>
      <c r="K897" s="201"/>
      <c r="L897" s="201"/>
      <c r="M897" s="201"/>
      <c r="N897" s="201"/>
      <c r="O897" s="201"/>
      <c r="P897" s="201"/>
      <c r="Q897" s="201"/>
      <c r="R897" s="201"/>
      <c r="S897" s="201"/>
      <c r="T897" s="201"/>
      <c r="U897" s="201"/>
      <c r="V897" s="201"/>
      <c r="W897" s="201"/>
      <c r="X897" s="201"/>
      <c r="Y897" s="201"/>
      <c r="Z897" s="201"/>
    </row>
    <row r="898" ht="12.8" customHeight="1" spans="1:26">
      <c r="A898" s="200"/>
      <c r="B898" s="201"/>
      <c r="C898" s="201"/>
      <c r="D898" s="201"/>
      <c r="E898" s="201"/>
      <c r="F898" s="201"/>
      <c r="G898" s="201"/>
      <c r="H898" s="201"/>
      <c r="I898" s="201"/>
      <c r="J898" s="201"/>
      <c r="K898" s="201"/>
      <c r="L898" s="201"/>
      <c r="M898" s="201"/>
      <c r="N898" s="201"/>
      <c r="O898" s="201"/>
      <c r="P898" s="201"/>
      <c r="Q898" s="201"/>
      <c r="R898" s="201"/>
      <c r="S898" s="201"/>
      <c r="T898" s="201"/>
      <c r="U898" s="201"/>
      <c r="V898" s="201"/>
      <c r="W898" s="201"/>
      <c r="X898" s="201"/>
      <c r="Y898" s="201"/>
      <c r="Z898" s="201"/>
    </row>
    <row r="899" ht="12.8" customHeight="1" spans="1:26">
      <c r="A899" s="200"/>
      <c r="B899" s="201"/>
      <c r="C899" s="201"/>
      <c r="D899" s="201"/>
      <c r="E899" s="201"/>
      <c r="F899" s="201"/>
      <c r="G899" s="201"/>
      <c r="H899" s="201"/>
      <c r="I899" s="201"/>
      <c r="J899" s="201"/>
      <c r="K899" s="201"/>
      <c r="L899" s="201"/>
      <c r="M899" s="201"/>
      <c r="N899" s="201"/>
      <c r="O899" s="201"/>
      <c r="P899" s="201"/>
      <c r="Q899" s="201"/>
      <c r="R899" s="201"/>
      <c r="S899" s="201"/>
      <c r="T899" s="201"/>
      <c r="U899" s="201"/>
      <c r="V899" s="201"/>
      <c r="W899" s="201"/>
      <c r="X899" s="201"/>
      <c r="Y899" s="201"/>
      <c r="Z899" s="201"/>
    </row>
    <row r="900" ht="12.8" customHeight="1" spans="1:26">
      <c r="A900" s="200"/>
      <c r="B900" s="201"/>
      <c r="C900" s="201"/>
      <c r="D900" s="201"/>
      <c r="E900" s="201"/>
      <c r="F900" s="201"/>
      <c r="G900" s="201"/>
      <c r="H900" s="201"/>
      <c r="I900" s="201"/>
      <c r="J900" s="201"/>
      <c r="K900" s="201"/>
      <c r="L900" s="201"/>
      <c r="M900" s="201"/>
      <c r="N900" s="201"/>
      <c r="O900" s="201"/>
      <c r="P900" s="201"/>
      <c r="Q900" s="201"/>
      <c r="R900" s="201"/>
      <c r="S900" s="201"/>
      <c r="T900" s="201"/>
      <c r="U900" s="201"/>
      <c r="V900" s="201"/>
      <c r="W900" s="201"/>
      <c r="X900" s="201"/>
      <c r="Y900" s="201"/>
      <c r="Z900" s="201"/>
    </row>
    <row r="901" ht="12.8" customHeight="1" spans="1:26">
      <c r="A901" s="200"/>
      <c r="B901" s="201"/>
      <c r="C901" s="201"/>
      <c r="D901" s="201"/>
      <c r="E901" s="201"/>
      <c r="F901" s="201"/>
      <c r="G901" s="201"/>
      <c r="H901" s="201"/>
      <c r="I901" s="201"/>
      <c r="J901" s="201"/>
      <c r="K901" s="201"/>
      <c r="L901" s="201"/>
      <c r="M901" s="201"/>
      <c r="N901" s="201"/>
      <c r="O901" s="201"/>
      <c r="P901" s="201"/>
      <c r="Q901" s="201"/>
      <c r="R901" s="201"/>
      <c r="S901" s="201"/>
      <c r="T901" s="201"/>
      <c r="U901" s="201"/>
      <c r="V901" s="201"/>
      <c r="W901" s="201"/>
      <c r="X901" s="201"/>
      <c r="Y901" s="201"/>
      <c r="Z901" s="201"/>
    </row>
    <row r="902" ht="12.8" customHeight="1" spans="1:26">
      <c r="A902" s="200"/>
      <c r="B902" s="201"/>
      <c r="C902" s="201"/>
      <c r="D902" s="201"/>
      <c r="E902" s="201"/>
      <c r="F902" s="201"/>
      <c r="G902" s="201"/>
      <c r="H902" s="201"/>
      <c r="I902" s="201"/>
      <c r="J902" s="201"/>
      <c r="K902" s="201"/>
      <c r="L902" s="201"/>
      <c r="M902" s="201"/>
      <c r="N902" s="201"/>
      <c r="O902" s="201"/>
      <c r="P902" s="201"/>
      <c r="Q902" s="201"/>
      <c r="R902" s="201"/>
      <c r="S902" s="201"/>
      <c r="T902" s="201"/>
      <c r="U902" s="201"/>
      <c r="V902" s="201"/>
      <c r="W902" s="201"/>
      <c r="X902" s="201"/>
      <c r="Y902" s="201"/>
      <c r="Z902" s="201"/>
    </row>
    <row r="903" ht="12.8" customHeight="1" spans="1:26">
      <c r="A903" s="200"/>
      <c r="B903" s="201"/>
      <c r="C903" s="201"/>
      <c r="D903" s="201"/>
      <c r="E903" s="201"/>
      <c r="F903" s="201"/>
      <c r="G903" s="201"/>
      <c r="H903" s="201"/>
      <c r="I903" s="201"/>
      <c r="J903" s="201"/>
      <c r="K903" s="201"/>
      <c r="L903" s="201"/>
      <c r="M903" s="201"/>
      <c r="N903" s="201"/>
      <c r="O903" s="201"/>
      <c r="P903" s="201"/>
      <c r="Q903" s="201"/>
      <c r="R903" s="201"/>
      <c r="S903" s="201"/>
      <c r="T903" s="201"/>
      <c r="U903" s="201"/>
      <c r="V903" s="201"/>
      <c r="W903" s="201"/>
      <c r="X903" s="201"/>
      <c r="Y903" s="201"/>
      <c r="Z903" s="201"/>
    </row>
    <row r="904" ht="12.8" customHeight="1" spans="1:26">
      <c r="A904" s="200"/>
      <c r="B904" s="201"/>
      <c r="C904" s="201"/>
      <c r="D904" s="201"/>
      <c r="E904" s="201"/>
      <c r="F904" s="201"/>
      <c r="G904" s="201"/>
      <c r="H904" s="201"/>
      <c r="I904" s="201"/>
      <c r="J904" s="201"/>
      <c r="K904" s="201"/>
      <c r="L904" s="201"/>
      <c r="M904" s="201"/>
      <c r="N904" s="201"/>
      <c r="O904" s="201"/>
      <c r="P904" s="201"/>
      <c r="Q904" s="201"/>
      <c r="R904" s="201"/>
      <c r="S904" s="201"/>
      <c r="T904" s="201"/>
      <c r="U904" s="201"/>
      <c r="V904" s="201"/>
      <c r="W904" s="201"/>
      <c r="X904" s="201"/>
      <c r="Y904" s="201"/>
      <c r="Z904" s="201"/>
    </row>
    <row r="905" ht="12.8" customHeight="1" spans="1:26">
      <c r="A905" s="200"/>
      <c r="B905" s="201"/>
      <c r="C905" s="201"/>
      <c r="D905" s="201"/>
      <c r="E905" s="201"/>
      <c r="F905" s="201"/>
      <c r="G905" s="201"/>
      <c r="H905" s="201"/>
      <c r="I905" s="201"/>
      <c r="J905" s="201"/>
      <c r="K905" s="201"/>
      <c r="L905" s="201"/>
      <c r="M905" s="201"/>
      <c r="N905" s="201"/>
      <c r="O905" s="201"/>
      <c r="P905" s="201"/>
      <c r="Q905" s="201"/>
      <c r="R905" s="201"/>
      <c r="S905" s="201"/>
      <c r="T905" s="201"/>
      <c r="U905" s="201"/>
      <c r="V905" s="201"/>
      <c r="W905" s="201"/>
      <c r="X905" s="201"/>
      <c r="Y905" s="201"/>
      <c r="Z905" s="201"/>
    </row>
    <row r="906" ht="12.8" customHeight="1" spans="1:26">
      <c r="A906" s="200"/>
      <c r="B906" s="201"/>
      <c r="C906" s="201"/>
      <c r="D906" s="201"/>
      <c r="E906" s="201"/>
      <c r="F906" s="201"/>
      <c r="G906" s="201"/>
      <c r="H906" s="201"/>
      <c r="I906" s="201"/>
      <c r="J906" s="201"/>
      <c r="K906" s="201"/>
      <c r="L906" s="201"/>
      <c r="M906" s="201"/>
      <c r="N906" s="201"/>
      <c r="O906" s="201"/>
      <c r="P906" s="201"/>
      <c r="Q906" s="201"/>
      <c r="R906" s="201"/>
      <c r="S906" s="201"/>
      <c r="T906" s="201"/>
      <c r="U906" s="201"/>
      <c r="V906" s="201"/>
      <c r="W906" s="201"/>
      <c r="X906" s="201"/>
      <c r="Y906" s="201"/>
      <c r="Z906" s="201"/>
    </row>
    <row r="907" ht="12.8" customHeight="1" spans="1:26">
      <c r="A907" s="200"/>
      <c r="B907" s="201"/>
      <c r="C907" s="201"/>
      <c r="D907" s="201"/>
      <c r="E907" s="201"/>
      <c r="F907" s="201"/>
      <c r="G907" s="201"/>
      <c r="H907" s="201"/>
      <c r="I907" s="201"/>
      <c r="J907" s="201"/>
      <c r="K907" s="201"/>
      <c r="L907" s="201"/>
      <c r="M907" s="201"/>
      <c r="N907" s="201"/>
      <c r="O907" s="201"/>
      <c r="P907" s="201"/>
      <c r="Q907" s="201"/>
      <c r="R907" s="201"/>
      <c r="S907" s="201"/>
      <c r="T907" s="201"/>
      <c r="U907" s="201"/>
      <c r="V907" s="201"/>
      <c r="W907" s="201"/>
      <c r="X907" s="201"/>
      <c r="Y907" s="201"/>
      <c r="Z907" s="201"/>
    </row>
    <row r="908" ht="12.8" customHeight="1" spans="1:26">
      <c r="A908" s="200"/>
      <c r="B908" s="201"/>
      <c r="C908" s="201"/>
      <c r="D908" s="201"/>
      <c r="E908" s="201"/>
      <c r="F908" s="201"/>
      <c r="G908" s="201"/>
      <c r="H908" s="201"/>
      <c r="I908" s="201"/>
      <c r="J908" s="201"/>
      <c r="K908" s="201"/>
      <c r="L908" s="201"/>
      <c r="M908" s="201"/>
      <c r="N908" s="201"/>
      <c r="O908" s="201"/>
      <c r="P908" s="201"/>
      <c r="Q908" s="201"/>
      <c r="R908" s="201"/>
      <c r="S908" s="201"/>
      <c r="T908" s="201"/>
      <c r="U908" s="201"/>
      <c r="V908" s="201"/>
      <c r="W908" s="201"/>
      <c r="X908" s="201"/>
      <c r="Y908" s="201"/>
      <c r="Z908" s="201"/>
    </row>
    <row r="909" ht="12.8" customHeight="1" spans="1:26">
      <c r="A909" s="200"/>
      <c r="B909" s="201"/>
      <c r="C909" s="201"/>
      <c r="D909" s="201"/>
      <c r="E909" s="201"/>
      <c r="F909" s="201"/>
      <c r="G909" s="201"/>
      <c r="H909" s="201"/>
      <c r="I909" s="201"/>
      <c r="J909" s="201"/>
      <c r="K909" s="201"/>
      <c r="L909" s="201"/>
      <c r="M909" s="201"/>
      <c r="N909" s="201"/>
      <c r="O909" s="201"/>
      <c r="P909" s="201"/>
      <c r="Q909" s="201"/>
      <c r="R909" s="201"/>
      <c r="S909" s="201"/>
      <c r="T909" s="201"/>
      <c r="U909" s="201"/>
      <c r="V909" s="201"/>
      <c r="W909" s="201"/>
      <c r="X909" s="201"/>
      <c r="Y909" s="201"/>
      <c r="Z909" s="201"/>
    </row>
    <row r="910" ht="12.8" customHeight="1" spans="1:26">
      <c r="A910" s="200"/>
      <c r="B910" s="201"/>
      <c r="C910" s="201"/>
      <c r="D910" s="201"/>
      <c r="E910" s="201"/>
      <c r="F910" s="201"/>
      <c r="G910" s="201"/>
      <c r="H910" s="201"/>
      <c r="I910" s="201"/>
      <c r="J910" s="201"/>
      <c r="K910" s="201"/>
      <c r="L910" s="201"/>
      <c r="M910" s="201"/>
      <c r="N910" s="201"/>
      <c r="O910" s="201"/>
      <c r="P910" s="201"/>
      <c r="Q910" s="201"/>
      <c r="R910" s="201"/>
      <c r="S910" s="201"/>
      <c r="T910" s="201"/>
      <c r="U910" s="201"/>
      <c r="V910" s="201"/>
      <c r="W910" s="201"/>
      <c r="X910" s="201"/>
      <c r="Y910" s="201"/>
      <c r="Z910" s="201"/>
    </row>
    <row r="911" ht="12.8" customHeight="1" spans="1:26">
      <c r="A911" s="200"/>
      <c r="B911" s="201"/>
      <c r="C911" s="201"/>
      <c r="D911" s="201"/>
      <c r="E911" s="201"/>
      <c r="F911" s="201"/>
      <c r="G911" s="201"/>
      <c r="H911" s="201"/>
      <c r="I911" s="201"/>
      <c r="J911" s="201"/>
      <c r="K911" s="201"/>
      <c r="L911" s="201"/>
      <c r="M911" s="201"/>
      <c r="N911" s="201"/>
      <c r="O911" s="201"/>
      <c r="P911" s="201"/>
      <c r="Q911" s="201"/>
      <c r="R911" s="201"/>
      <c r="S911" s="201"/>
      <c r="T911" s="201"/>
      <c r="U911" s="201"/>
      <c r="V911" s="201"/>
      <c r="W911" s="201"/>
      <c r="X911" s="201"/>
      <c r="Y911" s="201"/>
      <c r="Z911" s="201"/>
    </row>
    <row r="912" ht="12.8" customHeight="1" spans="1:26">
      <c r="A912" s="200"/>
      <c r="B912" s="201"/>
      <c r="C912" s="201"/>
      <c r="D912" s="201"/>
      <c r="E912" s="201"/>
      <c r="F912" s="201"/>
      <c r="G912" s="201"/>
      <c r="H912" s="201"/>
      <c r="I912" s="201"/>
      <c r="J912" s="201"/>
      <c r="K912" s="201"/>
      <c r="L912" s="201"/>
      <c r="M912" s="201"/>
      <c r="N912" s="201"/>
      <c r="O912" s="201"/>
      <c r="P912" s="201"/>
      <c r="Q912" s="201"/>
      <c r="R912" s="201"/>
      <c r="S912" s="201"/>
      <c r="T912" s="201"/>
      <c r="U912" s="201"/>
      <c r="V912" s="201"/>
      <c r="W912" s="201"/>
      <c r="X912" s="201"/>
      <c r="Y912" s="201"/>
      <c r="Z912" s="201"/>
    </row>
    <row r="913" ht="12.8" customHeight="1" spans="1:26">
      <c r="A913" s="200"/>
      <c r="B913" s="201"/>
      <c r="C913" s="201"/>
      <c r="D913" s="201"/>
      <c r="E913" s="201"/>
      <c r="F913" s="201"/>
      <c r="G913" s="201"/>
      <c r="H913" s="201"/>
      <c r="I913" s="201"/>
      <c r="J913" s="201"/>
      <c r="K913" s="201"/>
      <c r="L913" s="201"/>
      <c r="M913" s="201"/>
      <c r="N913" s="201"/>
      <c r="O913" s="201"/>
      <c r="P913" s="201"/>
      <c r="Q913" s="201"/>
      <c r="R913" s="201"/>
      <c r="S913" s="201"/>
      <c r="T913" s="201"/>
      <c r="U913" s="201"/>
      <c r="V913" s="201"/>
      <c r="W913" s="201"/>
      <c r="X913" s="201"/>
      <c r="Y913" s="201"/>
      <c r="Z913" s="201"/>
    </row>
    <row r="914" ht="12.8" customHeight="1" spans="1:26">
      <c r="A914" s="200"/>
      <c r="B914" s="201"/>
      <c r="C914" s="201"/>
      <c r="D914" s="201"/>
      <c r="E914" s="201"/>
      <c r="F914" s="201"/>
      <c r="G914" s="201"/>
      <c r="H914" s="201"/>
      <c r="I914" s="201"/>
      <c r="J914" s="201"/>
      <c r="K914" s="201"/>
      <c r="L914" s="201"/>
      <c r="M914" s="201"/>
      <c r="N914" s="201"/>
      <c r="O914" s="201"/>
      <c r="P914" s="201"/>
      <c r="Q914" s="201"/>
      <c r="R914" s="201"/>
      <c r="S914" s="201"/>
      <c r="T914" s="201"/>
      <c r="U914" s="201"/>
      <c r="V914" s="201"/>
      <c r="W914" s="201"/>
      <c r="X914" s="201"/>
      <c r="Y914" s="201"/>
      <c r="Z914" s="201"/>
    </row>
    <row r="915" ht="12.8" customHeight="1" spans="1:26">
      <c r="A915" s="200"/>
      <c r="B915" s="201"/>
      <c r="C915" s="201"/>
      <c r="D915" s="201"/>
      <c r="E915" s="201"/>
      <c r="F915" s="201"/>
      <c r="G915" s="201"/>
      <c r="H915" s="201"/>
      <c r="I915" s="201"/>
      <c r="J915" s="201"/>
      <c r="K915" s="201"/>
      <c r="L915" s="201"/>
      <c r="M915" s="201"/>
      <c r="N915" s="201"/>
      <c r="O915" s="201"/>
      <c r="P915" s="201"/>
      <c r="Q915" s="201"/>
      <c r="R915" s="201"/>
      <c r="S915" s="201"/>
      <c r="T915" s="201"/>
      <c r="U915" s="201"/>
      <c r="V915" s="201"/>
      <c r="W915" s="201"/>
      <c r="X915" s="201"/>
      <c r="Y915" s="201"/>
      <c r="Z915" s="201"/>
    </row>
    <row r="916" ht="12.8" customHeight="1" spans="1:26">
      <c r="A916" s="200"/>
      <c r="B916" s="201"/>
      <c r="C916" s="201"/>
      <c r="D916" s="201"/>
      <c r="E916" s="201"/>
      <c r="F916" s="201"/>
      <c r="G916" s="201"/>
      <c r="H916" s="201"/>
      <c r="I916" s="201"/>
      <c r="J916" s="201"/>
      <c r="K916" s="201"/>
      <c r="L916" s="201"/>
      <c r="M916" s="201"/>
      <c r="N916" s="201"/>
      <c r="O916" s="201"/>
      <c r="P916" s="201"/>
      <c r="Q916" s="201"/>
      <c r="R916" s="201"/>
      <c r="S916" s="201"/>
      <c r="T916" s="201"/>
      <c r="U916" s="201"/>
      <c r="V916" s="201"/>
      <c r="W916" s="201"/>
      <c r="X916" s="201"/>
      <c r="Y916" s="201"/>
      <c r="Z916" s="201"/>
    </row>
    <row r="917" ht="12.8" customHeight="1" spans="1:26">
      <c r="A917" s="200"/>
      <c r="B917" s="201"/>
      <c r="C917" s="201"/>
      <c r="D917" s="201"/>
      <c r="E917" s="201"/>
      <c r="F917" s="201"/>
      <c r="G917" s="201"/>
      <c r="H917" s="201"/>
      <c r="I917" s="201"/>
      <c r="J917" s="201"/>
      <c r="K917" s="201"/>
      <c r="L917" s="201"/>
      <c r="M917" s="201"/>
      <c r="N917" s="201"/>
      <c r="O917" s="201"/>
      <c r="P917" s="201"/>
      <c r="Q917" s="201"/>
      <c r="R917" s="201"/>
      <c r="S917" s="201"/>
      <c r="T917" s="201"/>
      <c r="U917" s="201"/>
      <c r="V917" s="201"/>
      <c r="W917" s="201"/>
      <c r="X917" s="201"/>
      <c r="Y917" s="201"/>
      <c r="Z917" s="201"/>
    </row>
    <row r="918" ht="12.8" customHeight="1" spans="1:26">
      <c r="A918" s="200"/>
      <c r="B918" s="201"/>
      <c r="C918" s="201"/>
      <c r="D918" s="201"/>
      <c r="E918" s="201"/>
      <c r="F918" s="201"/>
      <c r="G918" s="201"/>
      <c r="H918" s="201"/>
      <c r="I918" s="201"/>
      <c r="J918" s="201"/>
      <c r="K918" s="201"/>
      <c r="L918" s="201"/>
      <c r="M918" s="201"/>
      <c r="N918" s="201"/>
      <c r="O918" s="201"/>
      <c r="P918" s="201"/>
      <c r="Q918" s="201"/>
      <c r="R918" s="201"/>
      <c r="S918" s="201"/>
      <c r="T918" s="201"/>
      <c r="U918" s="201"/>
      <c r="V918" s="201"/>
      <c r="W918" s="201"/>
      <c r="X918" s="201"/>
      <c r="Y918" s="201"/>
      <c r="Z918" s="201"/>
    </row>
    <row r="919" ht="12.8" customHeight="1" spans="1:26">
      <c r="A919" s="200"/>
      <c r="B919" s="201"/>
      <c r="C919" s="201"/>
      <c r="D919" s="201"/>
      <c r="E919" s="201"/>
      <c r="F919" s="201"/>
      <c r="G919" s="201"/>
      <c r="H919" s="201"/>
      <c r="I919" s="201"/>
      <c r="J919" s="201"/>
      <c r="K919" s="201"/>
      <c r="L919" s="201"/>
      <c r="M919" s="201"/>
      <c r="N919" s="201"/>
      <c r="O919" s="201"/>
      <c r="P919" s="201"/>
      <c r="Q919" s="201"/>
      <c r="R919" s="201"/>
      <c r="S919" s="201"/>
      <c r="T919" s="201"/>
      <c r="U919" s="201"/>
      <c r="V919" s="201"/>
      <c r="W919" s="201"/>
      <c r="X919" s="201"/>
      <c r="Y919" s="201"/>
      <c r="Z919" s="201"/>
    </row>
    <row r="920" ht="12.8" customHeight="1" spans="1:26">
      <c r="A920" s="200"/>
      <c r="B920" s="201"/>
      <c r="C920" s="201"/>
      <c r="D920" s="201"/>
      <c r="E920" s="201"/>
      <c r="F920" s="201"/>
      <c r="G920" s="201"/>
      <c r="H920" s="201"/>
      <c r="I920" s="201"/>
      <c r="J920" s="201"/>
      <c r="K920" s="201"/>
      <c r="L920" s="201"/>
      <c r="M920" s="201"/>
      <c r="N920" s="201"/>
      <c r="O920" s="201"/>
      <c r="P920" s="201"/>
      <c r="Q920" s="201"/>
      <c r="R920" s="201"/>
      <c r="S920" s="201"/>
      <c r="T920" s="201"/>
      <c r="U920" s="201"/>
      <c r="V920" s="201"/>
      <c r="W920" s="201"/>
      <c r="X920" s="201"/>
      <c r="Y920" s="201"/>
      <c r="Z920" s="201"/>
    </row>
    <row r="921" ht="12.8" customHeight="1" spans="1:26">
      <c r="A921" s="200"/>
      <c r="B921" s="201"/>
      <c r="C921" s="201"/>
      <c r="D921" s="201"/>
      <c r="E921" s="201"/>
      <c r="F921" s="201"/>
      <c r="G921" s="201"/>
      <c r="H921" s="201"/>
      <c r="I921" s="201"/>
      <c r="J921" s="201"/>
      <c r="K921" s="201"/>
      <c r="L921" s="201"/>
      <c r="M921" s="201"/>
      <c r="N921" s="201"/>
      <c r="O921" s="201"/>
      <c r="P921" s="201"/>
      <c r="Q921" s="201"/>
      <c r="R921" s="201"/>
      <c r="S921" s="201"/>
      <c r="T921" s="201"/>
      <c r="U921" s="201"/>
      <c r="V921" s="201"/>
      <c r="W921" s="201"/>
      <c r="X921" s="201"/>
      <c r="Y921" s="201"/>
      <c r="Z921" s="201"/>
    </row>
    <row r="922" ht="12.8" customHeight="1" spans="1:26">
      <c r="A922" s="200"/>
      <c r="B922" s="201"/>
      <c r="C922" s="201"/>
      <c r="D922" s="201"/>
      <c r="E922" s="201"/>
      <c r="F922" s="201"/>
      <c r="G922" s="201"/>
      <c r="H922" s="201"/>
      <c r="I922" s="201"/>
      <c r="J922" s="201"/>
      <c r="K922" s="201"/>
      <c r="L922" s="201"/>
      <c r="M922" s="201"/>
      <c r="N922" s="201"/>
      <c r="O922" s="201"/>
      <c r="P922" s="201"/>
      <c r="Q922" s="201"/>
      <c r="R922" s="201"/>
      <c r="S922" s="201"/>
      <c r="T922" s="201"/>
      <c r="U922" s="201"/>
      <c r="V922" s="201"/>
      <c r="W922" s="201"/>
      <c r="X922" s="201"/>
      <c r="Y922" s="201"/>
      <c r="Z922" s="201"/>
    </row>
    <row r="923" ht="12.8" customHeight="1" spans="1:26">
      <c r="A923" s="200"/>
      <c r="B923" s="201"/>
      <c r="C923" s="201"/>
      <c r="D923" s="201"/>
      <c r="E923" s="201"/>
      <c r="F923" s="201"/>
      <c r="G923" s="201"/>
      <c r="H923" s="201"/>
      <c r="I923" s="201"/>
      <c r="J923" s="201"/>
      <c r="K923" s="201"/>
      <c r="L923" s="201"/>
      <c r="M923" s="201"/>
      <c r="N923" s="201"/>
      <c r="O923" s="201"/>
      <c r="P923" s="201"/>
      <c r="Q923" s="201"/>
      <c r="R923" s="201"/>
      <c r="S923" s="201"/>
      <c r="T923" s="201"/>
      <c r="U923" s="201"/>
      <c r="V923" s="201"/>
      <c r="W923" s="201"/>
      <c r="X923" s="201"/>
      <c r="Y923" s="201"/>
      <c r="Z923" s="201"/>
    </row>
    <row r="924" ht="12.8" customHeight="1" spans="1:26">
      <c r="A924" s="200"/>
      <c r="B924" s="201"/>
      <c r="C924" s="201"/>
      <c r="D924" s="201"/>
      <c r="E924" s="201"/>
      <c r="F924" s="201"/>
      <c r="G924" s="201"/>
      <c r="H924" s="201"/>
      <c r="I924" s="201"/>
      <c r="J924" s="201"/>
      <c r="K924" s="201"/>
      <c r="L924" s="201"/>
      <c r="M924" s="201"/>
      <c r="N924" s="201"/>
      <c r="O924" s="201"/>
      <c r="P924" s="201"/>
      <c r="Q924" s="201"/>
      <c r="R924" s="201"/>
      <c r="S924" s="201"/>
      <c r="T924" s="201"/>
      <c r="U924" s="201"/>
      <c r="V924" s="201"/>
      <c r="W924" s="201"/>
      <c r="X924" s="201"/>
      <c r="Y924" s="201"/>
      <c r="Z924" s="201"/>
    </row>
    <row r="925" ht="12.8" customHeight="1" spans="1:26">
      <c r="A925" s="200"/>
      <c r="B925" s="201"/>
      <c r="C925" s="201"/>
      <c r="D925" s="201"/>
      <c r="E925" s="201"/>
      <c r="F925" s="201"/>
      <c r="G925" s="201"/>
      <c r="H925" s="201"/>
      <c r="I925" s="201"/>
      <c r="J925" s="201"/>
      <c r="K925" s="201"/>
      <c r="L925" s="201"/>
      <c r="M925" s="201"/>
      <c r="N925" s="201"/>
      <c r="O925" s="201"/>
      <c r="P925" s="201"/>
      <c r="Q925" s="201"/>
      <c r="R925" s="201"/>
      <c r="S925" s="201"/>
      <c r="T925" s="201"/>
      <c r="U925" s="201"/>
      <c r="V925" s="201"/>
      <c r="W925" s="201"/>
      <c r="X925" s="201"/>
      <c r="Y925" s="201"/>
      <c r="Z925" s="201"/>
    </row>
    <row r="926" ht="12.8" customHeight="1" spans="1:26">
      <c r="A926" s="200"/>
      <c r="B926" s="201"/>
      <c r="C926" s="201"/>
      <c r="D926" s="201"/>
      <c r="E926" s="201"/>
      <c r="F926" s="201"/>
      <c r="G926" s="201"/>
      <c r="H926" s="201"/>
      <c r="I926" s="201"/>
      <c r="J926" s="201"/>
      <c r="K926" s="201"/>
      <c r="L926" s="201"/>
      <c r="M926" s="201"/>
      <c r="N926" s="201"/>
      <c r="O926" s="201"/>
      <c r="P926" s="201"/>
      <c r="Q926" s="201"/>
      <c r="R926" s="201"/>
      <c r="S926" s="201"/>
      <c r="T926" s="201"/>
      <c r="U926" s="201"/>
      <c r="V926" s="201"/>
      <c r="W926" s="201"/>
      <c r="X926" s="201"/>
      <c r="Y926" s="201"/>
      <c r="Z926" s="201"/>
    </row>
    <row r="927" ht="12.8" customHeight="1" spans="1:26">
      <c r="A927" s="200"/>
      <c r="B927" s="201"/>
      <c r="C927" s="201"/>
      <c r="D927" s="201"/>
      <c r="E927" s="201"/>
      <c r="F927" s="201"/>
      <c r="G927" s="201"/>
      <c r="H927" s="201"/>
      <c r="I927" s="201"/>
      <c r="J927" s="201"/>
      <c r="K927" s="201"/>
      <c r="L927" s="201"/>
      <c r="M927" s="201"/>
      <c r="N927" s="201"/>
      <c r="O927" s="201"/>
      <c r="P927" s="201"/>
      <c r="Q927" s="201"/>
      <c r="R927" s="201"/>
      <c r="S927" s="201"/>
      <c r="T927" s="201"/>
      <c r="U927" s="201"/>
      <c r="V927" s="201"/>
      <c r="W927" s="201"/>
      <c r="X927" s="201"/>
      <c r="Y927" s="201"/>
      <c r="Z927" s="201"/>
    </row>
    <row r="928" ht="12.8" customHeight="1" spans="1:26">
      <c r="A928" s="200"/>
      <c r="B928" s="201"/>
      <c r="C928" s="201"/>
      <c r="D928" s="201"/>
      <c r="E928" s="201"/>
      <c r="F928" s="201"/>
      <c r="G928" s="201"/>
      <c r="H928" s="201"/>
      <c r="I928" s="201"/>
      <c r="J928" s="201"/>
      <c r="K928" s="201"/>
      <c r="L928" s="201"/>
      <c r="M928" s="201"/>
      <c r="N928" s="201"/>
      <c r="O928" s="201"/>
      <c r="P928" s="201"/>
      <c r="Q928" s="201"/>
      <c r="R928" s="201"/>
      <c r="S928" s="201"/>
      <c r="T928" s="201"/>
      <c r="U928" s="201"/>
      <c r="V928" s="201"/>
      <c r="W928" s="201"/>
      <c r="X928" s="201"/>
      <c r="Y928" s="201"/>
      <c r="Z928" s="201"/>
    </row>
    <row r="929" ht="12.8" customHeight="1" spans="1:26">
      <c r="A929" s="200"/>
      <c r="B929" s="201"/>
      <c r="C929" s="201"/>
      <c r="D929" s="201"/>
      <c r="E929" s="201"/>
      <c r="F929" s="201"/>
      <c r="G929" s="201"/>
      <c r="H929" s="201"/>
      <c r="I929" s="201"/>
      <c r="J929" s="201"/>
      <c r="K929" s="201"/>
      <c r="L929" s="201"/>
      <c r="M929" s="201"/>
      <c r="N929" s="201"/>
      <c r="O929" s="201"/>
      <c r="P929" s="201"/>
      <c r="Q929" s="201"/>
      <c r="R929" s="201"/>
      <c r="S929" s="201"/>
      <c r="T929" s="201"/>
      <c r="U929" s="201"/>
      <c r="V929" s="201"/>
      <c r="W929" s="201"/>
      <c r="X929" s="201"/>
      <c r="Y929" s="201"/>
      <c r="Z929" s="201"/>
    </row>
    <row r="930" ht="12.8" customHeight="1" spans="1:26">
      <c r="A930" s="200"/>
      <c r="B930" s="201"/>
      <c r="C930" s="201"/>
      <c r="D930" s="201"/>
      <c r="E930" s="201"/>
      <c r="F930" s="201"/>
      <c r="G930" s="201"/>
      <c r="H930" s="201"/>
      <c r="I930" s="201"/>
      <c r="J930" s="201"/>
      <c r="K930" s="201"/>
      <c r="L930" s="201"/>
      <c r="M930" s="201"/>
      <c r="N930" s="201"/>
      <c r="O930" s="201"/>
      <c r="P930" s="201"/>
      <c r="Q930" s="201"/>
      <c r="R930" s="201"/>
      <c r="S930" s="201"/>
      <c r="T930" s="201"/>
      <c r="U930" s="201"/>
      <c r="V930" s="201"/>
      <c r="W930" s="201"/>
      <c r="X930" s="201"/>
      <c r="Y930" s="201"/>
      <c r="Z930" s="201"/>
    </row>
    <row r="931" ht="12.8" customHeight="1" spans="1:26">
      <c r="A931" s="200"/>
      <c r="B931" s="201"/>
      <c r="C931" s="201"/>
      <c r="D931" s="201"/>
      <c r="E931" s="201"/>
      <c r="F931" s="201"/>
      <c r="G931" s="201"/>
      <c r="H931" s="201"/>
      <c r="I931" s="201"/>
      <c r="J931" s="201"/>
      <c r="K931" s="201"/>
      <c r="L931" s="201"/>
      <c r="M931" s="201"/>
      <c r="N931" s="201"/>
      <c r="O931" s="201"/>
      <c r="P931" s="201"/>
      <c r="Q931" s="201"/>
      <c r="R931" s="201"/>
      <c r="S931" s="201"/>
      <c r="T931" s="201"/>
      <c r="U931" s="201"/>
      <c r="V931" s="201"/>
      <c r="W931" s="201"/>
      <c r="X931" s="201"/>
      <c r="Y931" s="201"/>
      <c r="Z931" s="201"/>
    </row>
    <row r="932" ht="12.8" customHeight="1" spans="1:26">
      <c r="A932" s="200"/>
      <c r="B932" s="201"/>
      <c r="C932" s="201"/>
      <c r="D932" s="201"/>
      <c r="E932" s="201"/>
      <c r="F932" s="201"/>
      <c r="G932" s="201"/>
      <c r="H932" s="201"/>
      <c r="I932" s="201"/>
      <c r="J932" s="201"/>
      <c r="K932" s="201"/>
      <c r="L932" s="201"/>
      <c r="M932" s="201"/>
      <c r="N932" s="201"/>
      <c r="O932" s="201"/>
      <c r="P932" s="201"/>
      <c r="Q932" s="201"/>
      <c r="R932" s="201"/>
      <c r="S932" s="201"/>
      <c r="T932" s="201"/>
      <c r="U932" s="201"/>
      <c r="V932" s="201"/>
      <c r="W932" s="201"/>
      <c r="X932" s="201"/>
      <c r="Y932" s="201"/>
      <c r="Z932" s="201"/>
    </row>
    <row r="933" ht="12.8" customHeight="1" spans="1:26">
      <c r="A933" s="200"/>
      <c r="B933" s="201"/>
      <c r="C933" s="201"/>
      <c r="D933" s="201"/>
      <c r="E933" s="201"/>
      <c r="F933" s="201"/>
      <c r="G933" s="201"/>
      <c r="H933" s="201"/>
      <c r="I933" s="201"/>
      <c r="J933" s="201"/>
      <c r="K933" s="201"/>
      <c r="L933" s="201"/>
      <c r="M933" s="201"/>
      <c r="N933" s="201"/>
      <c r="O933" s="201"/>
      <c r="P933" s="201"/>
      <c r="Q933" s="201"/>
      <c r="R933" s="201"/>
      <c r="S933" s="201"/>
      <c r="T933" s="201"/>
      <c r="U933" s="201"/>
      <c r="V933" s="201"/>
      <c r="W933" s="201"/>
      <c r="X933" s="201"/>
      <c r="Y933" s="201"/>
      <c r="Z933" s="201"/>
    </row>
    <row r="934" ht="12.8" customHeight="1" spans="1:26">
      <c r="A934" s="200"/>
      <c r="B934" s="201"/>
      <c r="C934" s="201"/>
      <c r="D934" s="201"/>
      <c r="E934" s="201"/>
      <c r="F934" s="201"/>
      <c r="G934" s="201"/>
      <c r="H934" s="201"/>
      <c r="I934" s="201"/>
      <c r="J934" s="201"/>
      <c r="K934" s="201"/>
      <c r="L934" s="201"/>
      <c r="M934" s="201"/>
      <c r="N934" s="201"/>
      <c r="O934" s="201"/>
      <c r="P934" s="201"/>
      <c r="Q934" s="201"/>
      <c r="R934" s="201"/>
      <c r="S934" s="201"/>
      <c r="T934" s="201"/>
      <c r="U934" s="201"/>
      <c r="V934" s="201"/>
      <c r="W934" s="201"/>
      <c r="X934" s="201"/>
      <c r="Y934" s="201"/>
      <c r="Z934" s="201"/>
    </row>
    <row r="935" ht="12.8" customHeight="1" spans="1:26">
      <c r="A935" s="200"/>
      <c r="B935" s="201"/>
      <c r="C935" s="201"/>
      <c r="D935" s="201"/>
      <c r="E935" s="201"/>
      <c r="F935" s="201"/>
      <c r="G935" s="201"/>
      <c r="H935" s="201"/>
      <c r="I935" s="201"/>
      <c r="J935" s="201"/>
      <c r="K935" s="201"/>
      <c r="L935" s="201"/>
      <c r="M935" s="201"/>
      <c r="N935" s="201"/>
      <c r="O935" s="201"/>
      <c r="P935" s="201"/>
      <c r="Q935" s="201"/>
      <c r="R935" s="201"/>
      <c r="S935" s="201"/>
      <c r="T935" s="201"/>
      <c r="U935" s="201"/>
      <c r="V935" s="201"/>
      <c r="W935" s="201"/>
      <c r="X935" s="201"/>
      <c r="Y935" s="201"/>
      <c r="Z935" s="201"/>
    </row>
    <row r="936" ht="12.8" customHeight="1" spans="1:26">
      <c r="A936" s="200"/>
      <c r="B936" s="201"/>
      <c r="C936" s="201"/>
      <c r="D936" s="201"/>
      <c r="E936" s="201"/>
      <c r="F936" s="201"/>
      <c r="G936" s="201"/>
      <c r="H936" s="201"/>
      <c r="I936" s="201"/>
      <c r="J936" s="201"/>
      <c r="K936" s="201"/>
      <c r="L936" s="201"/>
      <c r="M936" s="201"/>
      <c r="N936" s="201"/>
      <c r="O936" s="201"/>
      <c r="P936" s="201"/>
      <c r="Q936" s="201"/>
      <c r="R936" s="201"/>
      <c r="S936" s="201"/>
      <c r="T936" s="201"/>
      <c r="U936" s="201"/>
      <c r="V936" s="201"/>
      <c r="W936" s="201"/>
      <c r="X936" s="201"/>
      <c r="Y936" s="201"/>
      <c r="Z936" s="201"/>
    </row>
    <row r="937" ht="12.8" customHeight="1" spans="1:26">
      <c r="A937" s="200"/>
      <c r="B937" s="201"/>
      <c r="C937" s="201"/>
      <c r="D937" s="201"/>
      <c r="E937" s="201"/>
      <c r="F937" s="201"/>
      <c r="G937" s="201"/>
      <c r="H937" s="201"/>
      <c r="I937" s="201"/>
      <c r="J937" s="201"/>
      <c r="K937" s="201"/>
      <c r="L937" s="201"/>
      <c r="M937" s="201"/>
      <c r="N937" s="201"/>
      <c r="O937" s="201"/>
      <c r="P937" s="201"/>
      <c r="Q937" s="201"/>
      <c r="R937" s="201"/>
      <c r="S937" s="201"/>
      <c r="T937" s="201"/>
      <c r="U937" s="201"/>
      <c r="V937" s="201"/>
      <c r="W937" s="201"/>
      <c r="X937" s="201"/>
      <c r="Y937" s="201"/>
      <c r="Z937" s="201"/>
    </row>
    <row r="938" ht="12.8" customHeight="1" spans="1:26">
      <c r="A938" s="200"/>
      <c r="B938" s="201"/>
      <c r="C938" s="201"/>
      <c r="D938" s="201"/>
      <c r="E938" s="201"/>
      <c r="F938" s="201"/>
      <c r="G938" s="201"/>
      <c r="H938" s="201"/>
      <c r="I938" s="201"/>
      <c r="J938" s="201"/>
      <c r="K938" s="201"/>
      <c r="L938" s="201"/>
      <c r="M938" s="201"/>
      <c r="N938" s="201"/>
      <c r="O938" s="201"/>
      <c r="P938" s="201"/>
      <c r="Q938" s="201"/>
      <c r="R938" s="201"/>
      <c r="S938" s="201"/>
      <c r="T938" s="201"/>
      <c r="U938" s="201"/>
      <c r="V938" s="201"/>
      <c r="W938" s="201"/>
      <c r="X938" s="201"/>
      <c r="Y938" s="201"/>
      <c r="Z938" s="201"/>
    </row>
    <row r="939" ht="12.8" customHeight="1" spans="1:26">
      <c r="A939" s="200"/>
      <c r="B939" s="201"/>
      <c r="C939" s="201"/>
      <c r="D939" s="201"/>
      <c r="E939" s="201"/>
      <c r="F939" s="201"/>
      <c r="G939" s="201"/>
      <c r="H939" s="201"/>
      <c r="I939" s="201"/>
      <c r="J939" s="201"/>
      <c r="K939" s="201"/>
      <c r="L939" s="201"/>
      <c r="M939" s="201"/>
      <c r="N939" s="201"/>
      <c r="O939" s="201"/>
      <c r="P939" s="201"/>
      <c r="Q939" s="201"/>
      <c r="R939" s="201"/>
      <c r="S939" s="201"/>
      <c r="T939" s="201"/>
      <c r="U939" s="201"/>
      <c r="V939" s="201"/>
      <c r="W939" s="201"/>
      <c r="X939" s="201"/>
      <c r="Y939" s="201"/>
      <c r="Z939" s="201"/>
    </row>
    <row r="940" ht="12.8" customHeight="1" spans="1:26">
      <c r="A940" s="200"/>
      <c r="B940" s="201"/>
      <c r="C940" s="201"/>
      <c r="D940" s="201"/>
      <c r="E940" s="201"/>
      <c r="F940" s="201"/>
      <c r="G940" s="201"/>
      <c r="H940" s="201"/>
      <c r="I940" s="201"/>
      <c r="J940" s="201"/>
      <c r="K940" s="201"/>
      <c r="L940" s="201"/>
      <c r="M940" s="201"/>
      <c r="N940" s="201"/>
      <c r="O940" s="201"/>
      <c r="P940" s="201"/>
      <c r="Q940" s="201"/>
      <c r="R940" s="201"/>
      <c r="S940" s="201"/>
      <c r="T940" s="201"/>
      <c r="U940" s="201"/>
      <c r="V940" s="201"/>
      <c r="W940" s="201"/>
      <c r="X940" s="201"/>
      <c r="Y940" s="201"/>
      <c r="Z940" s="201"/>
    </row>
    <row r="941" ht="12.8" customHeight="1" spans="1:26">
      <c r="A941" s="200"/>
      <c r="B941" s="201"/>
      <c r="C941" s="201"/>
      <c r="D941" s="201"/>
      <c r="E941" s="201"/>
      <c r="F941" s="201"/>
      <c r="G941" s="201"/>
      <c r="H941" s="201"/>
      <c r="I941" s="201"/>
      <c r="J941" s="201"/>
      <c r="K941" s="201"/>
      <c r="L941" s="201"/>
      <c r="M941" s="201"/>
      <c r="N941" s="201"/>
      <c r="O941" s="201"/>
      <c r="P941" s="201"/>
      <c r="Q941" s="201"/>
      <c r="R941" s="201"/>
      <c r="S941" s="201"/>
      <c r="T941" s="201"/>
      <c r="U941" s="201"/>
      <c r="V941" s="201"/>
      <c r="W941" s="201"/>
      <c r="X941" s="201"/>
      <c r="Y941" s="201"/>
      <c r="Z941" s="201"/>
    </row>
    <row r="942" ht="12.8" customHeight="1" spans="1:26">
      <c r="A942" s="200"/>
      <c r="B942" s="201"/>
      <c r="C942" s="201"/>
      <c r="D942" s="201"/>
      <c r="E942" s="201"/>
      <c r="F942" s="201"/>
      <c r="G942" s="201"/>
      <c r="H942" s="201"/>
      <c r="I942" s="201"/>
      <c r="J942" s="201"/>
      <c r="K942" s="201"/>
      <c r="L942" s="201"/>
      <c r="M942" s="201"/>
      <c r="N942" s="201"/>
      <c r="O942" s="201"/>
      <c r="P942" s="201"/>
      <c r="Q942" s="201"/>
      <c r="R942" s="201"/>
      <c r="S942" s="201"/>
      <c r="T942" s="201"/>
      <c r="U942" s="201"/>
      <c r="V942" s="201"/>
      <c r="W942" s="201"/>
      <c r="X942" s="201"/>
      <c r="Y942" s="201"/>
      <c r="Z942" s="201"/>
    </row>
    <row r="943" ht="12.8" customHeight="1" spans="1:26">
      <c r="A943" s="200"/>
      <c r="B943" s="201"/>
      <c r="C943" s="201"/>
      <c r="D943" s="201"/>
      <c r="E943" s="201"/>
      <c r="F943" s="201"/>
      <c r="G943" s="201"/>
      <c r="H943" s="201"/>
      <c r="I943" s="201"/>
      <c r="J943" s="201"/>
      <c r="K943" s="201"/>
      <c r="L943" s="201"/>
      <c r="M943" s="201"/>
      <c r="N943" s="201"/>
      <c r="O943" s="201"/>
      <c r="P943" s="201"/>
      <c r="Q943" s="201"/>
      <c r="R943" s="201"/>
      <c r="S943" s="201"/>
      <c r="T943" s="201"/>
      <c r="U943" s="201"/>
      <c r="V943" s="201"/>
      <c r="W943" s="201"/>
      <c r="X943" s="201"/>
      <c r="Y943" s="201"/>
      <c r="Z943" s="201"/>
    </row>
    <row r="944" ht="12.8" customHeight="1" spans="1:26">
      <c r="A944" s="200"/>
      <c r="B944" s="201"/>
      <c r="C944" s="201"/>
      <c r="D944" s="201"/>
      <c r="E944" s="201"/>
      <c r="F944" s="201"/>
      <c r="G944" s="201"/>
      <c r="H944" s="201"/>
      <c r="I944" s="201"/>
      <c r="J944" s="201"/>
      <c r="K944" s="201"/>
      <c r="L944" s="201"/>
      <c r="M944" s="201"/>
      <c r="N944" s="201"/>
      <c r="O944" s="201"/>
      <c r="P944" s="201"/>
      <c r="Q944" s="201"/>
      <c r="R944" s="201"/>
      <c r="S944" s="201"/>
      <c r="T944" s="201"/>
      <c r="U944" s="201"/>
      <c r="V944" s="201"/>
      <c r="W944" s="201"/>
      <c r="X944" s="201"/>
      <c r="Y944" s="201"/>
      <c r="Z944" s="201"/>
    </row>
    <row r="945" ht="12.8" customHeight="1" spans="1:26">
      <c r="A945" s="200"/>
      <c r="B945" s="201"/>
      <c r="C945" s="201"/>
      <c r="D945" s="201"/>
      <c r="E945" s="201"/>
      <c r="F945" s="201"/>
      <c r="G945" s="201"/>
      <c r="H945" s="201"/>
      <c r="I945" s="201"/>
      <c r="J945" s="201"/>
      <c r="K945" s="201"/>
      <c r="L945" s="201"/>
      <c r="M945" s="201"/>
      <c r="N945" s="201"/>
      <c r="O945" s="201"/>
      <c r="P945" s="201"/>
      <c r="Q945" s="201"/>
      <c r="R945" s="201"/>
      <c r="S945" s="201"/>
      <c r="T945" s="201"/>
      <c r="U945" s="201"/>
      <c r="V945" s="201"/>
      <c r="W945" s="201"/>
      <c r="X945" s="201"/>
      <c r="Y945" s="201"/>
      <c r="Z945" s="201"/>
    </row>
    <row r="946" ht="12.8" customHeight="1" spans="1:26">
      <c r="A946" s="200"/>
      <c r="B946" s="201"/>
      <c r="C946" s="201"/>
      <c r="D946" s="201"/>
      <c r="E946" s="201"/>
      <c r="F946" s="201"/>
      <c r="G946" s="201"/>
      <c r="H946" s="201"/>
      <c r="I946" s="201"/>
      <c r="J946" s="201"/>
      <c r="K946" s="201"/>
      <c r="L946" s="201"/>
      <c r="M946" s="201"/>
      <c r="N946" s="201"/>
      <c r="O946" s="201"/>
      <c r="P946" s="201"/>
      <c r="Q946" s="201"/>
      <c r="R946" s="201"/>
      <c r="S946" s="201"/>
      <c r="T946" s="201"/>
      <c r="U946" s="201"/>
      <c r="V946" s="201"/>
      <c r="W946" s="201"/>
      <c r="X946" s="201"/>
      <c r="Y946" s="201"/>
      <c r="Z946" s="201"/>
    </row>
    <row r="947" ht="12.8" customHeight="1" spans="1:26">
      <c r="A947" s="200"/>
      <c r="B947" s="201"/>
      <c r="C947" s="201"/>
      <c r="D947" s="201"/>
      <c r="E947" s="201"/>
      <c r="F947" s="201"/>
      <c r="G947" s="201"/>
      <c r="H947" s="201"/>
      <c r="I947" s="201"/>
      <c r="J947" s="201"/>
      <c r="K947" s="201"/>
      <c r="L947" s="201"/>
      <c r="M947" s="201"/>
      <c r="N947" s="201"/>
      <c r="O947" s="201"/>
      <c r="P947" s="201"/>
      <c r="Q947" s="201"/>
      <c r="R947" s="201"/>
      <c r="S947" s="201"/>
      <c r="T947" s="201"/>
      <c r="U947" s="201"/>
      <c r="V947" s="201"/>
      <c r="W947" s="201"/>
      <c r="X947" s="201"/>
      <c r="Y947" s="201"/>
      <c r="Z947" s="201"/>
    </row>
    <row r="948" ht="12.8" customHeight="1" spans="1:26">
      <c r="A948" s="200"/>
      <c r="B948" s="201"/>
      <c r="C948" s="201"/>
      <c r="D948" s="201"/>
      <c r="E948" s="201"/>
      <c r="F948" s="201"/>
      <c r="G948" s="201"/>
      <c r="H948" s="201"/>
      <c r="I948" s="201"/>
      <c r="J948" s="201"/>
      <c r="K948" s="201"/>
      <c r="L948" s="201"/>
      <c r="M948" s="201"/>
      <c r="N948" s="201"/>
      <c r="O948" s="201"/>
      <c r="P948" s="201"/>
      <c r="Q948" s="201"/>
      <c r="R948" s="201"/>
      <c r="S948" s="201"/>
      <c r="T948" s="201"/>
      <c r="U948" s="201"/>
      <c r="V948" s="201"/>
      <c r="W948" s="201"/>
      <c r="X948" s="201"/>
      <c r="Y948" s="201"/>
      <c r="Z948" s="201"/>
    </row>
    <row r="949" ht="12.8" customHeight="1" spans="1:26">
      <c r="A949" s="200"/>
      <c r="B949" s="201"/>
      <c r="C949" s="201"/>
      <c r="D949" s="201"/>
      <c r="E949" s="201"/>
      <c r="F949" s="201"/>
      <c r="G949" s="201"/>
      <c r="H949" s="201"/>
      <c r="I949" s="201"/>
      <c r="J949" s="201"/>
      <c r="K949" s="201"/>
      <c r="L949" s="201"/>
      <c r="M949" s="201"/>
      <c r="N949" s="201"/>
      <c r="O949" s="201"/>
      <c r="P949" s="201"/>
      <c r="Q949" s="201"/>
      <c r="R949" s="201"/>
      <c r="S949" s="201"/>
      <c r="T949" s="201"/>
      <c r="U949" s="201"/>
      <c r="V949" s="201"/>
      <c r="W949" s="201"/>
      <c r="X949" s="201"/>
      <c r="Y949" s="201"/>
      <c r="Z949" s="201"/>
    </row>
    <row r="950" ht="12.8" customHeight="1" spans="1:26">
      <c r="A950" s="200"/>
      <c r="B950" s="201"/>
      <c r="C950" s="201"/>
      <c r="D950" s="201"/>
      <c r="E950" s="201"/>
      <c r="F950" s="201"/>
      <c r="G950" s="201"/>
      <c r="H950" s="201"/>
      <c r="I950" s="201"/>
      <c r="J950" s="201"/>
      <c r="K950" s="201"/>
      <c r="L950" s="201"/>
      <c r="M950" s="201"/>
      <c r="N950" s="201"/>
      <c r="O950" s="201"/>
      <c r="P950" s="201"/>
      <c r="Q950" s="201"/>
      <c r="R950" s="201"/>
      <c r="S950" s="201"/>
      <c r="T950" s="201"/>
      <c r="U950" s="201"/>
      <c r="V950" s="201"/>
      <c r="W950" s="201"/>
      <c r="X950" s="201"/>
      <c r="Y950" s="201"/>
      <c r="Z950" s="201"/>
    </row>
    <row r="951" ht="12.8" customHeight="1" spans="1:26">
      <c r="A951" s="200"/>
      <c r="B951" s="201"/>
      <c r="C951" s="201"/>
      <c r="D951" s="201"/>
      <c r="E951" s="201"/>
      <c r="F951" s="201"/>
      <c r="G951" s="201"/>
      <c r="H951" s="201"/>
      <c r="I951" s="201"/>
      <c r="J951" s="201"/>
      <c r="K951" s="201"/>
      <c r="L951" s="201"/>
      <c r="M951" s="201"/>
      <c r="N951" s="201"/>
      <c r="O951" s="201"/>
      <c r="P951" s="201"/>
      <c r="Q951" s="201"/>
      <c r="R951" s="201"/>
      <c r="S951" s="201"/>
      <c r="T951" s="201"/>
      <c r="U951" s="201"/>
      <c r="V951" s="201"/>
      <c r="W951" s="201"/>
      <c r="X951" s="201"/>
      <c r="Y951" s="201"/>
      <c r="Z951" s="201"/>
    </row>
    <row r="952" ht="12.8" customHeight="1" spans="1:26">
      <c r="A952" s="200"/>
      <c r="B952" s="201"/>
      <c r="C952" s="201"/>
      <c r="D952" s="201"/>
      <c r="E952" s="201"/>
      <c r="F952" s="201"/>
      <c r="G952" s="201"/>
      <c r="H952" s="201"/>
      <c r="I952" s="201"/>
      <c r="J952" s="201"/>
      <c r="K952" s="201"/>
      <c r="L952" s="201"/>
      <c r="M952" s="201"/>
      <c r="N952" s="201"/>
      <c r="O952" s="201"/>
      <c r="P952" s="201"/>
      <c r="Q952" s="201"/>
      <c r="R952" s="201"/>
      <c r="S952" s="201"/>
      <c r="T952" s="201"/>
      <c r="U952" s="201"/>
      <c r="V952" s="201"/>
      <c r="W952" s="201"/>
      <c r="X952" s="201"/>
      <c r="Y952" s="201"/>
      <c r="Z952" s="201"/>
    </row>
    <row r="953" ht="12.8" customHeight="1" spans="1:26">
      <c r="A953" s="200"/>
      <c r="B953" s="201"/>
      <c r="C953" s="201"/>
      <c r="D953" s="201"/>
      <c r="E953" s="201"/>
      <c r="F953" s="201"/>
      <c r="G953" s="201"/>
      <c r="H953" s="201"/>
      <c r="I953" s="201"/>
      <c r="J953" s="201"/>
      <c r="K953" s="201"/>
      <c r="L953" s="201"/>
      <c r="M953" s="201"/>
      <c r="N953" s="201"/>
      <c r="O953" s="201"/>
      <c r="P953" s="201"/>
      <c r="Q953" s="201"/>
      <c r="R953" s="201"/>
      <c r="S953" s="201"/>
      <c r="T953" s="201"/>
      <c r="U953" s="201"/>
      <c r="V953" s="201"/>
      <c r="W953" s="201"/>
      <c r="X953" s="201"/>
      <c r="Y953" s="201"/>
      <c r="Z953" s="201"/>
    </row>
    <row r="954" ht="12.8" customHeight="1" spans="1:26">
      <c r="A954" s="200"/>
      <c r="B954" s="201"/>
      <c r="C954" s="201"/>
      <c r="D954" s="201"/>
      <c r="E954" s="201"/>
      <c r="F954" s="201"/>
      <c r="G954" s="201"/>
      <c r="H954" s="201"/>
      <c r="I954" s="201"/>
      <c r="J954" s="201"/>
      <c r="K954" s="201"/>
      <c r="L954" s="201"/>
      <c r="M954" s="201"/>
      <c r="N954" s="201"/>
      <c r="O954" s="201"/>
      <c r="P954" s="201"/>
      <c r="Q954" s="201"/>
      <c r="R954" s="201"/>
      <c r="S954" s="201"/>
      <c r="T954" s="201"/>
      <c r="U954" s="201"/>
      <c r="V954" s="201"/>
      <c r="W954" s="201"/>
      <c r="X954" s="201"/>
      <c r="Y954" s="201"/>
      <c r="Z954" s="201"/>
    </row>
    <row r="955" ht="12.8" customHeight="1" spans="1:26">
      <c r="A955" s="200"/>
      <c r="B955" s="201"/>
      <c r="C955" s="201"/>
      <c r="D955" s="201"/>
      <c r="E955" s="201"/>
      <c r="F955" s="201"/>
      <c r="G955" s="201"/>
      <c r="H955" s="201"/>
      <c r="I955" s="201"/>
      <c r="J955" s="201"/>
      <c r="K955" s="201"/>
      <c r="L955" s="201"/>
      <c r="M955" s="201"/>
      <c r="N955" s="201"/>
      <c r="O955" s="201"/>
      <c r="P955" s="201"/>
      <c r="Q955" s="201"/>
      <c r="R955" s="201"/>
      <c r="S955" s="201"/>
      <c r="T955" s="201"/>
      <c r="U955" s="201"/>
      <c r="V955" s="201"/>
      <c r="W955" s="201"/>
      <c r="X955" s="201"/>
      <c r="Y955" s="201"/>
      <c r="Z955" s="201"/>
    </row>
    <row r="956" ht="12.8" customHeight="1" spans="1:26">
      <c r="A956" s="200"/>
      <c r="B956" s="201"/>
      <c r="C956" s="201"/>
      <c r="D956" s="201"/>
      <c r="E956" s="201"/>
      <c r="F956" s="201"/>
      <c r="G956" s="201"/>
      <c r="H956" s="201"/>
      <c r="I956" s="201"/>
      <c r="J956" s="201"/>
      <c r="K956" s="201"/>
      <c r="L956" s="201"/>
      <c r="M956" s="201"/>
      <c r="N956" s="201"/>
      <c r="O956" s="201"/>
      <c r="P956" s="201"/>
      <c r="Q956" s="201"/>
      <c r="R956" s="201"/>
      <c r="S956" s="201"/>
      <c r="T956" s="201"/>
      <c r="U956" s="201"/>
      <c r="V956" s="201"/>
      <c r="W956" s="201"/>
      <c r="X956" s="201"/>
      <c r="Y956" s="201"/>
      <c r="Z956" s="201"/>
    </row>
    <row r="957" ht="12.8" customHeight="1" spans="1:26">
      <c r="A957" s="200"/>
      <c r="B957" s="201"/>
      <c r="C957" s="201"/>
      <c r="D957" s="201"/>
      <c r="E957" s="201"/>
      <c r="F957" s="201"/>
      <c r="G957" s="201"/>
      <c r="H957" s="201"/>
      <c r="I957" s="201"/>
      <c r="J957" s="201"/>
      <c r="K957" s="201"/>
      <c r="L957" s="201"/>
      <c r="M957" s="201"/>
      <c r="N957" s="201"/>
      <c r="O957" s="201"/>
      <c r="P957" s="201"/>
      <c r="Q957" s="201"/>
      <c r="R957" s="201"/>
      <c r="S957" s="201"/>
      <c r="T957" s="201"/>
      <c r="U957" s="201"/>
      <c r="V957" s="201"/>
      <c r="W957" s="201"/>
      <c r="X957" s="201"/>
      <c r="Y957" s="201"/>
      <c r="Z957" s="201"/>
    </row>
    <row r="958" ht="12.8" customHeight="1" spans="1:26">
      <c r="A958" s="200"/>
      <c r="B958" s="201"/>
      <c r="C958" s="201"/>
      <c r="D958" s="201"/>
      <c r="E958" s="201"/>
      <c r="F958" s="201"/>
      <c r="G958" s="201"/>
      <c r="H958" s="201"/>
      <c r="I958" s="201"/>
      <c r="J958" s="201"/>
      <c r="K958" s="201"/>
      <c r="L958" s="201"/>
      <c r="M958" s="201"/>
      <c r="N958" s="201"/>
      <c r="O958" s="201"/>
      <c r="P958" s="201"/>
      <c r="Q958" s="201"/>
      <c r="R958" s="201"/>
      <c r="S958" s="201"/>
      <c r="T958" s="201"/>
      <c r="U958" s="201"/>
      <c r="V958" s="201"/>
      <c r="W958" s="201"/>
      <c r="X958" s="201"/>
      <c r="Y958" s="201"/>
      <c r="Z958" s="201"/>
    </row>
    <row r="959" ht="12.8" customHeight="1" spans="1:26">
      <c r="A959" s="200"/>
      <c r="B959" s="201"/>
      <c r="C959" s="201"/>
      <c r="D959" s="201"/>
      <c r="E959" s="201"/>
      <c r="F959" s="201"/>
      <c r="G959" s="201"/>
      <c r="H959" s="201"/>
      <c r="I959" s="201"/>
      <c r="J959" s="201"/>
      <c r="K959" s="201"/>
      <c r="L959" s="201"/>
      <c r="M959" s="201"/>
      <c r="N959" s="201"/>
      <c r="O959" s="201"/>
      <c r="P959" s="201"/>
      <c r="Q959" s="201"/>
      <c r="R959" s="201"/>
      <c r="S959" s="201"/>
      <c r="T959" s="201"/>
      <c r="U959" s="201"/>
      <c r="V959" s="201"/>
      <c r="W959" s="201"/>
      <c r="X959" s="201"/>
      <c r="Y959" s="201"/>
      <c r="Z959" s="201"/>
    </row>
    <row r="960" ht="12.8" customHeight="1" spans="1:26">
      <c r="A960" s="200"/>
      <c r="B960" s="201"/>
      <c r="C960" s="201"/>
      <c r="D960" s="201"/>
      <c r="E960" s="201"/>
      <c r="F960" s="201"/>
      <c r="G960" s="201"/>
      <c r="H960" s="201"/>
      <c r="I960" s="201"/>
      <c r="J960" s="201"/>
      <c r="K960" s="201"/>
      <c r="L960" s="201"/>
      <c r="M960" s="201"/>
      <c r="N960" s="201"/>
      <c r="O960" s="201"/>
      <c r="P960" s="201"/>
      <c r="Q960" s="201"/>
      <c r="R960" s="201"/>
      <c r="S960" s="201"/>
      <c r="T960" s="201"/>
      <c r="U960" s="201"/>
      <c r="V960" s="201"/>
      <c r="W960" s="201"/>
      <c r="X960" s="201"/>
      <c r="Y960" s="201"/>
      <c r="Z960" s="201"/>
    </row>
    <row r="961" ht="12.8" customHeight="1" spans="1:26">
      <c r="A961" s="200"/>
      <c r="B961" s="201"/>
      <c r="C961" s="201"/>
      <c r="D961" s="201"/>
      <c r="E961" s="201"/>
      <c r="F961" s="201"/>
      <c r="G961" s="201"/>
      <c r="H961" s="201"/>
      <c r="I961" s="201"/>
      <c r="J961" s="201"/>
      <c r="K961" s="201"/>
      <c r="L961" s="201"/>
      <c r="M961" s="201"/>
      <c r="N961" s="201"/>
      <c r="O961" s="201"/>
      <c r="P961" s="201"/>
      <c r="Q961" s="201"/>
      <c r="R961" s="201"/>
      <c r="S961" s="201"/>
      <c r="T961" s="201"/>
      <c r="U961" s="201"/>
      <c r="V961" s="201"/>
      <c r="W961" s="201"/>
      <c r="X961" s="201"/>
      <c r="Y961" s="201"/>
      <c r="Z961" s="201"/>
    </row>
    <row r="962" ht="12.8" customHeight="1" spans="1:26">
      <c r="A962" s="200"/>
      <c r="B962" s="201"/>
      <c r="C962" s="201"/>
      <c r="D962" s="201"/>
      <c r="E962" s="201"/>
      <c r="F962" s="201"/>
      <c r="G962" s="201"/>
      <c r="H962" s="201"/>
      <c r="I962" s="201"/>
      <c r="J962" s="201"/>
      <c r="K962" s="201"/>
      <c r="L962" s="201"/>
      <c r="M962" s="201"/>
      <c r="N962" s="201"/>
      <c r="O962" s="201"/>
      <c r="P962" s="201"/>
      <c r="Q962" s="201"/>
      <c r="R962" s="201"/>
      <c r="S962" s="201"/>
      <c r="T962" s="201"/>
      <c r="U962" s="201"/>
      <c r="V962" s="201"/>
      <c r="W962" s="201"/>
      <c r="X962" s="201"/>
      <c r="Y962" s="201"/>
      <c r="Z962" s="201"/>
    </row>
    <row r="963" ht="12.8" customHeight="1" spans="1:26">
      <c r="A963" s="200"/>
      <c r="B963" s="201"/>
      <c r="C963" s="201"/>
      <c r="D963" s="201"/>
      <c r="E963" s="201"/>
      <c r="F963" s="201"/>
      <c r="G963" s="201"/>
      <c r="H963" s="201"/>
      <c r="I963" s="201"/>
      <c r="J963" s="201"/>
      <c r="K963" s="201"/>
      <c r="L963" s="201"/>
      <c r="M963" s="201"/>
      <c r="N963" s="201"/>
      <c r="O963" s="201"/>
      <c r="P963" s="201"/>
      <c r="Q963" s="201"/>
      <c r="R963" s="201"/>
      <c r="S963" s="201"/>
      <c r="T963" s="201"/>
      <c r="U963" s="201"/>
      <c r="V963" s="201"/>
      <c r="W963" s="201"/>
      <c r="X963" s="201"/>
      <c r="Y963" s="201"/>
      <c r="Z963" s="201"/>
    </row>
    <row r="964" ht="12.8" customHeight="1" spans="1:26">
      <c r="A964" s="200"/>
      <c r="B964" s="201"/>
      <c r="C964" s="201"/>
      <c r="D964" s="201"/>
      <c r="E964" s="201"/>
      <c r="F964" s="201"/>
      <c r="G964" s="201"/>
      <c r="H964" s="201"/>
      <c r="I964" s="201"/>
      <c r="J964" s="201"/>
      <c r="K964" s="201"/>
      <c r="L964" s="201"/>
      <c r="M964" s="201"/>
      <c r="N964" s="201"/>
      <c r="O964" s="201"/>
      <c r="P964" s="201"/>
      <c r="Q964" s="201"/>
      <c r="R964" s="201"/>
      <c r="S964" s="201"/>
      <c r="T964" s="201"/>
      <c r="U964" s="201"/>
      <c r="V964" s="201"/>
      <c r="W964" s="201"/>
      <c r="X964" s="201"/>
      <c r="Y964" s="201"/>
      <c r="Z964" s="201"/>
    </row>
    <row r="965" ht="12.8" customHeight="1" spans="1:26">
      <c r="A965" s="200"/>
      <c r="B965" s="201"/>
      <c r="C965" s="201"/>
      <c r="D965" s="201"/>
      <c r="E965" s="201"/>
      <c r="F965" s="201"/>
      <c r="G965" s="201"/>
      <c r="H965" s="201"/>
      <c r="I965" s="201"/>
      <c r="J965" s="201"/>
      <c r="K965" s="201"/>
      <c r="L965" s="201"/>
      <c r="M965" s="201"/>
      <c r="N965" s="201"/>
      <c r="O965" s="201"/>
      <c r="P965" s="201"/>
      <c r="Q965" s="201"/>
      <c r="R965" s="201"/>
      <c r="S965" s="201"/>
      <c r="T965" s="201"/>
      <c r="U965" s="201"/>
      <c r="V965" s="201"/>
      <c r="W965" s="201"/>
      <c r="X965" s="201"/>
      <c r="Y965" s="201"/>
      <c r="Z965" s="201"/>
    </row>
    <row r="966" ht="12.8" customHeight="1" spans="1:26">
      <c r="A966" s="200"/>
      <c r="B966" s="201"/>
      <c r="C966" s="201"/>
      <c r="D966" s="201"/>
      <c r="E966" s="201"/>
      <c r="F966" s="201"/>
      <c r="G966" s="201"/>
      <c r="H966" s="201"/>
      <c r="I966" s="201"/>
      <c r="J966" s="201"/>
      <c r="K966" s="201"/>
      <c r="L966" s="201"/>
      <c r="M966" s="201"/>
      <c r="N966" s="201"/>
      <c r="O966" s="201"/>
      <c r="P966" s="201"/>
      <c r="Q966" s="201"/>
      <c r="R966" s="201"/>
      <c r="S966" s="201"/>
      <c r="T966" s="201"/>
      <c r="U966" s="201"/>
      <c r="V966" s="201"/>
      <c r="W966" s="201"/>
      <c r="X966" s="201"/>
      <c r="Y966" s="201"/>
      <c r="Z966" s="201"/>
    </row>
    <row r="967" ht="12.8" customHeight="1" spans="1:26">
      <c r="A967" s="200"/>
      <c r="B967" s="201"/>
      <c r="C967" s="201"/>
      <c r="D967" s="201"/>
      <c r="E967" s="201"/>
      <c r="F967" s="201"/>
      <c r="G967" s="201"/>
      <c r="H967" s="201"/>
      <c r="I967" s="201"/>
      <c r="J967" s="201"/>
      <c r="K967" s="201"/>
      <c r="L967" s="201"/>
      <c r="M967" s="201"/>
      <c r="N967" s="201"/>
      <c r="O967" s="201"/>
      <c r="P967" s="201"/>
      <c r="Q967" s="201"/>
      <c r="R967" s="201"/>
      <c r="S967" s="201"/>
      <c r="T967" s="201"/>
      <c r="U967" s="201"/>
      <c r="V967" s="201"/>
      <c r="W967" s="201"/>
      <c r="X967" s="201"/>
      <c r="Y967" s="201"/>
      <c r="Z967" s="201"/>
    </row>
    <row r="968" ht="12.8" customHeight="1" spans="1:26">
      <c r="A968" s="200"/>
      <c r="B968" s="201"/>
      <c r="C968" s="201"/>
      <c r="D968" s="201"/>
      <c r="E968" s="201"/>
      <c r="F968" s="201"/>
      <c r="G968" s="201"/>
      <c r="H968" s="201"/>
      <c r="I968" s="201"/>
      <c r="J968" s="201"/>
      <c r="K968" s="201"/>
      <c r="L968" s="201"/>
      <c r="M968" s="201"/>
      <c r="N968" s="201"/>
      <c r="O968" s="201"/>
      <c r="P968" s="201"/>
      <c r="Q968" s="201"/>
      <c r="R968" s="201"/>
      <c r="S968" s="201"/>
      <c r="T968" s="201"/>
      <c r="U968" s="201"/>
      <c r="V968" s="201"/>
      <c r="W968" s="201"/>
      <c r="X968" s="201"/>
      <c r="Y968" s="201"/>
      <c r="Z968" s="201"/>
    </row>
    <row r="969" ht="12.8" customHeight="1" spans="1:26">
      <c r="A969" s="200"/>
      <c r="B969" s="201"/>
      <c r="C969" s="201"/>
      <c r="D969" s="201"/>
      <c r="E969" s="201"/>
      <c r="F969" s="201"/>
      <c r="G969" s="201"/>
      <c r="H969" s="201"/>
      <c r="I969" s="201"/>
      <c r="J969" s="201"/>
      <c r="K969" s="201"/>
      <c r="L969" s="201"/>
      <c r="M969" s="201"/>
      <c r="N969" s="201"/>
      <c r="O969" s="201"/>
      <c r="P969" s="201"/>
      <c r="Q969" s="201"/>
      <c r="R969" s="201"/>
      <c r="S969" s="201"/>
      <c r="T969" s="201"/>
      <c r="U969" s="201"/>
      <c r="V969" s="201"/>
      <c r="W969" s="201"/>
      <c r="X969" s="201"/>
      <c r="Y969" s="201"/>
      <c r="Z969" s="201"/>
    </row>
    <row r="970" ht="12.8" customHeight="1" spans="1:26">
      <c r="A970" s="200"/>
      <c r="B970" s="201"/>
      <c r="C970" s="201"/>
      <c r="D970" s="201"/>
      <c r="E970" s="201"/>
      <c r="F970" s="201"/>
      <c r="G970" s="201"/>
      <c r="H970" s="201"/>
      <c r="I970" s="201"/>
      <c r="J970" s="201"/>
      <c r="K970" s="201"/>
      <c r="L970" s="201"/>
      <c r="M970" s="201"/>
      <c r="N970" s="201"/>
      <c r="O970" s="201"/>
      <c r="P970" s="201"/>
      <c r="Q970" s="201"/>
      <c r="R970" s="201"/>
      <c r="S970" s="201"/>
      <c r="T970" s="201"/>
      <c r="U970" s="201"/>
      <c r="V970" s="201"/>
      <c r="W970" s="201"/>
      <c r="X970" s="201"/>
      <c r="Y970" s="201"/>
      <c r="Z970" s="201"/>
    </row>
    <row r="971" ht="12.8" customHeight="1" spans="1:26">
      <c r="A971" s="200"/>
      <c r="B971" s="201"/>
      <c r="C971" s="201"/>
      <c r="D971" s="201"/>
      <c r="E971" s="201"/>
      <c r="F971" s="201"/>
      <c r="G971" s="201"/>
      <c r="H971" s="201"/>
      <c r="I971" s="201"/>
      <c r="J971" s="201"/>
      <c r="K971" s="201"/>
      <c r="L971" s="201"/>
      <c r="M971" s="201"/>
      <c r="N971" s="201"/>
      <c r="O971" s="201"/>
      <c r="P971" s="201"/>
      <c r="Q971" s="201"/>
      <c r="R971" s="201"/>
      <c r="S971" s="201"/>
      <c r="T971" s="201"/>
      <c r="U971" s="201"/>
      <c r="V971" s="201"/>
      <c r="W971" s="201"/>
      <c r="X971" s="201"/>
      <c r="Y971" s="201"/>
      <c r="Z971" s="201"/>
    </row>
    <row r="972" ht="12.8" customHeight="1" spans="1:26">
      <c r="A972" s="200"/>
      <c r="B972" s="201"/>
      <c r="C972" s="201"/>
      <c r="D972" s="201"/>
      <c r="E972" s="201"/>
      <c r="F972" s="201"/>
      <c r="G972" s="201"/>
      <c r="H972" s="201"/>
      <c r="I972" s="201"/>
      <c r="J972" s="201"/>
      <c r="K972" s="201"/>
      <c r="L972" s="201"/>
      <c r="M972" s="201"/>
      <c r="N972" s="201"/>
      <c r="O972" s="201"/>
      <c r="P972" s="201"/>
      <c r="Q972" s="201"/>
      <c r="R972" s="201"/>
      <c r="S972" s="201"/>
      <c r="T972" s="201"/>
      <c r="U972" s="201"/>
      <c r="V972" s="201"/>
      <c r="W972" s="201"/>
      <c r="X972" s="201"/>
      <c r="Y972" s="201"/>
      <c r="Z972" s="201"/>
    </row>
    <row r="973" ht="12.8" customHeight="1" spans="1:26">
      <c r="A973" s="200"/>
      <c r="B973" s="201"/>
      <c r="C973" s="201"/>
      <c r="D973" s="201"/>
      <c r="E973" s="201"/>
      <c r="F973" s="201"/>
      <c r="G973" s="201"/>
      <c r="H973" s="201"/>
      <c r="I973" s="201"/>
      <c r="J973" s="201"/>
      <c r="K973" s="201"/>
      <c r="L973" s="201"/>
      <c r="M973" s="201"/>
      <c r="N973" s="201"/>
      <c r="O973" s="201"/>
      <c r="P973" s="201"/>
      <c r="Q973" s="201"/>
      <c r="R973" s="201"/>
      <c r="S973" s="201"/>
      <c r="T973" s="201"/>
      <c r="U973" s="201"/>
      <c r="V973" s="201"/>
      <c r="W973" s="201"/>
      <c r="X973" s="201"/>
      <c r="Y973" s="201"/>
      <c r="Z973" s="201"/>
    </row>
    <row r="974" ht="12.8" customHeight="1" spans="1:26">
      <c r="A974" s="200"/>
      <c r="B974" s="201"/>
      <c r="C974" s="201"/>
      <c r="D974" s="201"/>
      <c r="E974" s="201"/>
      <c r="F974" s="201"/>
      <c r="G974" s="201"/>
      <c r="H974" s="201"/>
      <c r="I974" s="201"/>
      <c r="J974" s="201"/>
      <c r="K974" s="201"/>
      <c r="L974" s="201"/>
      <c r="M974" s="201"/>
      <c r="N974" s="201"/>
      <c r="O974" s="201"/>
      <c r="P974" s="201"/>
      <c r="Q974" s="201"/>
      <c r="R974" s="201"/>
      <c r="S974" s="201"/>
      <c r="T974" s="201"/>
      <c r="U974" s="201"/>
      <c r="V974" s="201"/>
      <c r="W974" s="201"/>
      <c r="X974" s="201"/>
      <c r="Y974" s="201"/>
      <c r="Z974" s="201"/>
    </row>
    <row r="975" ht="12.8" customHeight="1" spans="1:26">
      <c r="A975" s="200"/>
      <c r="B975" s="201"/>
      <c r="C975" s="201"/>
      <c r="D975" s="201"/>
      <c r="E975" s="201"/>
      <c r="F975" s="201"/>
      <c r="G975" s="201"/>
      <c r="H975" s="201"/>
      <c r="I975" s="201"/>
      <c r="J975" s="201"/>
      <c r="K975" s="201"/>
      <c r="L975" s="201"/>
      <c r="M975" s="201"/>
      <c r="N975" s="201"/>
      <c r="O975" s="201"/>
      <c r="P975" s="201"/>
      <c r="Q975" s="201"/>
      <c r="R975" s="201"/>
      <c r="S975" s="201"/>
      <c r="T975" s="201"/>
      <c r="U975" s="201"/>
      <c r="V975" s="201"/>
      <c r="W975" s="201"/>
      <c r="X975" s="201"/>
      <c r="Y975" s="201"/>
      <c r="Z975" s="201"/>
    </row>
    <row r="976" ht="12.8" customHeight="1" spans="1:26">
      <c r="A976" s="200"/>
      <c r="B976" s="201"/>
      <c r="C976" s="201"/>
      <c r="D976" s="201"/>
      <c r="E976" s="201"/>
      <c r="F976" s="201"/>
      <c r="G976" s="201"/>
      <c r="H976" s="201"/>
      <c r="I976" s="201"/>
      <c r="J976" s="201"/>
      <c r="K976" s="201"/>
      <c r="L976" s="201"/>
      <c r="M976" s="201"/>
      <c r="N976" s="201"/>
      <c r="O976" s="201"/>
      <c r="P976" s="201"/>
      <c r="Q976" s="201"/>
      <c r="R976" s="201"/>
      <c r="S976" s="201"/>
      <c r="T976" s="201"/>
      <c r="U976" s="201"/>
      <c r="V976" s="201"/>
      <c r="W976" s="201"/>
      <c r="X976" s="201"/>
      <c r="Y976" s="201"/>
      <c r="Z976" s="201"/>
    </row>
    <row r="977" ht="12.8" customHeight="1" spans="1:26">
      <c r="A977" s="200"/>
      <c r="B977" s="201"/>
      <c r="C977" s="201"/>
      <c r="D977" s="201"/>
      <c r="E977" s="201"/>
      <c r="F977" s="201"/>
      <c r="G977" s="201"/>
      <c r="H977" s="201"/>
      <c r="I977" s="201"/>
      <c r="J977" s="201"/>
      <c r="K977" s="201"/>
      <c r="L977" s="201"/>
      <c r="M977" s="201"/>
      <c r="N977" s="201"/>
      <c r="O977" s="201"/>
      <c r="P977" s="201"/>
      <c r="Q977" s="201"/>
      <c r="R977" s="201"/>
      <c r="S977" s="201"/>
      <c r="T977" s="201"/>
      <c r="U977" s="201"/>
      <c r="V977" s="201"/>
      <c r="W977" s="201"/>
      <c r="X977" s="201"/>
      <c r="Y977" s="201"/>
      <c r="Z977" s="201"/>
    </row>
    <row r="978" ht="12.8" customHeight="1" spans="1:26">
      <c r="A978" s="200"/>
      <c r="B978" s="201"/>
      <c r="C978" s="201"/>
      <c r="D978" s="201"/>
      <c r="E978" s="201"/>
      <c r="F978" s="201"/>
      <c r="G978" s="201"/>
      <c r="H978" s="201"/>
      <c r="I978" s="201"/>
      <c r="J978" s="201"/>
      <c r="K978" s="201"/>
      <c r="L978" s="201"/>
      <c r="M978" s="201"/>
      <c r="N978" s="201"/>
      <c r="O978" s="201"/>
      <c r="P978" s="201"/>
      <c r="Q978" s="201"/>
      <c r="R978" s="201"/>
      <c r="S978" s="201"/>
      <c r="T978" s="201"/>
      <c r="U978" s="201"/>
      <c r="V978" s="201"/>
      <c r="W978" s="201"/>
      <c r="X978" s="201"/>
      <c r="Y978" s="201"/>
      <c r="Z978" s="201"/>
    </row>
    <row r="979" ht="12.8" customHeight="1" spans="1:26">
      <c r="A979" s="200"/>
      <c r="B979" s="201"/>
      <c r="C979" s="201"/>
      <c r="D979" s="201"/>
      <c r="E979" s="201"/>
      <c r="F979" s="201"/>
      <c r="G979" s="201"/>
      <c r="H979" s="201"/>
      <c r="I979" s="201"/>
      <c r="J979" s="201"/>
      <c r="K979" s="201"/>
      <c r="L979" s="201"/>
      <c r="M979" s="201"/>
      <c r="N979" s="201"/>
      <c r="O979" s="201"/>
      <c r="P979" s="201"/>
      <c r="Q979" s="201"/>
      <c r="R979" s="201"/>
      <c r="S979" s="201"/>
      <c r="T979" s="201"/>
      <c r="U979" s="201"/>
      <c r="V979" s="201"/>
      <c r="W979" s="201"/>
      <c r="X979" s="201"/>
      <c r="Y979" s="201"/>
      <c r="Z979" s="201"/>
    </row>
    <row r="980" ht="12.8" customHeight="1" spans="1:26">
      <c r="A980" s="200"/>
      <c r="B980" s="201"/>
      <c r="C980" s="201"/>
      <c r="D980" s="201"/>
      <c r="E980" s="201"/>
      <c r="F980" s="201"/>
      <c r="G980" s="201"/>
      <c r="H980" s="201"/>
      <c r="I980" s="201"/>
      <c r="J980" s="201"/>
      <c r="K980" s="201"/>
      <c r="L980" s="201"/>
      <c r="M980" s="201"/>
      <c r="N980" s="201"/>
      <c r="O980" s="201"/>
      <c r="P980" s="201"/>
      <c r="Q980" s="201"/>
      <c r="R980" s="201"/>
      <c r="S980" s="201"/>
      <c r="T980" s="201"/>
      <c r="U980" s="201"/>
      <c r="V980" s="201"/>
      <c r="W980" s="201"/>
      <c r="X980" s="201"/>
      <c r="Y980" s="201"/>
      <c r="Z980" s="201"/>
    </row>
    <row r="981" ht="12.8" customHeight="1" spans="1:26">
      <c r="A981" s="200"/>
      <c r="B981" s="201"/>
      <c r="C981" s="201"/>
      <c r="D981" s="201"/>
      <c r="E981" s="201"/>
      <c r="F981" s="201"/>
      <c r="G981" s="201"/>
      <c r="H981" s="201"/>
      <c r="I981" s="201"/>
      <c r="J981" s="201"/>
      <c r="K981" s="201"/>
      <c r="L981" s="201"/>
      <c r="M981" s="201"/>
      <c r="N981" s="201"/>
      <c r="O981" s="201"/>
      <c r="P981" s="201"/>
      <c r="Q981" s="201"/>
      <c r="R981" s="201"/>
      <c r="S981" s="201"/>
      <c r="T981" s="201"/>
      <c r="U981" s="201"/>
      <c r="V981" s="201"/>
      <c r="W981" s="201"/>
      <c r="X981" s="201"/>
      <c r="Y981" s="201"/>
      <c r="Z981" s="201"/>
    </row>
    <row r="982" ht="12.8" customHeight="1" spans="1:26">
      <c r="A982" s="200"/>
      <c r="B982" s="201"/>
      <c r="C982" s="201"/>
      <c r="D982" s="201"/>
      <c r="E982" s="201"/>
      <c r="F982" s="201"/>
      <c r="G982" s="201"/>
      <c r="H982" s="201"/>
      <c r="I982" s="201"/>
      <c r="J982" s="201"/>
      <c r="K982" s="201"/>
      <c r="L982" s="201"/>
      <c r="M982" s="201"/>
      <c r="N982" s="201"/>
      <c r="O982" s="201"/>
      <c r="P982" s="201"/>
      <c r="Q982" s="201"/>
      <c r="R982" s="201"/>
      <c r="S982" s="201"/>
      <c r="T982" s="201"/>
      <c r="U982" s="201"/>
      <c r="V982" s="201"/>
      <c r="W982" s="201"/>
      <c r="X982" s="201"/>
      <c r="Y982" s="201"/>
      <c r="Z982" s="201"/>
    </row>
    <row r="983" ht="12.8" customHeight="1" spans="1:26">
      <c r="A983" s="200"/>
      <c r="B983" s="201"/>
      <c r="C983" s="201"/>
      <c r="D983" s="201"/>
      <c r="E983" s="201"/>
      <c r="F983" s="201"/>
      <c r="G983" s="201"/>
      <c r="H983" s="201"/>
      <c r="I983" s="201"/>
      <c r="J983" s="201"/>
      <c r="K983" s="201"/>
      <c r="L983" s="201"/>
      <c r="M983" s="201"/>
      <c r="N983" s="201"/>
      <c r="O983" s="201"/>
      <c r="P983" s="201"/>
      <c r="Q983" s="201"/>
      <c r="R983" s="201"/>
      <c r="S983" s="201"/>
      <c r="T983" s="201"/>
      <c r="U983" s="201"/>
      <c r="V983" s="201"/>
      <c r="W983" s="201"/>
      <c r="X983" s="201"/>
      <c r="Y983" s="201"/>
      <c r="Z983" s="201"/>
    </row>
    <row r="984" ht="12.8" customHeight="1" spans="1:26">
      <c r="A984" s="200"/>
      <c r="B984" s="201"/>
      <c r="C984" s="201"/>
      <c r="D984" s="201"/>
      <c r="E984" s="201"/>
      <c r="F984" s="201"/>
      <c r="G984" s="201"/>
      <c r="H984" s="201"/>
      <c r="I984" s="201"/>
      <c r="J984" s="201"/>
      <c r="K984" s="201"/>
      <c r="L984" s="201"/>
      <c r="M984" s="201"/>
      <c r="N984" s="201"/>
      <c r="O984" s="201"/>
      <c r="P984" s="201"/>
      <c r="Q984" s="201"/>
      <c r="R984" s="201"/>
      <c r="S984" s="201"/>
      <c r="T984" s="201"/>
      <c r="U984" s="201"/>
      <c r="V984" s="201"/>
      <c r="W984" s="201"/>
      <c r="X984" s="201"/>
      <c r="Y984" s="201"/>
      <c r="Z984" s="201"/>
    </row>
    <row r="985" ht="12.8" customHeight="1" spans="1:26">
      <c r="A985" s="200"/>
      <c r="B985" s="201"/>
      <c r="C985" s="201"/>
      <c r="D985" s="201"/>
      <c r="E985" s="201"/>
      <c r="F985" s="201"/>
      <c r="G985" s="201"/>
      <c r="H985" s="201"/>
      <c r="I985" s="201"/>
      <c r="J985" s="201"/>
      <c r="K985" s="201"/>
      <c r="L985" s="201"/>
      <c r="M985" s="201"/>
      <c r="N985" s="201"/>
      <c r="O985" s="201"/>
      <c r="P985" s="201"/>
      <c r="Q985" s="201"/>
      <c r="R985" s="201"/>
      <c r="S985" s="201"/>
      <c r="T985" s="201"/>
      <c r="U985" s="201"/>
      <c r="V985" s="201"/>
      <c r="W985" s="201"/>
      <c r="X985" s="201"/>
      <c r="Y985" s="201"/>
      <c r="Z985" s="201"/>
    </row>
    <row r="986" ht="12.8" customHeight="1" spans="1:26">
      <c r="A986" s="200"/>
      <c r="B986" s="201"/>
      <c r="C986" s="201"/>
      <c r="D986" s="201"/>
      <c r="E986" s="201"/>
      <c r="F986" s="201"/>
      <c r="G986" s="201"/>
      <c r="H986" s="201"/>
      <c r="I986" s="201"/>
      <c r="J986" s="201"/>
      <c r="K986" s="201"/>
      <c r="L986" s="201"/>
      <c r="M986" s="201"/>
      <c r="N986" s="201"/>
      <c r="O986" s="201"/>
      <c r="P986" s="201"/>
      <c r="Q986" s="201"/>
      <c r="R986" s="201"/>
      <c r="S986" s="201"/>
      <c r="T986" s="201"/>
      <c r="U986" s="201"/>
      <c r="V986" s="201"/>
      <c r="W986" s="201"/>
      <c r="X986" s="201"/>
      <c r="Y986" s="201"/>
      <c r="Z986" s="201"/>
    </row>
    <row r="987" ht="12.8" customHeight="1" spans="1:26">
      <c r="A987" s="200"/>
      <c r="B987" s="201"/>
      <c r="C987" s="201"/>
      <c r="D987" s="201"/>
      <c r="E987" s="201"/>
      <c r="F987" s="201"/>
      <c r="G987" s="201"/>
      <c r="H987" s="201"/>
      <c r="I987" s="201"/>
      <c r="J987" s="201"/>
      <c r="K987" s="201"/>
      <c r="L987" s="201"/>
      <c r="M987" s="201"/>
      <c r="N987" s="201"/>
      <c r="O987" s="201"/>
      <c r="P987" s="201"/>
      <c r="Q987" s="201"/>
      <c r="R987" s="201"/>
      <c r="S987" s="201"/>
      <c r="T987" s="201"/>
      <c r="U987" s="201"/>
      <c r="V987" s="201"/>
      <c r="W987" s="201"/>
      <c r="X987" s="201"/>
      <c r="Y987" s="201"/>
      <c r="Z987" s="201"/>
    </row>
    <row r="988" ht="12.8" customHeight="1" spans="1:26">
      <c r="A988" s="200"/>
      <c r="B988" s="201"/>
      <c r="C988" s="201"/>
      <c r="D988" s="201"/>
      <c r="E988" s="201"/>
      <c r="F988" s="201"/>
      <c r="G988" s="201"/>
      <c r="H988" s="201"/>
      <c r="I988" s="201"/>
      <c r="J988" s="201"/>
      <c r="K988" s="201"/>
      <c r="L988" s="201"/>
      <c r="M988" s="201"/>
      <c r="N988" s="201"/>
      <c r="O988" s="201"/>
      <c r="P988" s="201"/>
      <c r="Q988" s="201"/>
      <c r="R988" s="201"/>
      <c r="S988" s="201"/>
      <c r="T988" s="201"/>
      <c r="U988" s="201"/>
      <c r="V988" s="201"/>
      <c r="W988" s="201"/>
      <c r="X988" s="201"/>
      <c r="Y988" s="201"/>
      <c r="Z988" s="201"/>
    </row>
    <row r="989" ht="12.8" customHeight="1" spans="1:26">
      <c r="A989" s="200"/>
      <c r="B989" s="201"/>
      <c r="C989" s="201"/>
      <c r="D989" s="201"/>
      <c r="E989" s="201"/>
      <c r="F989" s="201"/>
      <c r="G989" s="201"/>
      <c r="H989" s="201"/>
      <c r="I989" s="201"/>
      <c r="J989" s="201"/>
      <c r="K989" s="201"/>
      <c r="L989" s="201"/>
      <c r="M989" s="201"/>
      <c r="N989" s="201"/>
      <c r="O989" s="201"/>
      <c r="P989" s="201"/>
      <c r="Q989" s="201"/>
      <c r="R989" s="201"/>
      <c r="S989" s="201"/>
      <c r="T989" s="201"/>
      <c r="U989" s="201"/>
      <c r="V989" s="201"/>
      <c r="W989" s="201"/>
      <c r="X989" s="201"/>
      <c r="Y989" s="201"/>
      <c r="Z989" s="201"/>
    </row>
    <row r="990" ht="12.8" customHeight="1" spans="1:26">
      <c r="A990" s="200"/>
      <c r="B990" s="201"/>
      <c r="C990" s="201"/>
      <c r="D990" s="201"/>
      <c r="E990" s="201"/>
      <c r="F990" s="201"/>
      <c r="G990" s="201"/>
      <c r="H990" s="201"/>
      <c r="I990" s="201"/>
      <c r="J990" s="201"/>
      <c r="K990" s="201"/>
      <c r="L990" s="201"/>
      <c r="M990" s="201"/>
      <c r="N990" s="201"/>
      <c r="O990" s="201"/>
      <c r="P990" s="201"/>
      <c r="Q990" s="201"/>
      <c r="R990" s="201"/>
      <c r="S990" s="201"/>
      <c r="T990" s="201"/>
      <c r="U990" s="201"/>
      <c r="V990" s="201"/>
      <c r="W990" s="201"/>
      <c r="X990" s="201"/>
      <c r="Y990" s="201"/>
      <c r="Z990" s="201"/>
    </row>
    <row r="991" ht="12.8" customHeight="1" spans="1:26">
      <c r="A991" s="200"/>
      <c r="B991" s="201"/>
      <c r="C991" s="201"/>
      <c r="D991" s="201"/>
      <c r="E991" s="201"/>
      <c r="F991" s="201"/>
      <c r="G991" s="201"/>
      <c r="H991" s="201"/>
      <c r="I991" s="201"/>
      <c r="J991" s="201"/>
      <c r="K991" s="201"/>
      <c r="L991" s="201"/>
      <c r="M991" s="201"/>
      <c r="N991" s="201"/>
      <c r="O991" s="201"/>
      <c r="P991" s="201"/>
      <c r="Q991" s="201"/>
      <c r="R991" s="201"/>
      <c r="S991" s="201"/>
      <c r="T991" s="201"/>
      <c r="U991" s="201"/>
      <c r="V991" s="201"/>
      <c r="W991" s="201"/>
      <c r="X991" s="201"/>
      <c r="Y991" s="201"/>
      <c r="Z991" s="201"/>
    </row>
    <row r="992" ht="12.8" customHeight="1" spans="1:26">
      <c r="A992" s="200"/>
      <c r="B992" s="201"/>
      <c r="C992" s="201"/>
      <c r="D992" s="201"/>
      <c r="E992" s="201"/>
      <c r="F992" s="201"/>
      <c r="G992" s="201"/>
      <c r="H992" s="201"/>
      <c r="I992" s="201"/>
      <c r="J992" s="201"/>
      <c r="K992" s="201"/>
      <c r="L992" s="201"/>
      <c r="M992" s="201"/>
      <c r="N992" s="201"/>
      <c r="O992" s="201"/>
      <c r="P992" s="201"/>
      <c r="Q992" s="201"/>
      <c r="R992" s="201"/>
      <c r="S992" s="201"/>
      <c r="T992" s="201"/>
      <c r="U992" s="201"/>
      <c r="V992" s="201"/>
      <c r="W992" s="201"/>
      <c r="X992" s="201"/>
      <c r="Y992" s="201"/>
      <c r="Z992" s="201"/>
    </row>
    <row r="993" ht="12.8" customHeight="1" spans="1:26">
      <c r="A993" s="200"/>
      <c r="B993" s="201"/>
      <c r="C993" s="201"/>
      <c r="D993" s="201"/>
      <c r="E993" s="201"/>
      <c r="F993" s="201"/>
      <c r="G993" s="201"/>
      <c r="H993" s="201"/>
      <c r="I993" s="201"/>
      <c r="J993" s="201"/>
      <c r="K993" s="201"/>
      <c r="L993" s="201"/>
      <c r="M993" s="201"/>
      <c r="N993" s="201"/>
      <c r="O993" s="201"/>
      <c r="P993" s="201"/>
      <c r="Q993" s="201"/>
      <c r="R993" s="201"/>
      <c r="S993" s="201"/>
      <c r="T993" s="201"/>
      <c r="U993" s="201"/>
      <c r="V993" s="201"/>
      <c r="W993" s="201"/>
      <c r="X993" s="201"/>
      <c r="Y993" s="201"/>
      <c r="Z993" s="201"/>
    </row>
    <row r="994" ht="12.8" customHeight="1" spans="1:26">
      <c r="A994" s="200"/>
      <c r="B994" s="201"/>
      <c r="C994" s="201"/>
      <c r="D994" s="201"/>
      <c r="E994" s="201"/>
      <c r="F994" s="201"/>
      <c r="G994" s="201"/>
      <c r="H994" s="201"/>
      <c r="I994" s="201"/>
      <c r="J994" s="201"/>
      <c r="K994" s="201"/>
      <c r="L994" s="201"/>
      <c r="M994" s="201"/>
      <c r="N994" s="201"/>
      <c r="O994" s="201"/>
      <c r="P994" s="201"/>
      <c r="Q994" s="201"/>
      <c r="R994" s="201"/>
      <c r="S994" s="201"/>
      <c r="T994" s="201"/>
      <c r="U994" s="201"/>
      <c r="V994" s="201"/>
      <c r="W994" s="201"/>
      <c r="X994" s="201"/>
      <c r="Y994" s="201"/>
      <c r="Z994" s="201"/>
    </row>
    <row r="995" ht="12.8" customHeight="1" spans="1:26">
      <c r="A995" s="200"/>
      <c r="B995" s="201"/>
      <c r="C995" s="201"/>
      <c r="D995" s="201"/>
      <c r="E995" s="201"/>
      <c r="F995" s="201"/>
      <c r="G995" s="201"/>
      <c r="H995" s="201"/>
      <c r="I995" s="201"/>
      <c r="J995" s="201"/>
      <c r="K995" s="201"/>
      <c r="L995" s="201"/>
      <c r="M995" s="201"/>
      <c r="N995" s="201"/>
      <c r="O995" s="201"/>
      <c r="P995" s="201"/>
      <c r="Q995" s="201"/>
      <c r="R995" s="201"/>
      <c r="S995" s="201"/>
      <c r="T995" s="201"/>
      <c r="U995" s="201"/>
      <c r="V995" s="201"/>
      <c r="W995" s="201"/>
      <c r="X995" s="201"/>
      <c r="Y995" s="201"/>
      <c r="Z995" s="201"/>
    </row>
    <row r="996" ht="12.8" customHeight="1" spans="1:26">
      <c r="A996" s="200"/>
      <c r="B996" s="201"/>
      <c r="C996" s="201"/>
      <c r="D996" s="201"/>
      <c r="E996" s="201"/>
      <c r="F996" s="201"/>
      <c r="G996" s="201"/>
      <c r="H996" s="201"/>
      <c r="I996" s="201"/>
      <c r="J996" s="201"/>
      <c r="K996" s="201"/>
      <c r="L996" s="201"/>
      <c r="M996" s="201"/>
      <c r="N996" s="201"/>
      <c r="O996" s="201"/>
      <c r="P996" s="201"/>
      <c r="Q996" s="201"/>
      <c r="R996" s="201"/>
      <c r="S996" s="201"/>
      <c r="T996" s="201"/>
      <c r="U996" s="201"/>
      <c r="V996" s="201"/>
      <c r="W996" s="201"/>
      <c r="X996" s="201"/>
      <c r="Y996" s="201"/>
      <c r="Z996" s="201"/>
    </row>
    <row r="997" ht="12.8" customHeight="1" spans="1:26">
      <c r="A997" s="200"/>
      <c r="B997" s="201"/>
      <c r="C997" s="201"/>
      <c r="D997" s="201"/>
      <c r="E997" s="201"/>
      <c r="F997" s="201"/>
      <c r="G997" s="201"/>
      <c r="H997" s="201"/>
      <c r="I997" s="201"/>
      <c r="J997" s="201"/>
      <c r="K997" s="201"/>
      <c r="L997" s="201"/>
      <c r="M997" s="201"/>
      <c r="N997" s="201"/>
      <c r="O997" s="201"/>
      <c r="P997" s="201"/>
      <c r="Q997" s="201"/>
      <c r="R997" s="201"/>
      <c r="S997" s="201"/>
      <c r="T997" s="201"/>
      <c r="U997" s="201"/>
      <c r="V997" s="201"/>
      <c r="W997" s="201"/>
      <c r="X997" s="201"/>
      <c r="Y997" s="201"/>
      <c r="Z997" s="201"/>
    </row>
    <row r="998" ht="12.8" customHeight="1" spans="1:26">
      <c r="A998" s="200"/>
      <c r="B998" s="201"/>
      <c r="C998" s="201"/>
      <c r="D998" s="201"/>
      <c r="E998" s="201"/>
      <c r="F998" s="201"/>
      <c r="G998" s="201"/>
      <c r="H998" s="201"/>
      <c r="I998" s="201"/>
      <c r="J998" s="201"/>
      <c r="K998" s="201"/>
      <c r="L998" s="201"/>
      <c r="M998" s="201"/>
      <c r="N998" s="201"/>
      <c r="O998" s="201"/>
      <c r="P998" s="201"/>
      <c r="Q998" s="201"/>
      <c r="R998" s="201"/>
      <c r="S998" s="201"/>
      <c r="T998" s="201"/>
      <c r="U998" s="201"/>
      <c r="V998" s="201"/>
      <c r="W998" s="201"/>
      <c r="X998" s="201"/>
      <c r="Y998" s="201"/>
      <c r="Z998" s="201"/>
    </row>
    <row r="999" ht="12.8" customHeight="1" spans="1:26">
      <c r="A999" s="200"/>
      <c r="B999" s="201"/>
      <c r="C999" s="201"/>
      <c r="D999" s="201"/>
      <c r="E999" s="201"/>
      <c r="F999" s="201"/>
      <c r="G999" s="201"/>
      <c r="H999" s="201"/>
      <c r="I999" s="201"/>
      <c r="J999" s="201"/>
      <c r="K999" s="201"/>
      <c r="L999" s="201"/>
      <c r="M999" s="201"/>
      <c r="N999" s="201"/>
      <c r="O999" s="201"/>
      <c r="P999" s="201"/>
      <c r="Q999" s="201"/>
      <c r="R999" s="201"/>
      <c r="S999" s="201"/>
      <c r="T999" s="201"/>
      <c r="U999" s="201"/>
      <c r="V999" s="201"/>
      <c r="W999" s="201"/>
      <c r="X999" s="201"/>
      <c r="Y999" s="201"/>
      <c r="Z999" s="201"/>
    </row>
    <row r="1000" ht="12.8" customHeight="1" spans="1:26">
      <c r="A1000" s="200"/>
      <c r="B1000" s="201"/>
      <c r="C1000" s="201"/>
      <c r="D1000" s="201"/>
      <c r="E1000" s="201"/>
      <c r="F1000" s="201"/>
      <c r="G1000" s="201"/>
      <c r="H1000" s="201"/>
      <c r="I1000" s="201"/>
      <c r="J1000" s="201"/>
      <c r="K1000" s="201"/>
      <c r="L1000" s="201"/>
      <c r="M1000" s="201"/>
      <c r="N1000" s="201"/>
      <c r="O1000" s="201"/>
      <c r="P1000" s="201"/>
      <c r="Q1000" s="201"/>
      <c r="R1000" s="201"/>
      <c r="S1000" s="201"/>
      <c r="T1000" s="201"/>
      <c r="U1000" s="201"/>
      <c r="V1000" s="201"/>
      <c r="W1000" s="201"/>
      <c r="X1000" s="201"/>
      <c r="Y1000" s="201"/>
      <c r="Z1000" s="201"/>
    </row>
  </sheetData>
  <mergeCells count="4">
    <mergeCell ref="B2:F2"/>
    <mergeCell ref="B4:D4"/>
    <mergeCell ref="B5:D5"/>
    <mergeCell ref="B6:D6"/>
  </mergeCells>
  <pageMargins left="0.7" right="0.7" top="0.75" bottom="0.75" header="0" footer="0"/>
  <pageSetup paperSize="1" orientation="landscape" useFirstPageNumber="1"/>
  <headerFooter>
    <oddFooter>&amp;L 02ae-BM/PM/HDCV/FSOFT v2/1&amp;CInternal use&amp;R&amp;P/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33CCCC"/>
  </sheetPr>
  <dimension ref="A1:Z1000"/>
  <sheetViews>
    <sheetView workbookViewId="0">
      <selection activeCell="A1" sqref="A1"/>
    </sheetView>
  </sheetViews>
  <sheetFormatPr defaultColWidth="14.4406779661017" defaultRowHeight="15.05" customHeight="1"/>
  <cols>
    <col min="1" max="1" width="8.11016949152542" customWidth="1"/>
    <col min="2" max="2" width="17" customWidth="1"/>
    <col min="3" max="3" width="11.3305084745763" customWidth="1"/>
    <col min="4" max="4" width="14.1101694915254" customWidth="1"/>
    <col min="5" max="5" width="24" customWidth="1"/>
    <col min="6" max="6" width="14.1101694915254" customWidth="1"/>
    <col min="7" max="7" width="47.8898305084746" customWidth="1"/>
    <col min="8" max="8" width="58.6610169491525" customWidth="1"/>
    <col min="9" max="26" width="9.11016949152542" customWidth="1"/>
  </cols>
  <sheetData>
    <row r="1" ht="12.8" customHeight="1" spans="1:26">
      <c r="A1" s="176"/>
      <c r="B1" s="176"/>
      <c r="C1" s="176"/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2"/>
      <c r="P1" s="152"/>
      <c r="Q1" s="152"/>
      <c r="R1" s="152"/>
      <c r="S1" s="152"/>
      <c r="T1" s="152"/>
      <c r="U1" s="152"/>
      <c r="V1" s="152"/>
      <c r="W1" s="152"/>
      <c r="X1" s="152"/>
      <c r="Y1" s="152"/>
      <c r="Z1" s="152"/>
    </row>
    <row r="2" ht="25.55" customHeight="1" spans="1:26">
      <c r="A2" s="176"/>
      <c r="B2" s="176"/>
      <c r="C2" s="176"/>
      <c r="D2" s="152"/>
      <c r="E2" s="177" t="s">
        <v>65</v>
      </c>
      <c r="F2" s="177"/>
      <c r="G2" s="178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152"/>
      <c r="Z2" s="152"/>
    </row>
    <row r="3" ht="13.6" customHeight="1" spans="1:26">
      <c r="A3" s="176"/>
      <c r="B3" s="176"/>
      <c r="C3" s="176"/>
      <c r="D3" s="152"/>
      <c r="E3" s="152"/>
      <c r="F3" s="179"/>
      <c r="G3" s="179"/>
      <c r="H3" s="152"/>
      <c r="I3" s="152"/>
      <c r="J3" s="152"/>
      <c r="K3" s="152"/>
      <c r="L3" s="152"/>
      <c r="M3" s="152"/>
      <c r="N3" s="152"/>
      <c r="O3" s="152"/>
      <c r="P3" s="152"/>
      <c r="Q3" s="152"/>
      <c r="R3" s="152"/>
      <c r="S3" s="152"/>
      <c r="T3" s="152"/>
      <c r="U3" s="152"/>
      <c r="V3" s="152"/>
      <c r="W3" s="152"/>
      <c r="X3" s="152"/>
      <c r="Y3" s="152"/>
      <c r="Z3" s="152"/>
    </row>
    <row r="4" ht="14.25" customHeight="1" spans="1:26">
      <c r="A4" s="180" t="s">
        <v>46</v>
      </c>
      <c r="B4" s="66"/>
      <c r="C4" s="66"/>
      <c r="D4" s="66"/>
      <c r="E4" s="158" t="str">
        <f>Cover!B4</f>
        <v>IQGS – AI-Powered Interview Question Generation System Using RAG and LLM – A Dual-Sided Platform for Recruiters and Job Seekers</v>
      </c>
      <c r="F4" s="66"/>
      <c r="G4" s="66"/>
      <c r="H4" s="64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52"/>
      <c r="Z4" s="152"/>
    </row>
    <row r="5" ht="14.25" customHeight="1" spans="1:26">
      <c r="A5" s="180" t="s">
        <v>50</v>
      </c>
      <c r="B5" s="66"/>
      <c r="C5" s="66"/>
      <c r="D5" s="66"/>
      <c r="E5" s="158" t="str">
        <f>Cover!B5</f>
        <v>SU26SE102</v>
      </c>
      <c r="F5" s="66"/>
      <c r="G5" s="66"/>
      <c r="H5" s="64"/>
      <c r="I5" s="152"/>
      <c r="J5" s="152"/>
      <c r="K5" s="152"/>
      <c r="L5" s="152"/>
      <c r="M5" s="152"/>
      <c r="N5" s="152"/>
      <c r="O5" s="152"/>
      <c r="P5" s="152"/>
      <c r="Q5" s="152"/>
      <c r="R5" s="152"/>
      <c r="S5" s="152"/>
      <c r="T5" s="152"/>
      <c r="U5" s="152"/>
      <c r="V5" s="152"/>
      <c r="W5" s="152"/>
      <c r="X5" s="152"/>
      <c r="Y5" s="152"/>
      <c r="Z5" s="152"/>
    </row>
    <row r="6" ht="14.25" customHeight="1" spans="1:26">
      <c r="A6" s="181" t="s">
        <v>66</v>
      </c>
      <c r="B6" s="66"/>
      <c r="C6" s="66"/>
      <c r="D6" s="64"/>
      <c r="E6" s="158">
        <v>100</v>
      </c>
      <c r="F6" s="182"/>
      <c r="G6" s="182"/>
      <c r="H6" s="183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2"/>
      <c r="Z6" s="152"/>
    </row>
    <row r="7" ht="12.8" customHeight="1" spans="1:26">
      <c r="A7" s="184" t="s">
        <v>67</v>
      </c>
      <c r="B7" s="66"/>
      <c r="C7" s="66"/>
      <c r="D7" s="64"/>
      <c r="E7" s="185" t="s">
        <v>68</v>
      </c>
      <c r="F7" s="66"/>
      <c r="G7" s="66"/>
      <c r="H7" s="64"/>
      <c r="I7" s="186"/>
      <c r="J7" s="186"/>
      <c r="K7" s="186"/>
      <c r="L7" s="186"/>
      <c r="M7" s="186"/>
      <c r="N7" s="186"/>
      <c r="O7" s="186"/>
      <c r="P7" s="186"/>
      <c r="Q7" s="186"/>
      <c r="R7" s="186"/>
      <c r="S7" s="186"/>
      <c r="T7" s="186"/>
      <c r="U7" s="186"/>
      <c r="V7" s="186"/>
      <c r="W7" s="186"/>
      <c r="X7" s="186"/>
      <c r="Y7" s="186"/>
      <c r="Z7" s="186"/>
    </row>
    <row r="8" ht="12.8" customHeight="1" spans="1:26">
      <c r="A8" s="187"/>
      <c r="B8" s="187"/>
      <c r="C8" s="187"/>
      <c r="D8" s="152"/>
      <c r="E8" s="186"/>
      <c r="F8" s="152"/>
      <c r="G8" s="152"/>
      <c r="H8" s="152"/>
      <c r="I8" s="152"/>
      <c r="J8" s="152"/>
      <c r="K8" s="152"/>
      <c r="L8" s="152"/>
      <c r="M8" s="152"/>
      <c r="N8" s="152"/>
      <c r="O8" s="152"/>
      <c r="P8" s="152"/>
      <c r="Q8" s="152"/>
      <c r="R8" s="152"/>
      <c r="S8" s="152"/>
      <c r="T8" s="152"/>
      <c r="U8" s="152"/>
      <c r="V8" s="152"/>
      <c r="W8" s="152"/>
      <c r="X8" s="152"/>
      <c r="Y8" s="152"/>
      <c r="Z8" s="152"/>
    </row>
    <row r="9" ht="12.8" customHeight="1" spans="1:26">
      <c r="A9" s="188"/>
      <c r="B9" s="188"/>
      <c r="C9" s="188"/>
      <c r="D9" s="189"/>
      <c r="E9" s="190"/>
      <c r="F9" s="189"/>
      <c r="G9" s="189"/>
      <c r="H9" s="189"/>
      <c r="I9" s="191"/>
      <c r="J9" s="191"/>
      <c r="K9" s="191"/>
      <c r="L9" s="191"/>
      <c r="M9" s="191"/>
      <c r="N9" s="191"/>
      <c r="O9" s="191"/>
      <c r="P9" s="191"/>
      <c r="Q9" s="191"/>
      <c r="R9" s="191"/>
      <c r="S9" s="191"/>
      <c r="T9" s="191"/>
      <c r="U9" s="191"/>
      <c r="V9" s="191"/>
      <c r="W9" s="191"/>
      <c r="X9" s="191"/>
      <c r="Y9" s="191"/>
      <c r="Z9" s="191"/>
    </row>
    <row r="10" ht="24.05" customHeight="1" spans="1:26">
      <c r="A10" s="192" t="s">
        <v>69</v>
      </c>
      <c r="B10" s="193" t="s">
        <v>70</v>
      </c>
      <c r="C10" s="194" t="s">
        <v>71</v>
      </c>
      <c r="D10" s="195" t="s">
        <v>72</v>
      </c>
      <c r="E10" s="196" t="s">
        <v>73</v>
      </c>
      <c r="F10" s="195" t="s">
        <v>74</v>
      </c>
      <c r="G10" s="197" t="s">
        <v>75</v>
      </c>
      <c r="H10" s="198" t="s">
        <v>76</v>
      </c>
      <c r="I10" s="199"/>
      <c r="J10" s="199"/>
      <c r="K10" s="199"/>
      <c r="L10" s="199"/>
      <c r="M10" s="199"/>
      <c r="N10" s="199"/>
      <c r="O10" s="199"/>
      <c r="P10" s="199"/>
      <c r="Q10" s="199"/>
      <c r="R10" s="199"/>
      <c r="S10" s="199"/>
      <c r="T10" s="199"/>
      <c r="U10" s="199"/>
      <c r="V10" s="199"/>
      <c r="W10" s="199"/>
      <c r="X10" s="199"/>
      <c r="Y10" s="199"/>
      <c r="Z10" s="199"/>
    </row>
    <row r="11" ht="32.1" customHeight="1" spans="1:26">
      <c r="A11" s="176">
        <v>1</v>
      </c>
      <c r="B11" s="176" t="s">
        <v>77</v>
      </c>
      <c r="C11" s="176" t="s">
        <v>78</v>
      </c>
      <c r="D11" s="171" t="s">
        <v>79</v>
      </c>
      <c r="E11" s="171" t="s">
        <v>80</v>
      </c>
      <c r="F11" s="152" t="s">
        <v>81</v>
      </c>
      <c r="G11" s="152" t="s">
        <v>82</v>
      </c>
      <c r="H11" s="152" t="s">
        <v>83</v>
      </c>
      <c r="I11" s="152"/>
      <c r="J11" s="152"/>
      <c r="K11" s="152"/>
      <c r="L11" s="152"/>
      <c r="M11" s="152"/>
      <c r="N11" s="152"/>
      <c r="O11" s="152"/>
      <c r="P11" s="152"/>
      <c r="Q11" s="152"/>
      <c r="R11" s="152"/>
      <c r="S11" s="152"/>
      <c r="T11" s="152"/>
      <c r="U11" s="152"/>
      <c r="V11" s="152"/>
      <c r="W11" s="152"/>
      <c r="X11" s="152"/>
      <c r="Y11" s="152"/>
      <c r="Z11" s="152"/>
    </row>
    <row r="12" ht="32.1" customHeight="1" spans="1:26">
      <c r="A12" s="176">
        <v>2</v>
      </c>
      <c r="B12" s="176" t="s">
        <v>77</v>
      </c>
      <c r="C12" s="176" t="s">
        <v>78</v>
      </c>
      <c r="D12" s="171" t="s">
        <v>84</v>
      </c>
      <c r="E12" s="171" t="s">
        <v>85</v>
      </c>
      <c r="F12" s="152" t="s">
        <v>86</v>
      </c>
      <c r="G12" s="152" t="s">
        <v>87</v>
      </c>
      <c r="H12" s="152" t="s">
        <v>88</v>
      </c>
      <c r="I12" s="152"/>
      <c r="J12" s="152"/>
      <c r="K12" s="152"/>
      <c r="L12" s="152"/>
      <c r="M12" s="152"/>
      <c r="N12" s="152"/>
      <c r="O12" s="152"/>
      <c r="P12" s="152"/>
      <c r="Q12" s="152"/>
      <c r="R12" s="152"/>
      <c r="S12" s="152"/>
      <c r="T12" s="152"/>
      <c r="U12" s="152"/>
      <c r="V12" s="152"/>
      <c r="W12" s="152"/>
      <c r="X12" s="152"/>
      <c r="Y12" s="152"/>
      <c r="Z12" s="152"/>
    </row>
    <row r="13" ht="32.1" customHeight="1" spans="1:26">
      <c r="A13" s="176">
        <v>3</v>
      </c>
      <c r="B13" s="176" t="s">
        <v>77</v>
      </c>
      <c r="C13" s="176" t="s">
        <v>78</v>
      </c>
      <c r="D13" s="171" t="s">
        <v>89</v>
      </c>
      <c r="E13" s="171" t="s">
        <v>90</v>
      </c>
      <c r="F13" s="152" t="s">
        <v>91</v>
      </c>
      <c r="G13" s="152" t="s">
        <v>92</v>
      </c>
      <c r="H13" s="152" t="s">
        <v>93</v>
      </c>
      <c r="I13" s="152"/>
      <c r="J13" s="152"/>
      <c r="K13" s="152"/>
      <c r="L13" s="152"/>
      <c r="M13" s="152"/>
      <c r="N13" s="152"/>
      <c r="O13" s="152"/>
      <c r="P13" s="152"/>
      <c r="Q13" s="152"/>
      <c r="R13" s="152"/>
      <c r="S13" s="152"/>
      <c r="T13" s="152"/>
      <c r="U13" s="152"/>
      <c r="V13" s="152"/>
      <c r="W13" s="152"/>
      <c r="X13" s="152"/>
      <c r="Y13" s="152"/>
      <c r="Z13" s="152"/>
    </row>
    <row r="14" ht="32.1" customHeight="1" spans="1:26">
      <c r="A14" s="176">
        <v>4</v>
      </c>
      <c r="B14" s="176" t="s">
        <v>77</v>
      </c>
      <c r="C14" s="176" t="s">
        <v>78</v>
      </c>
      <c r="D14" s="171" t="s">
        <v>94</v>
      </c>
      <c r="E14" s="171" t="s">
        <v>95</v>
      </c>
      <c r="F14" s="152" t="s">
        <v>96</v>
      </c>
      <c r="G14" s="152" t="s">
        <v>97</v>
      </c>
      <c r="H14" s="152" t="s">
        <v>98</v>
      </c>
      <c r="I14" s="152"/>
      <c r="J14" s="152"/>
      <c r="K14" s="152"/>
      <c r="L14" s="152"/>
      <c r="M14" s="152"/>
      <c r="N14" s="152"/>
      <c r="O14" s="152"/>
      <c r="P14" s="152"/>
      <c r="Q14" s="152"/>
      <c r="R14" s="152"/>
      <c r="S14" s="152"/>
      <c r="T14" s="152"/>
      <c r="U14" s="152"/>
      <c r="V14" s="152"/>
      <c r="W14" s="152"/>
      <c r="X14" s="152"/>
      <c r="Y14" s="152"/>
      <c r="Z14" s="152"/>
    </row>
    <row r="15" ht="32.1" customHeight="1" spans="1:26">
      <c r="A15" s="176">
        <v>5</v>
      </c>
      <c r="B15" s="176" t="s">
        <v>77</v>
      </c>
      <c r="C15" s="176" t="s">
        <v>78</v>
      </c>
      <c r="D15" s="171" t="s">
        <v>99</v>
      </c>
      <c r="E15" s="171" t="s">
        <v>100</v>
      </c>
      <c r="F15" s="152" t="s">
        <v>101</v>
      </c>
      <c r="G15" s="152" t="s">
        <v>102</v>
      </c>
      <c r="H15" s="152" t="s">
        <v>103</v>
      </c>
      <c r="I15" s="152"/>
      <c r="J15" s="152"/>
      <c r="K15" s="152"/>
      <c r="L15" s="152"/>
      <c r="M15" s="152"/>
      <c r="N15" s="152"/>
      <c r="O15" s="152"/>
      <c r="P15" s="152"/>
      <c r="Q15" s="152"/>
      <c r="R15" s="152"/>
      <c r="S15" s="152"/>
      <c r="T15" s="152"/>
      <c r="U15" s="152"/>
      <c r="V15" s="152"/>
      <c r="W15" s="152"/>
      <c r="X15" s="152"/>
      <c r="Y15" s="152"/>
      <c r="Z15" s="152"/>
    </row>
    <row r="16" ht="32.1" customHeight="1" spans="1:26">
      <c r="A16" s="176">
        <v>6</v>
      </c>
      <c r="B16" s="176" t="s">
        <v>77</v>
      </c>
      <c r="C16" s="176" t="s">
        <v>78</v>
      </c>
      <c r="D16" s="171" t="s">
        <v>104</v>
      </c>
      <c r="E16" s="171" t="s">
        <v>105</v>
      </c>
      <c r="F16" s="152" t="s">
        <v>106</v>
      </c>
      <c r="G16" s="152" t="s">
        <v>107</v>
      </c>
      <c r="H16" s="152" t="s">
        <v>108</v>
      </c>
      <c r="I16" s="152"/>
      <c r="J16" s="152"/>
      <c r="K16" s="152"/>
      <c r="L16" s="152"/>
      <c r="M16" s="152"/>
      <c r="N16" s="152"/>
      <c r="O16" s="152"/>
      <c r="P16" s="152"/>
      <c r="Q16" s="152"/>
      <c r="R16" s="152"/>
      <c r="S16" s="152"/>
      <c r="T16" s="152"/>
      <c r="U16" s="152"/>
      <c r="V16" s="152"/>
      <c r="W16" s="152"/>
      <c r="X16" s="152"/>
      <c r="Y16" s="152"/>
      <c r="Z16" s="152"/>
    </row>
    <row r="17" ht="32.1" customHeight="1" spans="1:26">
      <c r="A17" s="176">
        <v>7</v>
      </c>
      <c r="B17" s="176" t="s">
        <v>77</v>
      </c>
      <c r="C17" s="176" t="s">
        <v>78</v>
      </c>
      <c r="D17" s="171" t="s">
        <v>109</v>
      </c>
      <c r="E17" s="171" t="s">
        <v>110</v>
      </c>
      <c r="F17" s="152" t="s">
        <v>111</v>
      </c>
      <c r="G17" s="152" t="s">
        <v>112</v>
      </c>
      <c r="H17" s="152" t="s">
        <v>113</v>
      </c>
      <c r="I17" s="152"/>
      <c r="J17" s="152"/>
      <c r="K17" s="152"/>
      <c r="L17" s="152"/>
      <c r="M17" s="152"/>
      <c r="N17" s="152"/>
      <c r="O17" s="152"/>
      <c r="P17" s="152"/>
      <c r="Q17" s="152"/>
      <c r="R17" s="152"/>
      <c r="S17" s="152"/>
      <c r="T17" s="152"/>
      <c r="U17" s="152"/>
      <c r="V17" s="152"/>
      <c r="W17" s="152"/>
      <c r="X17" s="152"/>
      <c r="Y17" s="152"/>
      <c r="Z17" s="152"/>
    </row>
    <row r="18" ht="32.1" customHeight="1" spans="1:26">
      <c r="A18" s="176">
        <v>8</v>
      </c>
      <c r="B18" s="176" t="s">
        <v>77</v>
      </c>
      <c r="C18" s="176" t="s">
        <v>78</v>
      </c>
      <c r="D18" s="171" t="s">
        <v>114</v>
      </c>
      <c r="E18" s="171" t="s">
        <v>115</v>
      </c>
      <c r="F18" s="152" t="s">
        <v>116</v>
      </c>
      <c r="G18" s="152" t="s">
        <v>117</v>
      </c>
      <c r="H18" s="152" t="s">
        <v>118</v>
      </c>
      <c r="I18" s="152"/>
      <c r="J18" s="152"/>
      <c r="K18" s="152"/>
      <c r="L18" s="152"/>
      <c r="M18" s="152"/>
      <c r="N18" s="152"/>
      <c r="O18" s="152"/>
      <c r="P18" s="152"/>
      <c r="Q18" s="152"/>
      <c r="R18" s="152"/>
      <c r="S18" s="152"/>
      <c r="T18" s="152"/>
      <c r="U18" s="152"/>
      <c r="V18" s="152"/>
      <c r="W18" s="152"/>
      <c r="X18" s="152"/>
      <c r="Y18" s="152"/>
      <c r="Z18" s="152"/>
    </row>
    <row r="19" ht="32.1" customHeight="1" spans="1:26">
      <c r="A19" s="176">
        <v>9</v>
      </c>
      <c r="B19" s="176" t="s">
        <v>77</v>
      </c>
      <c r="C19" s="176" t="s">
        <v>78</v>
      </c>
      <c r="D19" s="171" t="s">
        <v>119</v>
      </c>
      <c r="E19" s="171" t="s">
        <v>120</v>
      </c>
      <c r="F19" s="152" t="s">
        <v>121</v>
      </c>
      <c r="G19" s="152" t="s">
        <v>122</v>
      </c>
      <c r="H19" s="152" t="s">
        <v>123</v>
      </c>
      <c r="I19" s="152"/>
      <c r="J19" s="152"/>
      <c r="K19" s="152"/>
      <c r="L19" s="152"/>
      <c r="M19" s="152"/>
      <c r="N19" s="152"/>
      <c r="O19" s="152"/>
      <c r="P19" s="152"/>
      <c r="Q19" s="152"/>
      <c r="R19" s="152"/>
      <c r="S19" s="152"/>
      <c r="T19" s="152"/>
      <c r="U19" s="152"/>
      <c r="V19" s="152"/>
      <c r="W19" s="152"/>
      <c r="X19" s="152"/>
      <c r="Y19" s="152"/>
      <c r="Z19" s="152"/>
    </row>
    <row r="20" ht="32.1" customHeight="1" spans="1:26">
      <c r="A20" s="176">
        <v>10</v>
      </c>
      <c r="B20" s="176" t="s">
        <v>77</v>
      </c>
      <c r="C20" s="176" t="s">
        <v>78</v>
      </c>
      <c r="D20" s="171" t="s">
        <v>124</v>
      </c>
      <c r="E20" s="171" t="s">
        <v>125</v>
      </c>
      <c r="F20" s="152" t="s">
        <v>126</v>
      </c>
      <c r="G20" s="152" t="s">
        <v>127</v>
      </c>
      <c r="H20" s="152" t="s">
        <v>128</v>
      </c>
      <c r="I20" s="152"/>
      <c r="J20" s="152"/>
      <c r="K20" s="152"/>
      <c r="L20" s="152"/>
      <c r="M20" s="152"/>
      <c r="N20" s="152"/>
      <c r="O20" s="152"/>
      <c r="P20" s="152"/>
      <c r="Q20" s="152"/>
      <c r="R20" s="152"/>
      <c r="S20" s="152"/>
      <c r="T20" s="152"/>
      <c r="U20" s="152"/>
      <c r="V20" s="152"/>
      <c r="W20" s="152"/>
      <c r="X20" s="152"/>
      <c r="Y20" s="152"/>
      <c r="Z20" s="152"/>
    </row>
    <row r="21" ht="45" customHeight="1" spans="1:26">
      <c r="A21" s="176">
        <v>11</v>
      </c>
      <c r="B21" s="176" t="s">
        <v>77</v>
      </c>
      <c r="C21" s="176" t="s">
        <v>78</v>
      </c>
      <c r="D21" s="171" t="s">
        <v>129</v>
      </c>
      <c r="E21" s="171" t="s">
        <v>130</v>
      </c>
      <c r="F21" s="152" t="s">
        <v>131</v>
      </c>
      <c r="G21" s="152" t="s">
        <v>132</v>
      </c>
      <c r="H21" s="152" t="s">
        <v>133</v>
      </c>
      <c r="I21" s="152"/>
      <c r="J21" s="152"/>
      <c r="K21" s="152"/>
      <c r="L21" s="152"/>
      <c r="M21" s="152"/>
      <c r="N21" s="152"/>
      <c r="O21" s="152"/>
      <c r="P21" s="152"/>
      <c r="Q21" s="152"/>
      <c r="R21" s="152"/>
      <c r="S21" s="152"/>
      <c r="T21" s="152"/>
      <c r="U21" s="152"/>
      <c r="V21" s="152"/>
      <c r="W21" s="152"/>
      <c r="X21" s="152"/>
      <c r="Y21" s="152"/>
      <c r="Z21" s="152"/>
    </row>
    <row r="22" ht="32.1" customHeight="1" spans="1:26">
      <c r="A22" s="176">
        <v>12</v>
      </c>
      <c r="B22" s="176" t="s">
        <v>134</v>
      </c>
      <c r="C22" s="176" t="s">
        <v>135</v>
      </c>
      <c r="D22" s="171" t="s">
        <v>136</v>
      </c>
      <c r="E22" s="171" t="s">
        <v>137</v>
      </c>
      <c r="F22" s="152" t="s">
        <v>138</v>
      </c>
      <c r="G22" s="152" t="s">
        <v>139</v>
      </c>
      <c r="H22" s="152" t="s">
        <v>140</v>
      </c>
      <c r="I22" s="152"/>
      <c r="J22" s="152"/>
      <c r="K22" s="152"/>
      <c r="L22" s="152"/>
      <c r="M22" s="152"/>
      <c r="N22" s="152"/>
      <c r="O22" s="152"/>
      <c r="P22" s="152"/>
      <c r="Q22" s="152"/>
      <c r="R22" s="152"/>
      <c r="S22" s="152"/>
      <c r="T22" s="152"/>
      <c r="U22" s="152"/>
      <c r="V22" s="152"/>
      <c r="W22" s="152"/>
      <c r="X22" s="152"/>
      <c r="Y22" s="152"/>
      <c r="Z22" s="152"/>
    </row>
    <row r="23" ht="32.1" customHeight="1" spans="1:26">
      <c r="A23" s="176">
        <v>13</v>
      </c>
      <c r="B23" s="176" t="s">
        <v>134</v>
      </c>
      <c r="C23" s="176" t="s">
        <v>135</v>
      </c>
      <c r="D23" s="171" t="s">
        <v>141</v>
      </c>
      <c r="E23" s="171" t="s">
        <v>142</v>
      </c>
      <c r="F23" s="152" t="s">
        <v>143</v>
      </c>
      <c r="G23" s="152" t="s">
        <v>144</v>
      </c>
      <c r="H23" s="152" t="s">
        <v>145</v>
      </c>
      <c r="I23" s="152"/>
      <c r="J23" s="152"/>
      <c r="K23" s="152"/>
      <c r="L23" s="152"/>
      <c r="M23" s="152"/>
      <c r="N23" s="152"/>
      <c r="O23" s="152"/>
      <c r="P23" s="152"/>
      <c r="Q23" s="152"/>
      <c r="R23" s="152"/>
      <c r="S23" s="152"/>
      <c r="T23" s="152"/>
      <c r="U23" s="152"/>
      <c r="V23" s="152"/>
      <c r="W23" s="152"/>
      <c r="X23" s="152"/>
      <c r="Y23" s="152"/>
      <c r="Z23" s="152"/>
    </row>
    <row r="24" ht="32.1" customHeight="1" spans="1:26">
      <c r="A24" s="176">
        <v>14</v>
      </c>
      <c r="B24" s="176" t="s">
        <v>134</v>
      </c>
      <c r="C24" s="176" t="s">
        <v>135</v>
      </c>
      <c r="D24" s="152" t="s">
        <v>146</v>
      </c>
      <c r="E24" s="152" t="s">
        <v>147</v>
      </c>
      <c r="F24" s="152" t="s">
        <v>148</v>
      </c>
      <c r="G24" s="152" t="s">
        <v>149</v>
      </c>
      <c r="H24" s="152" t="s">
        <v>150</v>
      </c>
      <c r="I24" s="152"/>
      <c r="J24" s="152"/>
      <c r="K24" s="152"/>
      <c r="L24" s="152"/>
      <c r="M24" s="152"/>
      <c r="N24" s="152"/>
      <c r="O24" s="152"/>
      <c r="P24" s="152"/>
      <c r="Q24" s="152"/>
      <c r="R24" s="152"/>
      <c r="S24" s="152"/>
      <c r="T24" s="152"/>
      <c r="U24" s="152"/>
      <c r="V24" s="152"/>
      <c r="W24" s="152"/>
      <c r="X24" s="152"/>
      <c r="Y24" s="152"/>
      <c r="Z24" s="152"/>
    </row>
    <row r="25" ht="32.1" customHeight="1" spans="1:26">
      <c r="A25" s="176">
        <v>15</v>
      </c>
      <c r="B25" s="176" t="s">
        <v>134</v>
      </c>
      <c r="C25" s="176" t="s">
        <v>135</v>
      </c>
      <c r="D25" s="152" t="s">
        <v>151</v>
      </c>
      <c r="E25" s="152" t="s">
        <v>152</v>
      </c>
      <c r="F25" s="152" t="s">
        <v>153</v>
      </c>
      <c r="G25" s="152" t="s">
        <v>154</v>
      </c>
      <c r="H25" s="152" t="s">
        <v>155</v>
      </c>
      <c r="I25" s="152"/>
      <c r="J25" s="152"/>
      <c r="K25" s="152"/>
      <c r="L25" s="152"/>
      <c r="M25" s="152"/>
      <c r="N25" s="152"/>
      <c r="O25" s="152"/>
      <c r="P25" s="152"/>
      <c r="Q25" s="152"/>
      <c r="R25" s="152"/>
      <c r="S25" s="152"/>
      <c r="T25" s="152"/>
      <c r="U25" s="152"/>
      <c r="V25" s="152"/>
      <c r="W25" s="152"/>
      <c r="X25" s="152"/>
      <c r="Y25" s="152"/>
      <c r="Z25" s="152"/>
    </row>
    <row r="26" ht="32.1" customHeight="1" spans="1:26">
      <c r="A26" s="176">
        <v>16</v>
      </c>
      <c r="B26" s="176" t="s">
        <v>134</v>
      </c>
      <c r="C26" s="176" t="s">
        <v>135</v>
      </c>
      <c r="D26" s="152" t="s">
        <v>156</v>
      </c>
      <c r="E26" s="152" t="s">
        <v>157</v>
      </c>
      <c r="F26" s="152" t="s">
        <v>158</v>
      </c>
      <c r="G26" s="152" t="s">
        <v>159</v>
      </c>
      <c r="H26" s="152" t="s">
        <v>160</v>
      </c>
      <c r="I26" s="152"/>
      <c r="J26" s="152"/>
      <c r="K26" s="152"/>
      <c r="L26" s="152"/>
      <c r="M26" s="152"/>
      <c r="N26" s="152"/>
      <c r="O26" s="152"/>
      <c r="P26" s="152"/>
      <c r="Q26" s="152"/>
      <c r="R26" s="152"/>
      <c r="S26" s="152"/>
      <c r="T26" s="152"/>
      <c r="U26" s="152"/>
      <c r="V26" s="152"/>
      <c r="W26" s="152"/>
      <c r="X26" s="152"/>
      <c r="Y26" s="152"/>
      <c r="Z26" s="152"/>
    </row>
    <row r="27" ht="32.1" customHeight="1" spans="1:26">
      <c r="A27" s="176">
        <v>17</v>
      </c>
      <c r="B27" s="176" t="s">
        <v>134</v>
      </c>
      <c r="C27" s="176" t="s">
        <v>135</v>
      </c>
      <c r="D27" s="152" t="s">
        <v>161</v>
      </c>
      <c r="E27" s="152" t="s">
        <v>162</v>
      </c>
      <c r="F27" s="152" t="s">
        <v>163</v>
      </c>
      <c r="G27" s="152" t="s">
        <v>164</v>
      </c>
      <c r="H27" s="152" t="s">
        <v>165</v>
      </c>
      <c r="I27" s="152"/>
      <c r="J27" s="152"/>
      <c r="K27" s="152"/>
      <c r="L27" s="152"/>
      <c r="M27" s="152"/>
      <c r="N27" s="152"/>
      <c r="O27" s="152"/>
      <c r="P27" s="152"/>
      <c r="Q27" s="152"/>
      <c r="R27" s="152"/>
      <c r="S27" s="152"/>
      <c r="T27" s="152"/>
      <c r="U27" s="152"/>
      <c r="V27" s="152"/>
      <c r="W27" s="152"/>
      <c r="X27" s="152"/>
      <c r="Y27" s="152"/>
      <c r="Z27" s="152"/>
    </row>
    <row r="28" ht="32.1" customHeight="1" spans="1:26">
      <c r="A28" s="176">
        <v>18</v>
      </c>
      <c r="B28" s="176" t="s">
        <v>134</v>
      </c>
      <c r="C28" s="176" t="s">
        <v>135</v>
      </c>
      <c r="D28" s="152" t="s">
        <v>166</v>
      </c>
      <c r="E28" s="152" t="s">
        <v>167</v>
      </c>
      <c r="F28" s="152" t="s">
        <v>168</v>
      </c>
      <c r="G28" s="152" t="s">
        <v>169</v>
      </c>
      <c r="H28" s="152" t="s">
        <v>170</v>
      </c>
      <c r="I28" s="152"/>
      <c r="J28" s="152"/>
      <c r="K28" s="152"/>
      <c r="L28" s="152"/>
      <c r="M28" s="152"/>
      <c r="N28" s="152"/>
      <c r="O28" s="152"/>
      <c r="P28" s="152"/>
      <c r="Q28" s="152"/>
      <c r="R28" s="152"/>
      <c r="S28" s="152"/>
      <c r="T28" s="152"/>
      <c r="U28" s="152"/>
      <c r="V28" s="152"/>
      <c r="W28" s="152"/>
      <c r="X28" s="152"/>
      <c r="Y28" s="152"/>
      <c r="Z28" s="152"/>
    </row>
    <row r="29" ht="32.1" customHeight="1" spans="1:26">
      <c r="A29" s="176">
        <v>19</v>
      </c>
      <c r="B29" s="176" t="s">
        <v>134</v>
      </c>
      <c r="C29" s="176" t="s">
        <v>135</v>
      </c>
      <c r="D29" s="152" t="s">
        <v>171</v>
      </c>
      <c r="E29" s="152" t="s">
        <v>172</v>
      </c>
      <c r="F29" s="152" t="s">
        <v>173</v>
      </c>
      <c r="G29" s="152" t="s">
        <v>174</v>
      </c>
      <c r="H29" s="152" t="s">
        <v>175</v>
      </c>
      <c r="I29" s="152"/>
      <c r="J29" s="152"/>
      <c r="K29" s="152"/>
      <c r="L29" s="152"/>
      <c r="M29" s="152"/>
      <c r="N29" s="152"/>
      <c r="O29" s="152"/>
      <c r="P29" s="152"/>
      <c r="Q29" s="152"/>
      <c r="R29" s="152"/>
      <c r="S29" s="152"/>
      <c r="T29" s="152"/>
      <c r="U29" s="152"/>
      <c r="V29" s="152"/>
      <c r="W29" s="152"/>
      <c r="X29" s="152"/>
      <c r="Y29" s="152"/>
      <c r="Z29" s="152"/>
    </row>
    <row r="30" ht="32.1" customHeight="1" spans="1:26">
      <c r="A30" s="176">
        <v>20</v>
      </c>
      <c r="B30" s="176" t="s">
        <v>134</v>
      </c>
      <c r="C30" s="176" t="s">
        <v>135</v>
      </c>
      <c r="D30" s="152" t="s">
        <v>176</v>
      </c>
      <c r="E30" s="152" t="s">
        <v>177</v>
      </c>
      <c r="F30" s="152" t="s">
        <v>178</v>
      </c>
      <c r="G30" s="152" t="s">
        <v>179</v>
      </c>
      <c r="H30" s="152" t="s">
        <v>180</v>
      </c>
      <c r="I30" s="152"/>
      <c r="J30" s="152"/>
      <c r="K30" s="152"/>
      <c r="L30" s="152"/>
      <c r="M30" s="152"/>
      <c r="N30" s="152"/>
      <c r="O30" s="152"/>
      <c r="P30" s="152"/>
      <c r="Q30" s="152"/>
      <c r="R30" s="152"/>
      <c r="S30" s="152"/>
      <c r="T30" s="152"/>
      <c r="U30" s="152"/>
      <c r="V30" s="152"/>
      <c r="W30" s="152"/>
      <c r="X30" s="152"/>
      <c r="Y30" s="152"/>
      <c r="Z30" s="152"/>
    </row>
    <row r="31" ht="32.1" customHeight="1" spans="1:26">
      <c r="A31" s="176">
        <v>21</v>
      </c>
      <c r="B31" s="176" t="s">
        <v>134</v>
      </c>
      <c r="C31" s="176" t="s">
        <v>135</v>
      </c>
      <c r="D31" s="152" t="s">
        <v>181</v>
      </c>
      <c r="E31" s="152" t="s">
        <v>182</v>
      </c>
      <c r="F31" s="152" t="s">
        <v>183</v>
      </c>
      <c r="G31" s="152" t="s">
        <v>184</v>
      </c>
      <c r="H31" s="152" t="s">
        <v>185</v>
      </c>
      <c r="I31" s="152"/>
      <c r="J31" s="152"/>
      <c r="K31" s="152"/>
      <c r="L31" s="152"/>
      <c r="M31" s="152"/>
      <c r="N31" s="152"/>
      <c r="O31" s="152"/>
      <c r="P31" s="152"/>
      <c r="Q31" s="152"/>
      <c r="R31" s="152"/>
      <c r="S31" s="152"/>
      <c r="T31" s="152"/>
      <c r="U31" s="152"/>
      <c r="V31" s="152"/>
      <c r="W31" s="152"/>
      <c r="X31" s="152"/>
      <c r="Y31" s="152"/>
      <c r="Z31" s="152"/>
    </row>
    <row r="32" ht="32.1" customHeight="1" spans="1:26">
      <c r="A32" s="176">
        <v>22</v>
      </c>
      <c r="B32" s="176" t="s">
        <v>134</v>
      </c>
      <c r="C32" s="176" t="s">
        <v>135</v>
      </c>
      <c r="D32" s="152" t="s">
        <v>186</v>
      </c>
      <c r="E32" s="152" t="s">
        <v>187</v>
      </c>
      <c r="F32" s="152" t="s">
        <v>188</v>
      </c>
      <c r="G32" s="152" t="s">
        <v>189</v>
      </c>
      <c r="H32" s="152" t="s">
        <v>190</v>
      </c>
      <c r="I32" s="152"/>
      <c r="J32" s="152"/>
      <c r="K32" s="152"/>
      <c r="L32" s="152"/>
      <c r="M32" s="152"/>
      <c r="N32" s="152"/>
      <c r="O32" s="152"/>
      <c r="P32" s="152"/>
      <c r="Q32" s="152"/>
      <c r="R32" s="152"/>
      <c r="S32" s="152"/>
      <c r="T32" s="152"/>
      <c r="U32" s="152"/>
      <c r="V32" s="152"/>
      <c r="W32" s="152"/>
      <c r="X32" s="152"/>
      <c r="Y32" s="152"/>
      <c r="Z32" s="152"/>
    </row>
    <row r="33" ht="45" customHeight="1" spans="1:26">
      <c r="A33" s="176">
        <v>23</v>
      </c>
      <c r="B33" s="176" t="s">
        <v>134</v>
      </c>
      <c r="C33" s="176" t="s">
        <v>135</v>
      </c>
      <c r="D33" s="152" t="s">
        <v>191</v>
      </c>
      <c r="E33" s="152" t="s">
        <v>192</v>
      </c>
      <c r="F33" s="152" t="s">
        <v>193</v>
      </c>
      <c r="G33" s="152" t="s">
        <v>194</v>
      </c>
      <c r="H33" s="152" t="s">
        <v>195</v>
      </c>
      <c r="I33" s="152"/>
      <c r="J33" s="152"/>
      <c r="K33" s="152"/>
      <c r="L33" s="152"/>
      <c r="M33" s="152"/>
      <c r="N33" s="152"/>
      <c r="O33" s="152"/>
      <c r="P33" s="152"/>
      <c r="Q33" s="152"/>
      <c r="R33" s="152"/>
      <c r="S33" s="152"/>
      <c r="T33" s="152"/>
      <c r="U33" s="152"/>
      <c r="V33" s="152"/>
      <c r="W33" s="152"/>
      <c r="X33" s="152"/>
      <c r="Y33" s="152"/>
      <c r="Z33" s="152"/>
    </row>
    <row r="34" ht="32.1" customHeight="1" spans="1:26">
      <c r="A34" s="176">
        <v>24</v>
      </c>
      <c r="B34" s="176" t="s">
        <v>134</v>
      </c>
      <c r="C34" s="176" t="s">
        <v>135</v>
      </c>
      <c r="D34" s="152" t="s">
        <v>196</v>
      </c>
      <c r="E34" s="152" t="s">
        <v>197</v>
      </c>
      <c r="F34" s="152" t="s">
        <v>198</v>
      </c>
      <c r="G34" s="152" t="s">
        <v>199</v>
      </c>
      <c r="H34" s="152" t="s">
        <v>200</v>
      </c>
      <c r="I34" s="152"/>
      <c r="J34" s="152"/>
      <c r="K34" s="152"/>
      <c r="L34" s="152"/>
      <c r="M34" s="152"/>
      <c r="N34" s="152"/>
      <c r="O34" s="152"/>
      <c r="P34" s="152"/>
      <c r="Q34" s="152"/>
      <c r="R34" s="152"/>
      <c r="S34" s="152"/>
      <c r="T34" s="152"/>
      <c r="U34" s="152"/>
      <c r="V34" s="152"/>
      <c r="W34" s="152"/>
      <c r="X34" s="152"/>
      <c r="Y34" s="152"/>
      <c r="Z34" s="152"/>
    </row>
    <row r="35" ht="45" customHeight="1" spans="1:26">
      <c r="A35" s="176">
        <v>25</v>
      </c>
      <c r="B35" s="176" t="s">
        <v>134</v>
      </c>
      <c r="C35" s="176" t="s">
        <v>135</v>
      </c>
      <c r="D35" s="152" t="s">
        <v>201</v>
      </c>
      <c r="E35" s="152" t="s">
        <v>202</v>
      </c>
      <c r="F35" s="152" t="s">
        <v>203</v>
      </c>
      <c r="G35" s="152" t="s">
        <v>204</v>
      </c>
      <c r="H35" s="152" t="s">
        <v>205</v>
      </c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</row>
    <row r="36" ht="32.1" customHeight="1" spans="1:26">
      <c r="A36" s="176">
        <v>26</v>
      </c>
      <c r="B36" s="176" t="s">
        <v>134</v>
      </c>
      <c r="C36" s="176" t="s">
        <v>135</v>
      </c>
      <c r="D36" s="152" t="s">
        <v>206</v>
      </c>
      <c r="E36" s="152" t="s">
        <v>207</v>
      </c>
      <c r="F36" s="152" t="s">
        <v>208</v>
      </c>
      <c r="G36" s="152" t="s">
        <v>209</v>
      </c>
      <c r="H36" s="152" t="s">
        <v>210</v>
      </c>
      <c r="I36" s="152"/>
      <c r="J36" s="152"/>
      <c r="K36" s="152"/>
      <c r="L36" s="152"/>
      <c r="M36" s="152"/>
      <c r="N36" s="152"/>
      <c r="O36" s="152"/>
      <c r="P36" s="152"/>
      <c r="Q36" s="152"/>
      <c r="R36" s="152"/>
      <c r="S36" s="152"/>
      <c r="T36" s="152"/>
      <c r="U36" s="152"/>
      <c r="V36" s="152"/>
      <c r="W36" s="152"/>
      <c r="X36" s="152"/>
      <c r="Y36" s="152"/>
      <c r="Z36" s="152"/>
    </row>
    <row r="37" ht="45" customHeight="1" spans="1:26">
      <c r="A37" s="176">
        <v>27</v>
      </c>
      <c r="B37" s="176" t="s">
        <v>134</v>
      </c>
      <c r="C37" s="176" t="s">
        <v>135</v>
      </c>
      <c r="D37" s="152" t="s">
        <v>211</v>
      </c>
      <c r="E37" s="152" t="s">
        <v>212</v>
      </c>
      <c r="F37" s="152" t="s">
        <v>213</v>
      </c>
      <c r="G37" s="152" t="s">
        <v>214</v>
      </c>
      <c r="H37" s="152" t="s">
        <v>215</v>
      </c>
      <c r="I37" s="152"/>
      <c r="J37" s="152"/>
      <c r="K37" s="152"/>
      <c r="L37" s="152"/>
      <c r="M37" s="152"/>
      <c r="N37" s="152"/>
      <c r="O37" s="152"/>
      <c r="P37" s="152"/>
      <c r="Q37" s="152"/>
      <c r="R37" s="152"/>
      <c r="S37" s="152"/>
      <c r="T37" s="152"/>
      <c r="U37" s="152"/>
      <c r="V37" s="152"/>
      <c r="W37" s="152"/>
      <c r="X37" s="152"/>
      <c r="Y37" s="152"/>
      <c r="Z37" s="152"/>
    </row>
    <row r="38" ht="32.1" customHeight="1" spans="1:26">
      <c r="A38" s="176">
        <v>28</v>
      </c>
      <c r="B38" s="176" t="s">
        <v>134</v>
      </c>
      <c r="C38" s="176" t="s">
        <v>135</v>
      </c>
      <c r="D38" s="152" t="s">
        <v>216</v>
      </c>
      <c r="E38" s="152" t="s">
        <v>217</v>
      </c>
      <c r="F38" s="152" t="s">
        <v>218</v>
      </c>
      <c r="G38" s="152" t="s">
        <v>219</v>
      </c>
      <c r="H38" s="152" t="s">
        <v>220</v>
      </c>
      <c r="I38" s="152"/>
      <c r="J38" s="152"/>
      <c r="K38" s="152"/>
      <c r="L38" s="152"/>
      <c r="M38" s="152"/>
      <c r="N38" s="152"/>
      <c r="O38" s="152"/>
      <c r="P38" s="152"/>
      <c r="Q38" s="152"/>
      <c r="R38" s="152"/>
      <c r="S38" s="152"/>
      <c r="T38" s="152"/>
      <c r="U38" s="152"/>
      <c r="V38" s="152"/>
      <c r="W38" s="152"/>
      <c r="X38" s="152"/>
      <c r="Y38" s="152"/>
      <c r="Z38" s="152"/>
    </row>
    <row r="39" ht="32.1" customHeight="1" spans="1:26">
      <c r="A39" s="176">
        <v>29</v>
      </c>
      <c r="B39" s="176" t="s">
        <v>134</v>
      </c>
      <c r="C39" s="176" t="s">
        <v>135</v>
      </c>
      <c r="D39" s="152" t="s">
        <v>221</v>
      </c>
      <c r="E39" s="152" t="s">
        <v>222</v>
      </c>
      <c r="F39" s="152" t="s">
        <v>223</v>
      </c>
      <c r="G39" s="152" t="s">
        <v>224</v>
      </c>
      <c r="H39" s="152" t="s">
        <v>225</v>
      </c>
      <c r="I39" s="152"/>
      <c r="J39" s="152"/>
      <c r="K39" s="152"/>
      <c r="L39" s="152"/>
      <c r="M39" s="152"/>
      <c r="N39" s="152"/>
      <c r="O39" s="152"/>
      <c r="P39" s="152"/>
      <c r="Q39" s="152"/>
      <c r="R39" s="152"/>
      <c r="S39" s="152"/>
      <c r="T39" s="152"/>
      <c r="U39" s="152"/>
      <c r="V39" s="152"/>
      <c r="W39" s="152"/>
      <c r="X39" s="152"/>
      <c r="Y39" s="152"/>
      <c r="Z39" s="152"/>
    </row>
    <row r="40" ht="32.1" customHeight="1" spans="1:26">
      <c r="A40" s="176">
        <v>30</v>
      </c>
      <c r="B40" s="176" t="s">
        <v>134</v>
      </c>
      <c r="C40" s="176" t="s">
        <v>135</v>
      </c>
      <c r="D40" s="152" t="s">
        <v>226</v>
      </c>
      <c r="E40" s="152" t="s">
        <v>227</v>
      </c>
      <c r="F40" s="152" t="s">
        <v>228</v>
      </c>
      <c r="G40" s="152" t="s">
        <v>229</v>
      </c>
      <c r="H40" s="152" t="s">
        <v>230</v>
      </c>
      <c r="I40" s="152"/>
      <c r="J40" s="152"/>
      <c r="K40" s="152"/>
      <c r="L40" s="152"/>
      <c r="M40" s="152"/>
      <c r="N40" s="152"/>
      <c r="O40" s="152"/>
      <c r="P40" s="152"/>
      <c r="Q40" s="152"/>
      <c r="R40" s="152"/>
      <c r="S40" s="152"/>
      <c r="T40" s="152"/>
      <c r="U40" s="152"/>
      <c r="V40" s="152"/>
      <c r="W40" s="152"/>
      <c r="X40" s="152"/>
      <c r="Y40" s="152"/>
      <c r="Z40" s="152"/>
    </row>
    <row r="41" ht="32.1" customHeight="1" spans="1:26">
      <c r="A41" s="176">
        <v>31</v>
      </c>
      <c r="B41" s="176" t="s">
        <v>134</v>
      </c>
      <c r="C41" s="176" t="s">
        <v>135</v>
      </c>
      <c r="D41" s="152" t="s">
        <v>231</v>
      </c>
      <c r="E41" s="152" t="s">
        <v>232</v>
      </c>
      <c r="F41" s="152" t="s">
        <v>233</v>
      </c>
      <c r="G41" s="152" t="s">
        <v>234</v>
      </c>
      <c r="H41" s="152" t="s">
        <v>235</v>
      </c>
      <c r="I41" s="152"/>
      <c r="J41" s="152"/>
      <c r="K41" s="152"/>
      <c r="L41" s="152"/>
      <c r="M41" s="152"/>
      <c r="N41" s="152"/>
      <c r="O41" s="152"/>
      <c r="P41" s="152"/>
      <c r="Q41" s="152"/>
      <c r="R41" s="152"/>
      <c r="S41" s="152"/>
      <c r="T41" s="152"/>
      <c r="U41" s="152"/>
      <c r="V41" s="152"/>
      <c r="W41" s="152"/>
      <c r="X41" s="152"/>
      <c r="Y41" s="152"/>
      <c r="Z41" s="152"/>
    </row>
    <row r="42" ht="32.1" customHeight="1" spans="1:26">
      <c r="A42" s="176">
        <v>32</v>
      </c>
      <c r="B42" s="176" t="s">
        <v>134</v>
      </c>
      <c r="C42" s="176" t="s">
        <v>135</v>
      </c>
      <c r="D42" s="152" t="s">
        <v>236</v>
      </c>
      <c r="E42" s="152" t="s">
        <v>237</v>
      </c>
      <c r="F42" s="152" t="s">
        <v>238</v>
      </c>
      <c r="G42" s="152" t="s">
        <v>239</v>
      </c>
      <c r="H42" s="152" t="s">
        <v>240</v>
      </c>
      <c r="I42" s="152"/>
      <c r="J42" s="152"/>
      <c r="K42" s="152"/>
      <c r="L42" s="152"/>
      <c r="M42" s="152"/>
      <c r="N42" s="152"/>
      <c r="O42" s="152"/>
      <c r="P42" s="152"/>
      <c r="Q42" s="152"/>
      <c r="R42" s="152"/>
      <c r="S42" s="152"/>
      <c r="T42" s="152"/>
      <c r="U42" s="152"/>
      <c r="V42" s="152"/>
      <c r="W42" s="152"/>
      <c r="X42" s="152"/>
      <c r="Y42" s="152"/>
      <c r="Z42" s="152"/>
    </row>
    <row r="43" ht="32.1" customHeight="1" spans="1:26">
      <c r="A43" s="176">
        <v>33</v>
      </c>
      <c r="B43" s="176" t="s">
        <v>134</v>
      </c>
      <c r="C43" s="176" t="s">
        <v>135</v>
      </c>
      <c r="D43" s="152" t="s">
        <v>241</v>
      </c>
      <c r="E43" s="152" t="s">
        <v>242</v>
      </c>
      <c r="F43" s="152" t="s">
        <v>243</v>
      </c>
      <c r="G43" s="152" t="s">
        <v>244</v>
      </c>
      <c r="H43" s="152" t="s">
        <v>245</v>
      </c>
      <c r="I43" s="152"/>
      <c r="J43" s="152"/>
      <c r="K43" s="152"/>
      <c r="L43" s="152"/>
      <c r="M43" s="152"/>
      <c r="N43" s="152"/>
      <c r="O43" s="152"/>
      <c r="P43" s="152"/>
      <c r="Q43" s="152"/>
      <c r="R43" s="152"/>
      <c r="S43" s="152"/>
      <c r="T43" s="152"/>
      <c r="U43" s="152"/>
      <c r="V43" s="152"/>
      <c r="W43" s="152"/>
      <c r="X43" s="152"/>
      <c r="Y43" s="152"/>
      <c r="Z43" s="152"/>
    </row>
    <row r="44" ht="32.1" customHeight="1" spans="1:26">
      <c r="A44" s="176">
        <v>34</v>
      </c>
      <c r="B44" s="176" t="s">
        <v>134</v>
      </c>
      <c r="C44" s="176" t="s">
        <v>135</v>
      </c>
      <c r="D44" s="152" t="s">
        <v>246</v>
      </c>
      <c r="E44" s="152" t="s">
        <v>247</v>
      </c>
      <c r="F44" s="152" t="s">
        <v>248</v>
      </c>
      <c r="G44" s="152" t="s">
        <v>249</v>
      </c>
      <c r="H44" s="152" t="s">
        <v>250</v>
      </c>
      <c r="I44" s="152"/>
      <c r="J44" s="152"/>
      <c r="K44" s="152"/>
      <c r="L44" s="152"/>
      <c r="M44" s="152"/>
      <c r="N44" s="152"/>
      <c r="O44" s="152"/>
      <c r="P44" s="152"/>
      <c r="Q44" s="152"/>
      <c r="R44" s="152"/>
      <c r="S44" s="152"/>
      <c r="T44" s="152"/>
      <c r="U44" s="152"/>
      <c r="V44" s="152"/>
      <c r="W44" s="152"/>
      <c r="X44" s="152"/>
      <c r="Y44" s="152"/>
      <c r="Z44" s="152"/>
    </row>
    <row r="45" ht="32.1" customHeight="1" spans="1:26">
      <c r="A45" s="176">
        <v>35</v>
      </c>
      <c r="B45" s="176" t="s">
        <v>134</v>
      </c>
      <c r="C45" s="176" t="s">
        <v>135</v>
      </c>
      <c r="D45" s="152" t="s">
        <v>251</v>
      </c>
      <c r="E45" s="152" t="s">
        <v>252</v>
      </c>
      <c r="F45" s="152" t="s">
        <v>253</v>
      </c>
      <c r="G45" s="152" t="s">
        <v>254</v>
      </c>
      <c r="H45" s="152" t="s">
        <v>255</v>
      </c>
      <c r="I45" s="152"/>
      <c r="J45" s="152"/>
      <c r="K45" s="152"/>
      <c r="L45" s="152"/>
      <c r="M45" s="152"/>
      <c r="N45" s="152"/>
      <c r="O45" s="152"/>
      <c r="P45" s="152"/>
      <c r="Q45" s="152"/>
      <c r="R45" s="152"/>
      <c r="S45" s="152"/>
      <c r="T45" s="152"/>
      <c r="U45" s="152"/>
      <c r="V45" s="152"/>
      <c r="W45" s="152"/>
      <c r="X45" s="152"/>
      <c r="Y45" s="152"/>
      <c r="Z45" s="152"/>
    </row>
    <row r="46" ht="32.1" customHeight="1" spans="1:26">
      <c r="A46" s="176">
        <v>36</v>
      </c>
      <c r="B46" s="176" t="s">
        <v>256</v>
      </c>
      <c r="C46" s="176" t="s">
        <v>257</v>
      </c>
      <c r="D46" s="152" t="s">
        <v>258</v>
      </c>
      <c r="E46" s="152" t="s">
        <v>259</v>
      </c>
      <c r="F46" s="152" t="s">
        <v>260</v>
      </c>
      <c r="G46" s="152" t="s">
        <v>261</v>
      </c>
      <c r="H46" s="152" t="s">
        <v>262</v>
      </c>
      <c r="I46" s="152"/>
      <c r="J46" s="152"/>
      <c r="K46" s="152"/>
      <c r="L46" s="152"/>
      <c r="M46" s="152"/>
      <c r="N46" s="152"/>
      <c r="O46" s="152"/>
      <c r="P46" s="152"/>
      <c r="Q46" s="152"/>
      <c r="R46" s="152"/>
      <c r="S46" s="152"/>
      <c r="T46" s="152"/>
      <c r="U46" s="152"/>
      <c r="V46" s="152"/>
      <c r="W46" s="152"/>
      <c r="X46" s="152"/>
      <c r="Y46" s="152"/>
      <c r="Z46" s="152"/>
    </row>
    <row r="47" ht="32.1" customHeight="1" spans="1:26">
      <c r="A47" s="176">
        <v>37</v>
      </c>
      <c r="B47" s="176" t="s">
        <v>256</v>
      </c>
      <c r="C47" s="176" t="s">
        <v>257</v>
      </c>
      <c r="D47" s="152" t="s">
        <v>263</v>
      </c>
      <c r="E47" s="152" t="s">
        <v>264</v>
      </c>
      <c r="F47" s="152" t="s">
        <v>265</v>
      </c>
      <c r="G47" s="152" t="s">
        <v>266</v>
      </c>
      <c r="H47" s="152" t="s">
        <v>267</v>
      </c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</row>
    <row r="48" ht="32.1" customHeight="1" spans="1:26">
      <c r="A48" s="176">
        <v>38</v>
      </c>
      <c r="B48" s="176" t="s">
        <v>256</v>
      </c>
      <c r="C48" s="176" t="s">
        <v>257</v>
      </c>
      <c r="D48" s="152" t="s">
        <v>268</v>
      </c>
      <c r="E48" s="152" t="s">
        <v>269</v>
      </c>
      <c r="F48" s="152" t="s">
        <v>270</v>
      </c>
      <c r="G48" s="152" t="s">
        <v>271</v>
      </c>
      <c r="H48" s="152" t="s">
        <v>272</v>
      </c>
      <c r="I48" s="152"/>
      <c r="J48" s="152"/>
      <c r="K48" s="152"/>
      <c r="L48" s="152"/>
      <c r="M48" s="152"/>
      <c r="N48" s="152"/>
      <c r="O48" s="152"/>
      <c r="P48" s="152"/>
      <c r="Q48" s="152"/>
      <c r="R48" s="152"/>
      <c r="S48" s="152"/>
      <c r="T48" s="152"/>
      <c r="U48" s="152"/>
      <c r="V48" s="152"/>
      <c r="W48" s="152"/>
      <c r="X48" s="152"/>
      <c r="Y48" s="152"/>
      <c r="Z48" s="152"/>
    </row>
    <row r="49" ht="32.1" customHeight="1" spans="1:26">
      <c r="A49" s="176">
        <v>39</v>
      </c>
      <c r="B49" s="176" t="s">
        <v>256</v>
      </c>
      <c r="C49" s="176" t="s">
        <v>257</v>
      </c>
      <c r="D49" s="152" t="s">
        <v>273</v>
      </c>
      <c r="E49" s="152" t="s">
        <v>274</v>
      </c>
      <c r="F49" s="152" t="s">
        <v>275</v>
      </c>
      <c r="G49" s="152" t="s">
        <v>276</v>
      </c>
      <c r="H49" s="152" t="s">
        <v>277</v>
      </c>
      <c r="I49" s="152"/>
      <c r="J49" s="152"/>
      <c r="K49" s="152"/>
      <c r="L49" s="152"/>
      <c r="M49" s="152"/>
      <c r="N49" s="152"/>
      <c r="O49" s="152"/>
      <c r="P49" s="152"/>
      <c r="Q49" s="152"/>
      <c r="R49" s="152"/>
      <c r="S49" s="152"/>
      <c r="T49" s="152"/>
      <c r="U49" s="152"/>
      <c r="V49" s="152"/>
      <c r="W49" s="152"/>
      <c r="X49" s="152"/>
      <c r="Y49" s="152"/>
      <c r="Z49" s="152"/>
    </row>
    <row r="50" ht="32.1" customHeight="1" spans="1:26">
      <c r="A50" s="176">
        <v>40</v>
      </c>
      <c r="B50" s="176" t="s">
        <v>256</v>
      </c>
      <c r="C50" s="176" t="s">
        <v>257</v>
      </c>
      <c r="D50" s="152" t="s">
        <v>278</v>
      </c>
      <c r="E50" s="152" t="s">
        <v>279</v>
      </c>
      <c r="F50" s="152" t="s">
        <v>280</v>
      </c>
      <c r="G50" s="152" t="s">
        <v>281</v>
      </c>
      <c r="H50" s="152" t="s">
        <v>282</v>
      </c>
      <c r="I50" s="152"/>
      <c r="J50" s="152"/>
      <c r="K50" s="152"/>
      <c r="L50" s="152"/>
      <c r="M50" s="152"/>
      <c r="N50" s="152"/>
      <c r="O50" s="152"/>
      <c r="P50" s="152"/>
      <c r="Q50" s="152"/>
      <c r="R50" s="152"/>
      <c r="S50" s="152"/>
      <c r="T50" s="152"/>
      <c r="U50" s="152"/>
      <c r="V50" s="152"/>
      <c r="W50" s="152"/>
      <c r="X50" s="152"/>
      <c r="Y50" s="152"/>
      <c r="Z50" s="152"/>
    </row>
    <row r="51" ht="32.1" customHeight="1" spans="1:26">
      <c r="A51" s="176">
        <v>41</v>
      </c>
      <c r="B51" s="176" t="s">
        <v>256</v>
      </c>
      <c r="C51" s="176" t="s">
        <v>257</v>
      </c>
      <c r="D51" s="152" t="s">
        <v>283</v>
      </c>
      <c r="E51" s="152" t="s">
        <v>284</v>
      </c>
      <c r="F51" s="152" t="s">
        <v>285</v>
      </c>
      <c r="G51" s="152" t="s">
        <v>286</v>
      </c>
      <c r="H51" s="152" t="s">
        <v>287</v>
      </c>
      <c r="I51" s="152"/>
      <c r="J51" s="152"/>
      <c r="K51" s="152"/>
      <c r="L51" s="152"/>
      <c r="M51" s="152"/>
      <c r="N51" s="152"/>
      <c r="O51" s="152"/>
      <c r="P51" s="152"/>
      <c r="Q51" s="152"/>
      <c r="R51" s="152"/>
      <c r="S51" s="152"/>
      <c r="T51" s="152"/>
      <c r="U51" s="152"/>
      <c r="V51" s="152"/>
      <c r="W51" s="152"/>
      <c r="X51" s="152"/>
      <c r="Y51" s="152"/>
      <c r="Z51" s="152"/>
    </row>
    <row r="52" ht="45" customHeight="1" spans="1:26">
      <c r="A52" s="176">
        <v>42</v>
      </c>
      <c r="B52" s="176" t="s">
        <v>256</v>
      </c>
      <c r="C52" s="176" t="s">
        <v>257</v>
      </c>
      <c r="D52" s="152" t="s">
        <v>288</v>
      </c>
      <c r="E52" s="152" t="s">
        <v>289</v>
      </c>
      <c r="F52" s="152" t="s">
        <v>290</v>
      </c>
      <c r="G52" s="152" t="s">
        <v>291</v>
      </c>
      <c r="H52" s="152" t="s">
        <v>292</v>
      </c>
      <c r="I52" s="152"/>
      <c r="J52" s="152"/>
      <c r="K52" s="152"/>
      <c r="L52" s="152"/>
      <c r="M52" s="152"/>
      <c r="N52" s="152"/>
      <c r="O52" s="152"/>
      <c r="P52" s="152"/>
      <c r="Q52" s="152"/>
      <c r="R52" s="152"/>
      <c r="S52" s="152"/>
      <c r="T52" s="152"/>
      <c r="U52" s="152"/>
      <c r="V52" s="152"/>
      <c r="W52" s="152"/>
      <c r="X52" s="152"/>
      <c r="Y52" s="152"/>
      <c r="Z52" s="152"/>
    </row>
    <row r="53" ht="32.1" customHeight="1" spans="1:26">
      <c r="A53" s="176">
        <v>43</v>
      </c>
      <c r="B53" s="176" t="s">
        <v>256</v>
      </c>
      <c r="C53" s="176" t="s">
        <v>257</v>
      </c>
      <c r="D53" s="152" t="s">
        <v>293</v>
      </c>
      <c r="E53" s="152" t="s">
        <v>294</v>
      </c>
      <c r="F53" s="152" t="s">
        <v>295</v>
      </c>
      <c r="G53" s="152" t="s">
        <v>296</v>
      </c>
      <c r="H53" s="152" t="s">
        <v>297</v>
      </c>
      <c r="I53" s="152"/>
      <c r="J53" s="152"/>
      <c r="K53" s="152"/>
      <c r="L53" s="152"/>
      <c r="M53" s="152"/>
      <c r="N53" s="152"/>
      <c r="O53" s="152"/>
      <c r="P53" s="152"/>
      <c r="Q53" s="152"/>
      <c r="R53" s="152"/>
      <c r="S53" s="152"/>
      <c r="T53" s="152"/>
      <c r="U53" s="152"/>
      <c r="V53" s="152"/>
      <c r="W53" s="152"/>
      <c r="X53" s="152"/>
      <c r="Y53" s="152"/>
      <c r="Z53" s="152"/>
    </row>
    <row r="54" ht="32.1" customHeight="1" spans="1:26">
      <c r="A54" s="176">
        <v>44</v>
      </c>
      <c r="B54" s="176" t="s">
        <v>256</v>
      </c>
      <c r="C54" s="176" t="s">
        <v>257</v>
      </c>
      <c r="D54" s="152" t="s">
        <v>298</v>
      </c>
      <c r="E54" s="152" t="s">
        <v>299</v>
      </c>
      <c r="F54" s="152" t="s">
        <v>300</v>
      </c>
      <c r="G54" s="152" t="s">
        <v>301</v>
      </c>
      <c r="H54" s="152" t="s">
        <v>302</v>
      </c>
      <c r="I54" s="152"/>
      <c r="J54" s="152"/>
      <c r="K54" s="152"/>
      <c r="L54" s="152"/>
      <c r="M54" s="152"/>
      <c r="N54" s="152"/>
      <c r="O54" s="152"/>
      <c r="P54" s="152"/>
      <c r="Q54" s="152"/>
      <c r="R54" s="152"/>
      <c r="S54" s="152"/>
      <c r="T54" s="152"/>
      <c r="U54" s="152"/>
      <c r="V54" s="152"/>
      <c r="W54" s="152"/>
      <c r="X54" s="152"/>
      <c r="Y54" s="152"/>
      <c r="Z54" s="152"/>
    </row>
    <row r="55" ht="32.1" customHeight="1" spans="1:26">
      <c r="A55" s="176">
        <v>45</v>
      </c>
      <c r="B55" s="176" t="s">
        <v>256</v>
      </c>
      <c r="C55" s="176" t="s">
        <v>257</v>
      </c>
      <c r="D55" s="152" t="s">
        <v>303</v>
      </c>
      <c r="E55" s="152" t="s">
        <v>304</v>
      </c>
      <c r="F55" s="152" t="s">
        <v>305</v>
      </c>
      <c r="G55" s="152" t="s">
        <v>306</v>
      </c>
      <c r="H55" s="152" t="s">
        <v>307</v>
      </c>
      <c r="I55" s="152"/>
      <c r="J55" s="152"/>
      <c r="K55" s="152"/>
      <c r="L55" s="152"/>
      <c r="M55" s="152"/>
      <c r="N55" s="152"/>
      <c r="O55" s="152"/>
      <c r="P55" s="152"/>
      <c r="Q55" s="152"/>
      <c r="R55" s="152"/>
      <c r="S55" s="152"/>
      <c r="T55" s="152"/>
      <c r="U55" s="152"/>
      <c r="V55" s="152"/>
      <c r="W55" s="152"/>
      <c r="X55" s="152"/>
      <c r="Y55" s="152"/>
      <c r="Z55" s="152"/>
    </row>
    <row r="56" ht="32.1" customHeight="1" spans="1:26">
      <c r="A56" s="176">
        <v>46</v>
      </c>
      <c r="B56" s="176" t="s">
        <v>256</v>
      </c>
      <c r="C56" s="176" t="s">
        <v>257</v>
      </c>
      <c r="D56" s="152" t="s">
        <v>308</v>
      </c>
      <c r="E56" s="152" t="s">
        <v>309</v>
      </c>
      <c r="F56" s="152" t="s">
        <v>310</v>
      </c>
      <c r="G56" s="152" t="s">
        <v>311</v>
      </c>
      <c r="H56" s="152" t="s">
        <v>312</v>
      </c>
      <c r="I56" s="152"/>
      <c r="J56" s="152"/>
      <c r="K56" s="152"/>
      <c r="L56" s="152"/>
      <c r="M56" s="152"/>
      <c r="N56" s="152"/>
      <c r="O56" s="152"/>
      <c r="P56" s="152"/>
      <c r="Q56" s="152"/>
      <c r="R56" s="152"/>
      <c r="S56" s="152"/>
      <c r="T56" s="152"/>
      <c r="U56" s="152"/>
      <c r="V56" s="152"/>
      <c r="W56" s="152"/>
      <c r="X56" s="152"/>
      <c r="Y56" s="152"/>
      <c r="Z56" s="152"/>
    </row>
    <row r="57" ht="32.1" customHeight="1" spans="1:26">
      <c r="A57" s="176">
        <v>47</v>
      </c>
      <c r="B57" s="176" t="s">
        <v>256</v>
      </c>
      <c r="C57" s="176" t="s">
        <v>257</v>
      </c>
      <c r="D57" s="152" t="s">
        <v>313</v>
      </c>
      <c r="E57" s="152" t="s">
        <v>314</v>
      </c>
      <c r="F57" s="152" t="s">
        <v>315</v>
      </c>
      <c r="G57" s="152" t="s">
        <v>316</v>
      </c>
      <c r="H57" s="152" t="s">
        <v>317</v>
      </c>
      <c r="I57" s="152"/>
      <c r="J57" s="152"/>
      <c r="K57" s="152"/>
      <c r="L57" s="152"/>
      <c r="M57" s="152"/>
      <c r="N57" s="152"/>
      <c r="O57" s="152"/>
      <c r="P57" s="152"/>
      <c r="Q57" s="152"/>
      <c r="R57" s="152"/>
      <c r="S57" s="152"/>
      <c r="T57" s="152"/>
      <c r="U57" s="152"/>
      <c r="V57" s="152"/>
      <c r="W57" s="152"/>
      <c r="X57" s="152"/>
      <c r="Y57" s="152"/>
      <c r="Z57" s="152"/>
    </row>
    <row r="58" ht="32.1" customHeight="1" spans="1:26">
      <c r="A58" s="176">
        <v>48</v>
      </c>
      <c r="B58" s="176" t="s">
        <v>256</v>
      </c>
      <c r="C58" s="176" t="s">
        <v>257</v>
      </c>
      <c r="D58" s="152" t="s">
        <v>318</v>
      </c>
      <c r="E58" s="152" t="s">
        <v>319</v>
      </c>
      <c r="F58" s="152" t="s">
        <v>320</v>
      </c>
      <c r="G58" s="152" t="s">
        <v>321</v>
      </c>
      <c r="H58" s="152" t="s">
        <v>322</v>
      </c>
      <c r="I58" s="152"/>
      <c r="J58" s="152"/>
      <c r="K58" s="152"/>
      <c r="L58" s="152"/>
      <c r="M58" s="152"/>
      <c r="N58" s="152"/>
      <c r="O58" s="152"/>
      <c r="P58" s="152"/>
      <c r="Q58" s="152"/>
      <c r="R58" s="152"/>
      <c r="S58" s="152"/>
      <c r="T58" s="152"/>
      <c r="U58" s="152"/>
      <c r="V58" s="152"/>
      <c r="W58" s="152"/>
      <c r="X58" s="152"/>
      <c r="Y58" s="152"/>
      <c r="Z58" s="152"/>
    </row>
    <row r="59" ht="45" customHeight="1" spans="1:26">
      <c r="A59" s="176">
        <v>49</v>
      </c>
      <c r="B59" s="176" t="s">
        <v>256</v>
      </c>
      <c r="C59" s="176" t="s">
        <v>257</v>
      </c>
      <c r="D59" s="152" t="s">
        <v>323</v>
      </c>
      <c r="E59" s="152" t="s">
        <v>324</v>
      </c>
      <c r="F59" s="152" t="s">
        <v>325</v>
      </c>
      <c r="G59" s="152" t="s">
        <v>326</v>
      </c>
      <c r="H59" s="152" t="s">
        <v>327</v>
      </c>
      <c r="I59" s="152"/>
      <c r="J59" s="152"/>
      <c r="K59" s="152"/>
      <c r="L59" s="152"/>
      <c r="M59" s="152"/>
      <c r="N59" s="152"/>
      <c r="O59" s="152"/>
      <c r="P59" s="152"/>
      <c r="Q59" s="152"/>
      <c r="R59" s="152"/>
      <c r="S59" s="152"/>
      <c r="T59" s="152"/>
      <c r="U59" s="152"/>
      <c r="V59" s="152"/>
      <c r="W59" s="152"/>
      <c r="X59" s="152"/>
      <c r="Y59" s="152"/>
      <c r="Z59" s="152"/>
    </row>
    <row r="60" ht="32.1" customHeight="1" spans="1:26">
      <c r="A60" s="176">
        <v>50</v>
      </c>
      <c r="B60" s="176" t="s">
        <v>134</v>
      </c>
      <c r="C60" s="176" t="s">
        <v>135</v>
      </c>
      <c r="D60" s="152" t="s">
        <v>328</v>
      </c>
      <c r="E60" s="152" t="s">
        <v>329</v>
      </c>
      <c r="F60" s="152" t="s">
        <v>330</v>
      </c>
      <c r="G60" s="152" t="s">
        <v>331</v>
      </c>
      <c r="H60" s="152" t="s">
        <v>332</v>
      </c>
      <c r="I60" s="152"/>
      <c r="J60" s="152"/>
      <c r="K60" s="152"/>
      <c r="L60" s="152"/>
      <c r="M60" s="152"/>
      <c r="N60" s="152"/>
      <c r="O60" s="152"/>
      <c r="P60" s="152"/>
      <c r="Q60" s="152"/>
      <c r="R60" s="152"/>
      <c r="S60" s="152"/>
      <c r="T60" s="152"/>
      <c r="U60" s="152"/>
      <c r="V60" s="152"/>
      <c r="W60" s="152"/>
      <c r="X60" s="152"/>
      <c r="Y60" s="152"/>
      <c r="Z60" s="152"/>
    </row>
    <row r="61" ht="32.1" customHeight="1" spans="1:26">
      <c r="A61" s="176">
        <v>51</v>
      </c>
      <c r="B61" s="176" t="s">
        <v>134</v>
      </c>
      <c r="C61" s="176" t="s">
        <v>135</v>
      </c>
      <c r="D61" s="152" t="s">
        <v>333</v>
      </c>
      <c r="E61" s="152" t="s">
        <v>334</v>
      </c>
      <c r="F61" s="152" t="s">
        <v>335</v>
      </c>
      <c r="G61" s="152" t="s">
        <v>336</v>
      </c>
      <c r="H61" s="152" t="s">
        <v>337</v>
      </c>
      <c r="I61" s="152"/>
      <c r="J61" s="152"/>
      <c r="K61" s="152"/>
      <c r="L61" s="152"/>
      <c r="M61" s="152"/>
      <c r="N61" s="152"/>
      <c r="O61" s="152"/>
      <c r="P61" s="152"/>
      <c r="Q61" s="152"/>
      <c r="R61" s="152"/>
      <c r="S61" s="152"/>
      <c r="T61" s="152"/>
      <c r="U61" s="152"/>
      <c r="V61" s="152"/>
      <c r="W61" s="152"/>
      <c r="X61" s="152"/>
      <c r="Y61" s="152"/>
      <c r="Z61" s="152"/>
    </row>
    <row r="62" ht="19" customHeight="1" spans="1:26">
      <c r="A62" s="176">
        <v>52</v>
      </c>
      <c r="B62" s="176" t="s">
        <v>134</v>
      </c>
      <c r="C62" s="176" t="s">
        <v>135</v>
      </c>
      <c r="D62" s="152" t="s">
        <v>338</v>
      </c>
      <c r="E62" s="152" t="s">
        <v>339</v>
      </c>
      <c r="F62" s="152" t="s">
        <v>340</v>
      </c>
      <c r="G62" s="152" t="s">
        <v>341</v>
      </c>
      <c r="H62" s="152" t="s">
        <v>342</v>
      </c>
      <c r="I62" s="152"/>
      <c r="J62" s="152"/>
      <c r="K62" s="152"/>
      <c r="L62" s="152"/>
      <c r="M62" s="152"/>
      <c r="N62" s="152"/>
      <c r="O62" s="152"/>
      <c r="P62" s="152"/>
      <c r="Q62" s="152"/>
      <c r="R62" s="152"/>
      <c r="S62" s="152"/>
      <c r="T62" s="152"/>
      <c r="U62" s="152"/>
      <c r="V62" s="152"/>
      <c r="W62" s="152"/>
      <c r="X62" s="152"/>
      <c r="Y62" s="152"/>
      <c r="Z62" s="152"/>
    </row>
    <row r="63" ht="32.1" customHeight="1" spans="1:26">
      <c r="A63" s="176">
        <v>53</v>
      </c>
      <c r="B63" s="176" t="s">
        <v>134</v>
      </c>
      <c r="C63" s="176" t="s">
        <v>135</v>
      </c>
      <c r="D63" s="152" t="s">
        <v>343</v>
      </c>
      <c r="E63" s="152" t="s">
        <v>344</v>
      </c>
      <c r="F63" s="152" t="s">
        <v>345</v>
      </c>
      <c r="G63" s="152" t="s">
        <v>346</v>
      </c>
      <c r="H63" s="152" t="s">
        <v>347</v>
      </c>
      <c r="I63" s="152"/>
      <c r="J63" s="152"/>
      <c r="K63" s="152"/>
      <c r="L63" s="152"/>
      <c r="M63" s="152"/>
      <c r="N63" s="152"/>
      <c r="O63" s="152"/>
      <c r="P63" s="152"/>
      <c r="Q63" s="152"/>
      <c r="R63" s="152"/>
      <c r="S63" s="152"/>
      <c r="T63" s="152"/>
      <c r="U63" s="152"/>
      <c r="V63" s="152"/>
      <c r="W63" s="152"/>
      <c r="X63" s="152"/>
      <c r="Y63" s="152"/>
      <c r="Z63" s="152"/>
    </row>
    <row r="64" ht="32.1" customHeight="1" spans="1:26">
      <c r="A64" s="176">
        <v>54</v>
      </c>
      <c r="B64" s="176" t="s">
        <v>134</v>
      </c>
      <c r="C64" s="176" t="s">
        <v>135</v>
      </c>
      <c r="D64" s="152" t="s">
        <v>348</v>
      </c>
      <c r="E64" s="152" t="s">
        <v>349</v>
      </c>
      <c r="F64" s="152" t="s">
        <v>350</v>
      </c>
      <c r="G64" s="152" t="s">
        <v>351</v>
      </c>
      <c r="H64" s="152" t="s">
        <v>352</v>
      </c>
      <c r="I64" s="152"/>
      <c r="J64" s="152"/>
      <c r="K64" s="152"/>
      <c r="L64" s="152"/>
      <c r="M64" s="152"/>
      <c r="N64" s="152"/>
      <c r="O64" s="152"/>
      <c r="P64" s="152"/>
      <c r="Q64" s="152"/>
      <c r="R64" s="152"/>
      <c r="S64" s="152"/>
      <c r="T64" s="152"/>
      <c r="U64" s="152"/>
      <c r="V64" s="152"/>
      <c r="W64" s="152"/>
      <c r="X64" s="152"/>
      <c r="Y64" s="152"/>
      <c r="Z64" s="152"/>
    </row>
    <row r="65" ht="32.1" customHeight="1" spans="1:26">
      <c r="A65" s="176">
        <v>55</v>
      </c>
      <c r="B65" s="176" t="s">
        <v>134</v>
      </c>
      <c r="C65" s="176" t="s">
        <v>135</v>
      </c>
      <c r="D65" s="152" t="s">
        <v>353</v>
      </c>
      <c r="E65" s="152" t="s">
        <v>354</v>
      </c>
      <c r="F65" s="152" t="s">
        <v>355</v>
      </c>
      <c r="G65" s="152" t="s">
        <v>356</v>
      </c>
      <c r="H65" s="152" t="s">
        <v>357</v>
      </c>
      <c r="I65" s="152"/>
      <c r="J65" s="152"/>
      <c r="K65" s="152"/>
      <c r="L65" s="152"/>
      <c r="M65" s="152"/>
      <c r="N65" s="152"/>
      <c r="O65" s="152"/>
      <c r="P65" s="152"/>
      <c r="Q65" s="152"/>
      <c r="R65" s="152"/>
      <c r="S65" s="152"/>
      <c r="T65" s="152"/>
      <c r="U65" s="152"/>
      <c r="V65" s="152"/>
      <c r="W65" s="152"/>
      <c r="X65" s="152"/>
      <c r="Y65" s="152"/>
      <c r="Z65" s="152"/>
    </row>
    <row r="66" ht="32.1" customHeight="1" spans="1:26">
      <c r="A66" s="176">
        <v>56</v>
      </c>
      <c r="B66" s="176" t="s">
        <v>134</v>
      </c>
      <c r="C66" s="176" t="s">
        <v>135</v>
      </c>
      <c r="D66" s="152" t="s">
        <v>358</v>
      </c>
      <c r="E66" s="152" t="s">
        <v>359</v>
      </c>
      <c r="F66" s="152" t="s">
        <v>360</v>
      </c>
      <c r="G66" s="152" t="s">
        <v>361</v>
      </c>
      <c r="H66" s="152" t="s">
        <v>362</v>
      </c>
      <c r="I66" s="152"/>
      <c r="J66" s="152"/>
      <c r="K66" s="152"/>
      <c r="L66" s="152"/>
      <c r="M66" s="152"/>
      <c r="N66" s="152"/>
      <c r="O66" s="152"/>
      <c r="P66" s="152"/>
      <c r="Q66" s="152"/>
      <c r="R66" s="152"/>
      <c r="S66" s="152"/>
      <c r="T66" s="152"/>
      <c r="U66" s="152"/>
      <c r="V66" s="152"/>
      <c r="W66" s="152"/>
      <c r="X66" s="152"/>
      <c r="Y66" s="152"/>
      <c r="Z66" s="152"/>
    </row>
    <row r="67" ht="32.1" customHeight="1" spans="1:26">
      <c r="A67" s="176">
        <v>57</v>
      </c>
      <c r="B67" s="176" t="s">
        <v>134</v>
      </c>
      <c r="C67" s="176" t="s">
        <v>135</v>
      </c>
      <c r="D67" s="152" t="s">
        <v>363</v>
      </c>
      <c r="E67" s="152" t="s">
        <v>364</v>
      </c>
      <c r="F67" s="152" t="s">
        <v>365</v>
      </c>
      <c r="G67" s="152" t="s">
        <v>366</v>
      </c>
      <c r="H67" s="152" t="s">
        <v>367</v>
      </c>
      <c r="I67" s="152"/>
      <c r="J67" s="152"/>
      <c r="K67" s="152"/>
      <c r="L67" s="152"/>
      <c r="M67" s="152"/>
      <c r="N67" s="152"/>
      <c r="O67" s="152"/>
      <c r="P67" s="152"/>
      <c r="Q67" s="152"/>
      <c r="R67" s="152"/>
      <c r="S67" s="152"/>
      <c r="T67" s="152"/>
      <c r="U67" s="152"/>
      <c r="V67" s="152"/>
      <c r="W67" s="152"/>
      <c r="X67" s="152"/>
      <c r="Y67" s="152"/>
      <c r="Z67" s="152"/>
    </row>
    <row r="68" ht="32.1" customHeight="1" spans="1:26">
      <c r="A68" s="176">
        <v>58</v>
      </c>
      <c r="B68" s="176" t="s">
        <v>134</v>
      </c>
      <c r="C68" s="176" t="s">
        <v>135</v>
      </c>
      <c r="D68" s="152" t="s">
        <v>368</v>
      </c>
      <c r="E68" s="152" t="s">
        <v>369</v>
      </c>
      <c r="F68" s="152" t="s">
        <v>370</v>
      </c>
      <c r="G68" s="152" t="s">
        <v>371</v>
      </c>
      <c r="H68" s="152" t="s">
        <v>372</v>
      </c>
      <c r="I68" s="152"/>
      <c r="J68" s="152"/>
      <c r="K68" s="152"/>
      <c r="L68" s="152"/>
      <c r="M68" s="152"/>
      <c r="N68" s="152"/>
      <c r="O68" s="152"/>
      <c r="P68" s="152"/>
      <c r="Q68" s="152"/>
      <c r="R68" s="152"/>
      <c r="S68" s="152"/>
      <c r="T68" s="152"/>
      <c r="U68" s="152"/>
      <c r="V68" s="152"/>
      <c r="W68" s="152"/>
      <c r="X68" s="152"/>
      <c r="Y68" s="152"/>
      <c r="Z68" s="152"/>
    </row>
    <row r="69" ht="32.1" customHeight="1" spans="1:26">
      <c r="A69" s="176">
        <v>59</v>
      </c>
      <c r="B69" s="176" t="s">
        <v>134</v>
      </c>
      <c r="C69" s="176" t="s">
        <v>135</v>
      </c>
      <c r="D69" s="152" t="s">
        <v>373</v>
      </c>
      <c r="E69" s="152" t="s">
        <v>374</v>
      </c>
      <c r="F69" s="152" t="s">
        <v>375</v>
      </c>
      <c r="G69" s="152" t="s">
        <v>376</v>
      </c>
      <c r="H69" s="152" t="s">
        <v>377</v>
      </c>
      <c r="I69" s="152"/>
      <c r="J69" s="152"/>
      <c r="K69" s="152"/>
      <c r="L69" s="152"/>
      <c r="M69" s="152"/>
      <c r="N69" s="152"/>
      <c r="O69" s="152"/>
      <c r="P69" s="152"/>
      <c r="Q69" s="152"/>
      <c r="R69" s="152"/>
      <c r="S69" s="152"/>
      <c r="T69" s="152"/>
      <c r="U69" s="152"/>
      <c r="V69" s="152"/>
      <c r="W69" s="152"/>
      <c r="X69" s="152"/>
      <c r="Y69" s="152"/>
      <c r="Z69" s="152"/>
    </row>
    <row r="70" ht="32.1" customHeight="1" spans="1:26">
      <c r="A70" s="176">
        <v>60</v>
      </c>
      <c r="B70" s="176" t="s">
        <v>134</v>
      </c>
      <c r="C70" s="176" t="s">
        <v>135</v>
      </c>
      <c r="D70" s="152" t="s">
        <v>378</v>
      </c>
      <c r="E70" s="152" t="s">
        <v>379</v>
      </c>
      <c r="F70" s="152" t="s">
        <v>380</v>
      </c>
      <c r="G70" s="152" t="s">
        <v>381</v>
      </c>
      <c r="H70" s="152" t="s">
        <v>382</v>
      </c>
      <c r="I70" s="152"/>
      <c r="J70" s="152"/>
      <c r="K70" s="152"/>
      <c r="L70" s="152"/>
      <c r="M70" s="152"/>
      <c r="N70" s="152"/>
      <c r="O70" s="152"/>
      <c r="P70" s="152"/>
      <c r="Q70" s="152"/>
      <c r="R70" s="152"/>
      <c r="S70" s="152"/>
      <c r="T70" s="152"/>
      <c r="U70" s="152"/>
      <c r="V70" s="152"/>
      <c r="W70" s="152"/>
      <c r="X70" s="152"/>
      <c r="Y70" s="152"/>
      <c r="Z70" s="152"/>
    </row>
    <row r="71" ht="32.1" customHeight="1" spans="1:26">
      <c r="A71" s="176">
        <v>61</v>
      </c>
      <c r="B71" s="176" t="s">
        <v>134</v>
      </c>
      <c r="C71" s="176" t="s">
        <v>135</v>
      </c>
      <c r="D71" s="152" t="s">
        <v>383</v>
      </c>
      <c r="E71" s="152" t="s">
        <v>384</v>
      </c>
      <c r="F71" s="152" t="s">
        <v>385</v>
      </c>
      <c r="G71" s="152" t="s">
        <v>386</v>
      </c>
      <c r="H71" s="152" t="s">
        <v>387</v>
      </c>
      <c r="I71" s="152"/>
      <c r="J71" s="152"/>
      <c r="K71" s="152"/>
      <c r="L71" s="152"/>
      <c r="M71" s="152"/>
      <c r="N71" s="152"/>
      <c r="O71" s="152"/>
      <c r="P71" s="152"/>
      <c r="Q71" s="152"/>
      <c r="R71" s="152"/>
      <c r="S71" s="152"/>
      <c r="T71" s="152"/>
      <c r="U71" s="152"/>
      <c r="V71" s="152"/>
      <c r="W71" s="152"/>
      <c r="X71" s="152"/>
      <c r="Y71" s="152"/>
      <c r="Z71" s="152"/>
    </row>
    <row r="72" ht="32.1" customHeight="1" spans="1:26">
      <c r="A72" s="176">
        <v>62</v>
      </c>
      <c r="B72" s="176" t="s">
        <v>134</v>
      </c>
      <c r="C72" s="176" t="s">
        <v>135</v>
      </c>
      <c r="D72" s="152" t="s">
        <v>388</v>
      </c>
      <c r="E72" s="152" t="s">
        <v>389</v>
      </c>
      <c r="F72" s="152" t="s">
        <v>390</v>
      </c>
      <c r="G72" s="152" t="s">
        <v>391</v>
      </c>
      <c r="H72" s="152" t="s">
        <v>392</v>
      </c>
      <c r="I72" s="152"/>
      <c r="J72" s="152"/>
      <c r="K72" s="152"/>
      <c r="L72" s="152"/>
      <c r="M72" s="152"/>
      <c r="N72" s="152"/>
      <c r="O72" s="152"/>
      <c r="P72" s="152"/>
      <c r="Q72" s="152"/>
      <c r="R72" s="152"/>
      <c r="S72" s="152"/>
      <c r="T72" s="152"/>
      <c r="U72" s="152"/>
      <c r="V72" s="152"/>
      <c r="W72" s="152"/>
      <c r="X72" s="152"/>
      <c r="Y72" s="152"/>
      <c r="Z72" s="152"/>
    </row>
    <row r="73" ht="32.1" customHeight="1" spans="1:26">
      <c r="A73" s="176">
        <v>63</v>
      </c>
      <c r="B73" s="176" t="s">
        <v>134</v>
      </c>
      <c r="C73" s="176" t="s">
        <v>135</v>
      </c>
      <c r="D73" s="152" t="s">
        <v>393</v>
      </c>
      <c r="E73" s="152" t="s">
        <v>394</v>
      </c>
      <c r="F73" s="152" t="s">
        <v>395</v>
      </c>
      <c r="G73" s="152" t="s">
        <v>396</v>
      </c>
      <c r="H73" s="152" t="s">
        <v>397</v>
      </c>
      <c r="I73" s="152"/>
      <c r="J73" s="152"/>
      <c r="K73" s="152"/>
      <c r="L73" s="152"/>
      <c r="M73" s="152"/>
      <c r="N73" s="152"/>
      <c r="O73" s="152"/>
      <c r="P73" s="152"/>
      <c r="Q73" s="152"/>
      <c r="R73" s="152"/>
      <c r="S73" s="152"/>
      <c r="T73" s="152"/>
      <c r="U73" s="152"/>
      <c r="V73" s="152"/>
      <c r="W73" s="152"/>
      <c r="X73" s="152"/>
      <c r="Y73" s="152"/>
      <c r="Z73" s="152"/>
    </row>
    <row r="74" ht="32.1" customHeight="1" spans="1:26">
      <c r="A74" s="176">
        <v>64</v>
      </c>
      <c r="B74" s="176" t="s">
        <v>134</v>
      </c>
      <c r="C74" s="176" t="s">
        <v>135</v>
      </c>
      <c r="D74" s="152" t="s">
        <v>398</v>
      </c>
      <c r="E74" s="152" t="s">
        <v>399</v>
      </c>
      <c r="F74" s="152" t="s">
        <v>400</v>
      </c>
      <c r="G74" s="152" t="s">
        <v>401</v>
      </c>
      <c r="H74" s="152" t="s">
        <v>402</v>
      </c>
      <c r="I74" s="152"/>
      <c r="J74" s="152"/>
      <c r="K74" s="152"/>
      <c r="L74" s="152"/>
      <c r="M74" s="152"/>
      <c r="N74" s="152"/>
      <c r="O74" s="152"/>
      <c r="P74" s="152"/>
      <c r="Q74" s="152"/>
      <c r="R74" s="152"/>
      <c r="S74" s="152"/>
      <c r="T74" s="152"/>
      <c r="U74" s="152"/>
      <c r="V74" s="152"/>
      <c r="W74" s="152"/>
      <c r="X74" s="152"/>
      <c r="Y74" s="152"/>
      <c r="Z74" s="152"/>
    </row>
    <row r="75" ht="32.1" customHeight="1" spans="1:26">
      <c r="A75" s="176">
        <v>65</v>
      </c>
      <c r="B75" s="176" t="s">
        <v>256</v>
      </c>
      <c r="C75" s="176" t="s">
        <v>257</v>
      </c>
      <c r="D75" s="152" t="s">
        <v>403</v>
      </c>
      <c r="E75" s="152" t="s">
        <v>404</v>
      </c>
      <c r="F75" s="152" t="s">
        <v>405</v>
      </c>
      <c r="G75" s="152" t="s">
        <v>406</v>
      </c>
      <c r="H75" s="152" t="s">
        <v>407</v>
      </c>
      <c r="I75" s="152"/>
      <c r="J75" s="152"/>
      <c r="K75" s="152"/>
      <c r="L75" s="152"/>
      <c r="M75" s="152"/>
      <c r="N75" s="152"/>
      <c r="O75" s="152"/>
      <c r="P75" s="152"/>
      <c r="Q75" s="152"/>
      <c r="R75" s="152"/>
      <c r="S75" s="152"/>
      <c r="T75" s="152"/>
      <c r="U75" s="152"/>
      <c r="V75" s="152"/>
      <c r="W75" s="152"/>
      <c r="X75" s="152"/>
      <c r="Y75" s="152"/>
      <c r="Z75" s="152"/>
    </row>
    <row r="76" ht="45" customHeight="1" spans="1:26">
      <c r="A76" s="176">
        <v>66</v>
      </c>
      <c r="B76" s="176" t="s">
        <v>256</v>
      </c>
      <c r="C76" s="176" t="s">
        <v>257</v>
      </c>
      <c r="D76" s="152" t="s">
        <v>408</v>
      </c>
      <c r="E76" s="152" t="s">
        <v>409</v>
      </c>
      <c r="F76" s="152" t="s">
        <v>410</v>
      </c>
      <c r="G76" s="152" t="s">
        <v>411</v>
      </c>
      <c r="H76" s="152" t="s">
        <v>412</v>
      </c>
      <c r="I76" s="152"/>
      <c r="J76" s="152"/>
      <c r="K76" s="152"/>
      <c r="L76" s="152"/>
      <c r="M76" s="152"/>
      <c r="N76" s="152"/>
      <c r="O76" s="152"/>
      <c r="P76" s="152"/>
      <c r="Q76" s="152"/>
      <c r="R76" s="152"/>
      <c r="S76" s="152"/>
      <c r="T76" s="152"/>
      <c r="U76" s="152"/>
      <c r="V76" s="152"/>
      <c r="W76" s="152"/>
      <c r="X76" s="152"/>
      <c r="Y76" s="152"/>
      <c r="Z76" s="152"/>
    </row>
    <row r="77" ht="32.1" customHeight="1" spans="1:26">
      <c r="A77" s="176">
        <v>67</v>
      </c>
      <c r="B77" s="176" t="s">
        <v>256</v>
      </c>
      <c r="C77" s="176" t="s">
        <v>257</v>
      </c>
      <c r="D77" s="152" t="s">
        <v>413</v>
      </c>
      <c r="E77" s="152" t="s">
        <v>414</v>
      </c>
      <c r="F77" s="152" t="s">
        <v>415</v>
      </c>
      <c r="G77" s="152" t="s">
        <v>416</v>
      </c>
      <c r="H77" s="152" t="s">
        <v>417</v>
      </c>
      <c r="I77" s="152"/>
      <c r="J77" s="152"/>
      <c r="K77" s="152"/>
      <c r="L77" s="152"/>
      <c r="M77" s="152"/>
      <c r="N77" s="152"/>
      <c r="O77" s="152"/>
      <c r="P77" s="152"/>
      <c r="Q77" s="152"/>
      <c r="R77" s="152"/>
      <c r="S77" s="152"/>
      <c r="T77" s="152"/>
      <c r="U77" s="152"/>
      <c r="V77" s="152"/>
      <c r="W77" s="152"/>
      <c r="X77" s="152"/>
      <c r="Y77" s="152"/>
      <c r="Z77" s="152"/>
    </row>
    <row r="78" ht="32.1" customHeight="1" spans="1:26">
      <c r="A78" s="176">
        <v>68</v>
      </c>
      <c r="B78" s="176" t="s">
        <v>256</v>
      </c>
      <c r="C78" s="176" t="s">
        <v>257</v>
      </c>
      <c r="D78" s="152" t="s">
        <v>418</v>
      </c>
      <c r="E78" s="152" t="s">
        <v>419</v>
      </c>
      <c r="F78" s="152" t="s">
        <v>420</v>
      </c>
      <c r="G78" s="152" t="s">
        <v>421</v>
      </c>
      <c r="H78" s="152" t="s">
        <v>422</v>
      </c>
      <c r="I78" s="152"/>
      <c r="J78" s="152"/>
      <c r="K78" s="152"/>
      <c r="L78" s="152"/>
      <c r="M78" s="152"/>
      <c r="N78" s="152"/>
      <c r="O78" s="152"/>
      <c r="P78" s="152"/>
      <c r="Q78" s="152"/>
      <c r="R78" s="152"/>
      <c r="S78" s="152"/>
      <c r="T78" s="152"/>
      <c r="U78" s="152"/>
      <c r="V78" s="152"/>
      <c r="W78" s="152"/>
      <c r="X78" s="152"/>
      <c r="Y78" s="152"/>
      <c r="Z78" s="152"/>
    </row>
    <row r="79" ht="32.1" customHeight="1" spans="1:26">
      <c r="A79" s="176">
        <v>69</v>
      </c>
      <c r="B79" s="176" t="s">
        <v>256</v>
      </c>
      <c r="C79" s="176" t="s">
        <v>257</v>
      </c>
      <c r="D79" s="152" t="s">
        <v>423</v>
      </c>
      <c r="E79" s="152" t="s">
        <v>424</v>
      </c>
      <c r="F79" s="152" t="s">
        <v>425</v>
      </c>
      <c r="G79" s="152" t="s">
        <v>426</v>
      </c>
      <c r="H79" s="152" t="s">
        <v>427</v>
      </c>
      <c r="I79" s="152"/>
      <c r="J79" s="152"/>
      <c r="K79" s="152"/>
      <c r="L79" s="152"/>
      <c r="M79" s="152"/>
      <c r="N79" s="152"/>
      <c r="O79" s="152"/>
      <c r="P79" s="152"/>
      <c r="Q79" s="152"/>
      <c r="R79" s="152"/>
      <c r="S79" s="152"/>
      <c r="T79" s="152"/>
      <c r="U79" s="152"/>
      <c r="V79" s="152"/>
      <c r="W79" s="152"/>
      <c r="X79" s="152"/>
      <c r="Y79" s="152"/>
      <c r="Z79" s="152"/>
    </row>
    <row r="80" ht="32.1" customHeight="1" spans="1:26">
      <c r="A80" s="176">
        <v>70</v>
      </c>
      <c r="B80" s="176" t="s">
        <v>256</v>
      </c>
      <c r="C80" s="176" t="s">
        <v>257</v>
      </c>
      <c r="D80" s="152" t="s">
        <v>428</v>
      </c>
      <c r="E80" s="152" t="s">
        <v>429</v>
      </c>
      <c r="F80" s="152" t="s">
        <v>430</v>
      </c>
      <c r="G80" s="152" t="s">
        <v>431</v>
      </c>
      <c r="H80" s="152" t="s">
        <v>432</v>
      </c>
      <c r="I80" s="152"/>
      <c r="J80" s="152"/>
      <c r="K80" s="152"/>
      <c r="L80" s="152"/>
      <c r="M80" s="152"/>
      <c r="N80" s="152"/>
      <c r="O80" s="152"/>
      <c r="P80" s="152"/>
      <c r="Q80" s="152"/>
      <c r="R80" s="152"/>
      <c r="S80" s="152"/>
      <c r="T80" s="152"/>
      <c r="U80" s="152"/>
      <c r="V80" s="152"/>
      <c r="W80" s="152"/>
      <c r="X80" s="152"/>
      <c r="Y80" s="152"/>
      <c r="Z80" s="152"/>
    </row>
    <row r="81" ht="32.1" customHeight="1" spans="1:26">
      <c r="A81" s="176">
        <v>71</v>
      </c>
      <c r="B81" s="176" t="s">
        <v>433</v>
      </c>
      <c r="C81" s="176" t="s">
        <v>434</v>
      </c>
      <c r="D81" s="152" t="s">
        <v>435</v>
      </c>
      <c r="E81" s="152" t="s">
        <v>436</v>
      </c>
      <c r="F81" s="152" t="s">
        <v>437</v>
      </c>
      <c r="G81" s="152" t="s">
        <v>438</v>
      </c>
      <c r="H81" s="152" t="s">
        <v>439</v>
      </c>
      <c r="I81" s="152"/>
      <c r="J81" s="152"/>
      <c r="K81" s="152"/>
      <c r="L81" s="152"/>
      <c r="M81" s="152"/>
      <c r="N81" s="152"/>
      <c r="O81" s="152"/>
      <c r="P81" s="152"/>
      <c r="Q81" s="152"/>
      <c r="R81" s="152"/>
      <c r="S81" s="152"/>
      <c r="T81" s="152"/>
      <c r="U81" s="152"/>
      <c r="V81" s="152"/>
      <c r="W81" s="152"/>
      <c r="X81" s="152"/>
      <c r="Y81" s="152"/>
      <c r="Z81" s="152"/>
    </row>
    <row r="82" ht="32.1" customHeight="1" spans="1:26">
      <c r="A82" s="176">
        <v>72</v>
      </c>
      <c r="B82" s="176" t="s">
        <v>433</v>
      </c>
      <c r="C82" s="176" t="s">
        <v>434</v>
      </c>
      <c r="D82" s="152" t="s">
        <v>440</v>
      </c>
      <c r="E82" s="152" t="s">
        <v>441</v>
      </c>
      <c r="F82" s="152" t="s">
        <v>442</v>
      </c>
      <c r="G82" s="152" t="s">
        <v>443</v>
      </c>
      <c r="H82" s="152" t="s">
        <v>444</v>
      </c>
      <c r="I82" s="152"/>
      <c r="J82" s="152"/>
      <c r="K82" s="152"/>
      <c r="L82" s="152"/>
      <c r="M82" s="152"/>
      <c r="N82" s="152"/>
      <c r="O82" s="152"/>
      <c r="P82" s="152"/>
      <c r="Q82" s="152"/>
      <c r="R82" s="152"/>
      <c r="S82" s="152"/>
      <c r="T82" s="152"/>
      <c r="U82" s="152"/>
      <c r="V82" s="152"/>
      <c r="W82" s="152"/>
      <c r="X82" s="152"/>
      <c r="Y82" s="152"/>
      <c r="Z82" s="152"/>
    </row>
    <row r="83" ht="32.1" customHeight="1" spans="1:26">
      <c r="A83" s="176">
        <v>73</v>
      </c>
      <c r="B83" s="176" t="s">
        <v>433</v>
      </c>
      <c r="C83" s="176" t="s">
        <v>434</v>
      </c>
      <c r="D83" s="152" t="s">
        <v>445</v>
      </c>
      <c r="E83" s="152" t="s">
        <v>446</v>
      </c>
      <c r="F83" s="152" t="s">
        <v>447</v>
      </c>
      <c r="G83" s="152" t="s">
        <v>448</v>
      </c>
      <c r="H83" s="152" t="s">
        <v>449</v>
      </c>
      <c r="I83" s="152"/>
      <c r="J83" s="152"/>
      <c r="K83" s="152"/>
      <c r="L83" s="152"/>
      <c r="M83" s="152"/>
      <c r="N83" s="152"/>
      <c r="O83" s="152"/>
      <c r="P83" s="152"/>
      <c r="Q83" s="152"/>
      <c r="R83" s="152"/>
      <c r="S83" s="152"/>
      <c r="T83" s="152"/>
      <c r="U83" s="152"/>
      <c r="V83" s="152"/>
      <c r="W83" s="152"/>
      <c r="X83" s="152"/>
      <c r="Y83" s="152"/>
      <c r="Z83" s="152"/>
    </row>
    <row r="84" ht="32.1" customHeight="1" spans="1:26">
      <c r="A84" s="176">
        <v>74</v>
      </c>
      <c r="B84" s="176" t="s">
        <v>433</v>
      </c>
      <c r="C84" s="176" t="s">
        <v>434</v>
      </c>
      <c r="D84" s="152" t="s">
        <v>450</v>
      </c>
      <c r="E84" s="152" t="s">
        <v>451</v>
      </c>
      <c r="F84" s="152" t="s">
        <v>452</v>
      </c>
      <c r="G84" s="152" t="s">
        <v>453</v>
      </c>
      <c r="H84" s="152" t="s">
        <v>444</v>
      </c>
      <c r="I84" s="152"/>
      <c r="J84" s="152"/>
      <c r="K84" s="152"/>
      <c r="L84" s="152"/>
      <c r="M84" s="152"/>
      <c r="N84" s="152"/>
      <c r="O84" s="152"/>
      <c r="P84" s="152"/>
      <c r="Q84" s="152"/>
      <c r="R84" s="152"/>
      <c r="S84" s="152"/>
      <c r="T84" s="152"/>
      <c r="U84" s="152"/>
      <c r="V84" s="152"/>
      <c r="W84" s="152"/>
      <c r="X84" s="152"/>
      <c r="Y84" s="152"/>
      <c r="Z84" s="152"/>
    </row>
    <row r="85" ht="32.1" customHeight="1" spans="1:26">
      <c r="A85" s="176">
        <v>75</v>
      </c>
      <c r="B85" s="176" t="s">
        <v>433</v>
      </c>
      <c r="C85" s="176" t="s">
        <v>434</v>
      </c>
      <c r="D85" s="152" t="s">
        <v>454</v>
      </c>
      <c r="E85" s="152" t="s">
        <v>455</v>
      </c>
      <c r="F85" s="152" t="s">
        <v>456</v>
      </c>
      <c r="G85" s="152" t="s">
        <v>457</v>
      </c>
      <c r="H85" s="152" t="s">
        <v>458</v>
      </c>
      <c r="I85" s="152"/>
      <c r="J85" s="152"/>
      <c r="K85" s="152"/>
      <c r="L85" s="152"/>
      <c r="M85" s="152"/>
      <c r="N85" s="152"/>
      <c r="O85" s="152"/>
      <c r="P85" s="152"/>
      <c r="Q85" s="152"/>
      <c r="R85" s="152"/>
      <c r="S85" s="152"/>
      <c r="T85" s="152"/>
      <c r="U85" s="152"/>
      <c r="V85" s="152"/>
      <c r="W85" s="152"/>
      <c r="X85" s="152"/>
      <c r="Y85" s="152"/>
      <c r="Z85" s="152"/>
    </row>
    <row r="86" ht="32.1" customHeight="1" spans="1:26">
      <c r="A86" s="176">
        <v>76</v>
      </c>
      <c r="B86" s="176" t="s">
        <v>433</v>
      </c>
      <c r="C86" s="176" t="s">
        <v>434</v>
      </c>
      <c r="D86" s="152" t="s">
        <v>459</v>
      </c>
      <c r="E86" s="152" t="s">
        <v>460</v>
      </c>
      <c r="F86" s="152" t="s">
        <v>461</v>
      </c>
      <c r="G86" s="152" t="s">
        <v>462</v>
      </c>
      <c r="H86" s="152" t="s">
        <v>444</v>
      </c>
      <c r="I86" s="152"/>
      <c r="J86" s="152"/>
      <c r="K86" s="152"/>
      <c r="L86" s="152"/>
      <c r="M86" s="152"/>
      <c r="N86" s="152"/>
      <c r="O86" s="152"/>
      <c r="P86" s="152"/>
      <c r="Q86" s="152"/>
      <c r="R86" s="152"/>
      <c r="S86" s="152"/>
      <c r="T86" s="152"/>
      <c r="U86" s="152"/>
      <c r="V86" s="152"/>
      <c r="W86" s="152"/>
      <c r="X86" s="152"/>
      <c r="Y86" s="152"/>
      <c r="Z86" s="152"/>
    </row>
    <row r="87" ht="32.1" customHeight="1" spans="1:26">
      <c r="A87" s="176">
        <v>77</v>
      </c>
      <c r="B87" s="176" t="s">
        <v>433</v>
      </c>
      <c r="C87" s="176" t="s">
        <v>434</v>
      </c>
      <c r="D87" s="152" t="s">
        <v>463</v>
      </c>
      <c r="E87" s="152" t="s">
        <v>464</v>
      </c>
      <c r="F87" s="152" t="s">
        <v>465</v>
      </c>
      <c r="G87" s="152" t="s">
        <v>466</v>
      </c>
      <c r="H87" s="152" t="s">
        <v>467</v>
      </c>
      <c r="I87" s="152"/>
      <c r="J87" s="152"/>
      <c r="K87" s="152"/>
      <c r="L87" s="152"/>
      <c r="M87" s="152"/>
      <c r="N87" s="152"/>
      <c r="O87" s="152"/>
      <c r="P87" s="152"/>
      <c r="Q87" s="152"/>
      <c r="R87" s="152"/>
      <c r="S87" s="152"/>
      <c r="T87" s="152"/>
      <c r="U87" s="152"/>
      <c r="V87" s="152"/>
      <c r="W87" s="152"/>
      <c r="X87" s="152"/>
      <c r="Y87" s="152"/>
      <c r="Z87" s="152"/>
    </row>
    <row r="88" ht="32.1" customHeight="1" spans="1:26">
      <c r="A88" s="176">
        <v>78</v>
      </c>
      <c r="B88" s="176" t="s">
        <v>433</v>
      </c>
      <c r="C88" s="176" t="s">
        <v>434</v>
      </c>
      <c r="D88" s="152" t="s">
        <v>468</v>
      </c>
      <c r="E88" s="152" t="s">
        <v>469</v>
      </c>
      <c r="F88" s="152" t="s">
        <v>470</v>
      </c>
      <c r="G88" s="152" t="s">
        <v>471</v>
      </c>
      <c r="H88" s="152" t="s">
        <v>472</v>
      </c>
      <c r="I88" s="152"/>
      <c r="J88" s="152"/>
      <c r="K88" s="152"/>
      <c r="L88" s="152"/>
      <c r="M88" s="152"/>
      <c r="N88" s="152"/>
      <c r="O88" s="152"/>
      <c r="P88" s="152"/>
      <c r="Q88" s="152"/>
      <c r="R88" s="152"/>
      <c r="S88" s="152"/>
      <c r="T88" s="152"/>
      <c r="U88" s="152"/>
      <c r="V88" s="152"/>
      <c r="W88" s="152"/>
      <c r="X88" s="152"/>
      <c r="Y88" s="152"/>
      <c r="Z88" s="152"/>
    </row>
    <row r="89" ht="32.1" customHeight="1" spans="1:26">
      <c r="A89" s="176">
        <v>79</v>
      </c>
      <c r="B89" s="176" t="s">
        <v>433</v>
      </c>
      <c r="C89" s="176" t="s">
        <v>434</v>
      </c>
      <c r="D89" s="152" t="s">
        <v>473</v>
      </c>
      <c r="E89" s="152" t="s">
        <v>474</v>
      </c>
      <c r="F89" s="152" t="s">
        <v>475</v>
      </c>
      <c r="G89" s="152" t="s">
        <v>476</v>
      </c>
      <c r="H89" s="152" t="s">
        <v>477</v>
      </c>
      <c r="I89" s="152"/>
      <c r="J89" s="152"/>
      <c r="K89" s="152"/>
      <c r="L89" s="152"/>
      <c r="M89" s="152"/>
      <c r="N89" s="152"/>
      <c r="O89" s="152"/>
      <c r="P89" s="152"/>
      <c r="Q89" s="152"/>
      <c r="R89" s="152"/>
      <c r="S89" s="152"/>
      <c r="T89" s="152"/>
      <c r="U89" s="152"/>
      <c r="V89" s="152"/>
      <c r="W89" s="152"/>
      <c r="X89" s="152"/>
      <c r="Y89" s="152"/>
      <c r="Z89" s="152"/>
    </row>
    <row r="90" ht="32.1" customHeight="1" spans="1:26">
      <c r="A90" s="176">
        <v>80</v>
      </c>
      <c r="B90" s="176" t="s">
        <v>433</v>
      </c>
      <c r="C90" s="176" t="s">
        <v>434</v>
      </c>
      <c r="D90" s="152" t="s">
        <v>478</v>
      </c>
      <c r="E90" s="152" t="s">
        <v>479</v>
      </c>
      <c r="F90" s="152" t="s">
        <v>480</v>
      </c>
      <c r="G90" s="152" t="s">
        <v>481</v>
      </c>
      <c r="H90" s="152" t="s">
        <v>482</v>
      </c>
      <c r="I90" s="152"/>
      <c r="J90" s="152"/>
      <c r="K90" s="152"/>
      <c r="L90" s="152"/>
      <c r="M90" s="152"/>
      <c r="N90" s="152"/>
      <c r="O90" s="152"/>
      <c r="P90" s="152"/>
      <c r="Q90" s="152"/>
      <c r="R90" s="152"/>
      <c r="S90" s="152"/>
      <c r="T90" s="152"/>
      <c r="U90" s="152"/>
      <c r="V90" s="152"/>
      <c r="W90" s="152"/>
      <c r="X90" s="152"/>
      <c r="Y90" s="152"/>
      <c r="Z90" s="152"/>
    </row>
    <row r="91" ht="32.1" customHeight="1" spans="1:26">
      <c r="A91" s="176">
        <v>81</v>
      </c>
      <c r="B91" s="176" t="s">
        <v>433</v>
      </c>
      <c r="C91" s="176" t="s">
        <v>434</v>
      </c>
      <c r="D91" s="152" t="s">
        <v>483</v>
      </c>
      <c r="E91" s="152" t="s">
        <v>484</v>
      </c>
      <c r="F91" s="152" t="s">
        <v>485</v>
      </c>
      <c r="G91" s="152" t="s">
        <v>486</v>
      </c>
      <c r="H91" s="152" t="s">
        <v>487</v>
      </c>
      <c r="I91" s="152"/>
      <c r="J91" s="152"/>
      <c r="K91" s="152"/>
      <c r="L91" s="152"/>
      <c r="M91" s="152"/>
      <c r="N91" s="152"/>
      <c r="O91" s="152"/>
      <c r="P91" s="152"/>
      <c r="Q91" s="152"/>
      <c r="R91" s="152"/>
      <c r="S91" s="152"/>
      <c r="T91" s="152"/>
      <c r="U91" s="152"/>
      <c r="V91" s="152"/>
      <c r="W91" s="152"/>
      <c r="X91" s="152"/>
      <c r="Y91" s="152"/>
      <c r="Z91" s="152"/>
    </row>
    <row r="92" ht="32.1" customHeight="1" spans="1:26">
      <c r="A92" s="176">
        <v>82</v>
      </c>
      <c r="B92" s="176" t="s">
        <v>433</v>
      </c>
      <c r="C92" s="176" t="s">
        <v>434</v>
      </c>
      <c r="D92" s="152" t="s">
        <v>488</v>
      </c>
      <c r="E92" s="152" t="s">
        <v>489</v>
      </c>
      <c r="F92" s="152" t="s">
        <v>490</v>
      </c>
      <c r="G92" s="152" t="s">
        <v>491</v>
      </c>
      <c r="H92" s="152" t="s">
        <v>492</v>
      </c>
      <c r="I92" s="152"/>
      <c r="J92" s="152"/>
      <c r="K92" s="152"/>
      <c r="L92" s="152"/>
      <c r="M92" s="152"/>
      <c r="N92" s="152"/>
      <c r="O92" s="152"/>
      <c r="P92" s="152"/>
      <c r="Q92" s="152"/>
      <c r="R92" s="152"/>
      <c r="S92" s="152"/>
      <c r="T92" s="152"/>
      <c r="U92" s="152"/>
      <c r="V92" s="152"/>
      <c r="W92" s="152"/>
      <c r="X92" s="152"/>
      <c r="Y92" s="152"/>
      <c r="Z92" s="152"/>
    </row>
    <row r="93" ht="32.1" customHeight="1" spans="1:26">
      <c r="A93" s="176">
        <v>83</v>
      </c>
      <c r="B93" s="176" t="s">
        <v>433</v>
      </c>
      <c r="C93" s="176" t="s">
        <v>434</v>
      </c>
      <c r="D93" s="152" t="s">
        <v>493</v>
      </c>
      <c r="E93" s="152" t="s">
        <v>494</v>
      </c>
      <c r="F93" s="152" t="s">
        <v>495</v>
      </c>
      <c r="G93" s="152" t="s">
        <v>496</v>
      </c>
      <c r="H93" s="152" t="s">
        <v>497</v>
      </c>
      <c r="I93" s="152"/>
      <c r="J93" s="152"/>
      <c r="K93" s="152"/>
      <c r="L93" s="152"/>
      <c r="M93" s="152"/>
      <c r="N93" s="152"/>
      <c r="O93" s="152"/>
      <c r="P93" s="152"/>
      <c r="Q93" s="152"/>
      <c r="R93" s="152"/>
      <c r="S93" s="152"/>
      <c r="T93" s="152"/>
      <c r="U93" s="152"/>
      <c r="V93" s="152"/>
      <c r="W93" s="152"/>
      <c r="X93" s="152"/>
      <c r="Y93" s="152"/>
      <c r="Z93" s="152"/>
    </row>
    <row r="94" ht="32.1" customHeight="1" spans="1:26">
      <c r="A94" s="176">
        <v>84</v>
      </c>
      <c r="B94" s="176" t="s">
        <v>433</v>
      </c>
      <c r="C94" s="176" t="s">
        <v>434</v>
      </c>
      <c r="D94" s="152" t="s">
        <v>498</v>
      </c>
      <c r="E94" s="152" t="s">
        <v>499</v>
      </c>
      <c r="F94" s="152" t="s">
        <v>500</v>
      </c>
      <c r="G94" s="152" t="s">
        <v>501</v>
      </c>
      <c r="H94" s="152" t="s">
        <v>502</v>
      </c>
      <c r="I94" s="152"/>
      <c r="J94" s="152"/>
      <c r="K94" s="152"/>
      <c r="L94" s="152"/>
      <c r="M94" s="152"/>
      <c r="N94" s="152"/>
      <c r="O94" s="152"/>
      <c r="P94" s="152"/>
      <c r="Q94" s="152"/>
      <c r="R94" s="152"/>
      <c r="S94" s="152"/>
      <c r="T94" s="152"/>
      <c r="U94" s="152"/>
      <c r="V94" s="152"/>
      <c r="W94" s="152"/>
      <c r="X94" s="152"/>
      <c r="Y94" s="152"/>
      <c r="Z94" s="152"/>
    </row>
    <row r="95" ht="32.1" customHeight="1" spans="1:26">
      <c r="A95" s="176">
        <v>85</v>
      </c>
      <c r="B95" s="176" t="s">
        <v>433</v>
      </c>
      <c r="C95" s="176" t="s">
        <v>434</v>
      </c>
      <c r="D95" s="152" t="s">
        <v>503</v>
      </c>
      <c r="E95" s="152" t="s">
        <v>504</v>
      </c>
      <c r="F95" s="152" t="s">
        <v>505</v>
      </c>
      <c r="G95" s="152" t="s">
        <v>506</v>
      </c>
      <c r="H95" s="152" t="s">
        <v>507</v>
      </c>
      <c r="I95" s="152"/>
      <c r="J95" s="152"/>
      <c r="K95" s="152"/>
      <c r="L95" s="152"/>
      <c r="M95" s="152"/>
      <c r="N95" s="152"/>
      <c r="O95" s="152"/>
      <c r="P95" s="152"/>
      <c r="Q95" s="152"/>
      <c r="R95" s="152"/>
      <c r="S95" s="152"/>
      <c r="T95" s="152"/>
      <c r="U95" s="152"/>
      <c r="V95" s="152"/>
      <c r="W95" s="152"/>
      <c r="X95" s="152"/>
      <c r="Y95" s="152"/>
      <c r="Z95" s="152"/>
    </row>
    <row r="96" ht="32.1" customHeight="1" spans="1:26">
      <c r="A96" s="176">
        <v>86</v>
      </c>
      <c r="B96" s="176" t="s">
        <v>433</v>
      </c>
      <c r="C96" s="176" t="s">
        <v>434</v>
      </c>
      <c r="D96" s="152" t="s">
        <v>508</v>
      </c>
      <c r="E96" s="152" t="s">
        <v>509</v>
      </c>
      <c r="F96" s="152" t="s">
        <v>510</v>
      </c>
      <c r="G96" s="152" t="s">
        <v>511</v>
      </c>
      <c r="H96" s="152" t="s">
        <v>512</v>
      </c>
      <c r="I96" s="152"/>
      <c r="J96" s="152"/>
      <c r="K96" s="152"/>
      <c r="L96" s="152"/>
      <c r="M96" s="152"/>
      <c r="N96" s="152"/>
      <c r="O96" s="152"/>
      <c r="P96" s="152"/>
      <c r="Q96" s="152"/>
      <c r="R96" s="152"/>
      <c r="S96" s="152"/>
      <c r="T96" s="152"/>
      <c r="U96" s="152"/>
      <c r="V96" s="152"/>
      <c r="W96" s="152"/>
      <c r="X96" s="152"/>
      <c r="Y96" s="152"/>
      <c r="Z96" s="152"/>
    </row>
    <row r="97" ht="19" customHeight="1" spans="1:26">
      <c r="A97" s="176">
        <v>87</v>
      </c>
      <c r="B97" s="176" t="s">
        <v>433</v>
      </c>
      <c r="C97" s="176" t="s">
        <v>434</v>
      </c>
      <c r="D97" s="152" t="s">
        <v>513</v>
      </c>
      <c r="E97" s="152" t="s">
        <v>514</v>
      </c>
      <c r="F97" s="152" t="s">
        <v>515</v>
      </c>
      <c r="G97" s="152" t="s">
        <v>516</v>
      </c>
      <c r="H97" s="152" t="s">
        <v>517</v>
      </c>
      <c r="I97" s="152"/>
      <c r="J97" s="152"/>
      <c r="K97" s="152"/>
      <c r="L97" s="152"/>
      <c r="M97" s="152"/>
      <c r="N97" s="152"/>
      <c r="O97" s="152"/>
      <c r="P97" s="152"/>
      <c r="Q97" s="152"/>
      <c r="R97" s="152"/>
      <c r="S97" s="152"/>
      <c r="T97" s="152"/>
      <c r="U97" s="152"/>
      <c r="V97" s="152"/>
      <c r="W97" s="152"/>
      <c r="X97" s="152"/>
      <c r="Y97" s="152"/>
      <c r="Z97" s="152"/>
    </row>
    <row r="98" ht="32.1" customHeight="1" spans="1:26">
      <c r="A98" s="176">
        <v>88</v>
      </c>
      <c r="B98" s="176" t="s">
        <v>433</v>
      </c>
      <c r="C98" s="176" t="s">
        <v>434</v>
      </c>
      <c r="D98" s="152" t="s">
        <v>518</v>
      </c>
      <c r="E98" s="152" t="s">
        <v>519</v>
      </c>
      <c r="F98" s="152" t="s">
        <v>520</v>
      </c>
      <c r="G98" s="152" t="s">
        <v>521</v>
      </c>
      <c r="H98" s="152" t="s">
        <v>522</v>
      </c>
      <c r="I98" s="152"/>
      <c r="J98" s="152"/>
      <c r="K98" s="152"/>
      <c r="L98" s="152"/>
      <c r="M98" s="152"/>
      <c r="N98" s="152"/>
      <c r="O98" s="152"/>
      <c r="P98" s="152"/>
      <c r="Q98" s="152"/>
      <c r="R98" s="152"/>
      <c r="S98" s="152"/>
      <c r="T98" s="152"/>
      <c r="U98" s="152"/>
      <c r="V98" s="152"/>
      <c r="W98" s="152"/>
      <c r="X98" s="152"/>
      <c r="Y98" s="152"/>
      <c r="Z98" s="152"/>
    </row>
    <row r="99" ht="19" customHeight="1" spans="1:26">
      <c r="A99" s="176">
        <v>89</v>
      </c>
      <c r="B99" s="176" t="s">
        <v>523</v>
      </c>
      <c r="C99" s="176" t="s">
        <v>524</v>
      </c>
      <c r="D99" s="152" t="s">
        <v>525</v>
      </c>
      <c r="E99" s="152" t="s">
        <v>526</v>
      </c>
      <c r="F99" s="152" t="s">
        <v>527</v>
      </c>
      <c r="G99" s="152" t="s">
        <v>528</v>
      </c>
      <c r="H99" s="152" t="s">
        <v>529</v>
      </c>
      <c r="I99" s="152"/>
      <c r="J99" s="152"/>
      <c r="K99" s="152"/>
      <c r="L99" s="152"/>
      <c r="M99" s="152"/>
      <c r="N99" s="152"/>
      <c r="O99" s="152"/>
      <c r="P99" s="152"/>
      <c r="Q99" s="152"/>
      <c r="R99" s="152"/>
      <c r="S99" s="152"/>
      <c r="T99" s="152"/>
      <c r="U99" s="152"/>
      <c r="V99" s="152"/>
      <c r="W99" s="152"/>
      <c r="X99" s="152"/>
      <c r="Y99" s="152"/>
      <c r="Z99" s="152"/>
    </row>
    <row r="100" ht="32.1" customHeight="1" spans="1:26">
      <c r="A100" s="176">
        <v>90</v>
      </c>
      <c r="B100" s="176" t="s">
        <v>523</v>
      </c>
      <c r="C100" s="176" t="s">
        <v>524</v>
      </c>
      <c r="D100" s="152" t="s">
        <v>530</v>
      </c>
      <c r="E100" s="152" t="s">
        <v>531</v>
      </c>
      <c r="F100" s="152" t="s">
        <v>532</v>
      </c>
      <c r="G100" s="152" t="s">
        <v>533</v>
      </c>
      <c r="H100" s="152" t="s">
        <v>529</v>
      </c>
      <c r="I100" s="152"/>
      <c r="J100" s="152"/>
      <c r="K100" s="152"/>
      <c r="L100" s="152"/>
      <c r="M100" s="152"/>
      <c r="N100" s="152"/>
      <c r="O100" s="152"/>
      <c r="P100" s="152"/>
      <c r="Q100" s="152"/>
      <c r="R100" s="152"/>
      <c r="S100" s="152"/>
      <c r="T100" s="152"/>
      <c r="U100" s="152"/>
      <c r="V100" s="152"/>
      <c r="W100" s="152"/>
      <c r="X100" s="152"/>
      <c r="Y100" s="152"/>
      <c r="Z100" s="152"/>
    </row>
    <row r="101" ht="19" customHeight="1" spans="1:26">
      <c r="A101" s="176">
        <v>91</v>
      </c>
      <c r="B101" s="176" t="s">
        <v>523</v>
      </c>
      <c r="C101" s="176" t="s">
        <v>524</v>
      </c>
      <c r="D101" s="152" t="s">
        <v>534</v>
      </c>
      <c r="E101" s="152" t="s">
        <v>535</v>
      </c>
      <c r="F101" s="152" t="s">
        <v>536</v>
      </c>
      <c r="G101" s="152" t="s">
        <v>537</v>
      </c>
      <c r="H101" s="152" t="s">
        <v>529</v>
      </c>
      <c r="I101" s="152"/>
      <c r="J101" s="152"/>
      <c r="K101" s="152"/>
      <c r="L101" s="152"/>
      <c r="M101" s="152"/>
      <c r="N101" s="152"/>
      <c r="O101" s="152"/>
      <c r="P101" s="152"/>
      <c r="Q101" s="152"/>
      <c r="R101" s="152"/>
      <c r="S101" s="152"/>
      <c r="T101" s="152"/>
      <c r="U101" s="152"/>
      <c r="V101" s="152"/>
      <c r="W101" s="152"/>
      <c r="X101" s="152"/>
      <c r="Y101" s="152"/>
      <c r="Z101" s="152"/>
    </row>
    <row r="102" ht="32.1" customHeight="1" spans="1:26">
      <c r="A102" s="176">
        <v>92</v>
      </c>
      <c r="B102" s="176" t="s">
        <v>523</v>
      </c>
      <c r="C102" s="176" t="s">
        <v>524</v>
      </c>
      <c r="D102" s="152" t="s">
        <v>538</v>
      </c>
      <c r="E102" s="152" t="s">
        <v>539</v>
      </c>
      <c r="F102" s="152" t="s">
        <v>540</v>
      </c>
      <c r="G102" s="152" t="s">
        <v>541</v>
      </c>
      <c r="H102" s="152" t="s">
        <v>542</v>
      </c>
      <c r="I102" s="152"/>
      <c r="J102" s="152"/>
      <c r="K102" s="152"/>
      <c r="L102" s="152"/>
      <c r="M102" s="152"/>
      <c r="N102" s="152"/>
      <c r="O102" s="152"/>
      <c r="P102" s="152"/>
      <c r="Q102" s="152"/>
      <c r="R102" s="152"/>
      <c r="S102" s="152"/>
      <c r="T102" s="152"/>
      <c r="U102" s="152"/>
      <c r="V102" s="152"/>
      <c r="W102" s="152"/>
      <c r="X102" s="152"/>
      <c r="Y102" s="152"/>
      <c r="Z102" s="152"/>
    </row>
    <row r="103" ht="32.1" customHeight="1" spans="1:26">
      <c r="A103" s="176">
        <v>93</v>
      </c>
      <c r="B103" s="176" t="s">
        <v>523</v>
      </c>
      <c r="C103" s="176" t="s">
        <v>524</v>
      </c>
      <c r="D103" s="152" t="s">
        <v>543</v>
      </c>
      <c r="E103" s="152" t="s">
        <v>544</v>
      </c>
      <c r="F103" s="152" t="s">
        <v>545</v>
      </c>
      <c r="G103" s="152" t="s">
        <v>546</v>
      </c>
      <c r="H103" s="152" t="s">
        <v>547</v>
      </c>
      <c r="I103" s="152"/>
      <c r="J103" s="152"/>
      <c r="K103" s="152"/>
      <c r="L103" s="152"/>
      <c r="M103" s="152"/>
      <c r="N103" s="152"/>
      <c r="O103" s="152"/>
      <c r="P103" s="152"/>
      <c r="Q103" s="152"/>
      <c r="R103" s="152"/>
      <c r="S103" s="152"/>
      <c r="T103" s="152"/>
      <c r="U103" s="152"/>
      <c r="V103" s="152"/>
      <c r="W103" s="152"/>
      <c r="X103" s="152"/>
      <c r="Y103" s="152"/>
      <c r="Z103" s="152"/>
    </row>
    <row r="104" ht="32.1" customHeight="1" spans="1:26">
      <c r="A104" s="176">
        <v>94</v>
      </c>
      <c r="B104" s="176" t="s">
        <v>548</v>
      </c>
      <c r="C104" s="176" t="s">
        <v>549</v>
      </c>
      <c r="D104" s="152" t="s">
        <v>550</v>
      </c>
      <c r="E104" s="152" t="s">
        <v>551</v>
      </c>
      <c r="F104" s="152" t="s">
        <v>552</v>
      </c>
      <c r="G104" s="152" t="s">
        <v>553</v>
      </c>
      <c r="H104" s="152" t="s">
        <v>554</v>
      </c>
      <c r="I104" s="152"/>
      <c r="J104" s="152"/>
      <c r="K104" s="152"/>
      <c r="L104" s="152"/>
      <c r="M104" s="152"/>
      <c r="N104" s="152"/>
      <c r="O104" s="152"/>
      <c r="P104" s="152"/>
      <c r="Q104" s="152"/>
      <c r="R104" s="152"/>
      <c r="S104" s="152"/>
      <c r="T104" s="152"/>
      <c r="U104" s="152"/>
      <c r="V104" s="152"/>
      <c r="W104" s="152"/>
      <c r="X104" s="152"/>
      <c r="Y104" s="152"/>
      <c r="Z104" s="152"/>
    </row>
    <row r="105" ht="19" customHeight="1" spans="1:26">
      <c r="A105" s="176">
        <v>95</v>
      </c>
      <c r="B105" s="176" t="s">
        <v>555</v>
      </c>
      <c r="C105" s="176" t="s">
        <v>556</v>
      </c>
      <c r="D105" s="152" t="s">
        <v>557</v>
      </c>
      <c r="E105" s="152" t="s">
        <v>558</v>
      </c>
      <c r="F105" s="152" t="s">
        <v>559</v>
      </c>
      <c r="G105" s="152" t="s">
        <v>560</v>
      </c>
      <c r="H105" s="152" t="s">
        <v>561</v>
      </c>
      <c r="I105" s="152"/>
      <c r="J105" s="152"/>
      <c r="K105" s="152"/>
      <c r="L105" s="152"/>
      <c r="M105" s="152"/>
      <c r="N105" s="152"/>
      <c r="O105" s="152"/>
      <c r="P105" s="152"/>
      <c r="Q105" s="152"/>
      <c r="R105" s="152"/>
      <c r="S105" s="152"/>
      <c r="T105" s="152"/>
      <c r="U105" s="152"/>
      <c r="V105" s="152"/>
      <c r="W105" s="152"/>
      <c r="X105" s="152"/>
      <c r="Y105" s="152"/>
      <c r="Z105" s="152"/>
    </row>
    <row r="106" ht="32.1" customHeight="1" spans="1:26">
      <c r="A106" s="176">
        <v>96</v>
      </c>
      <c r="B106" s="176" t="s">
        <v>562</v>
      </c>
      <c r="C106" s="176" t="s">
        <v>563</v>
      </c>
      <c r="D106" s="152" t="s">
        <v>564</v>
      </c>
      <c r="E106" s="152" t="s">
        <v>565</v>
      </c>
      <c r="F106" s="152" t="s">
        <v>566</v>
      </c>
      <c r="G106" s="152" t="s">
        <v>567</v>
      </c>
      <c r="H106" s="152" t="s">
        <v>568</v>
      </c>
      <c r="I106" s="152"/>
      <c r="J106" s="152"/>
      <c r="K106" s="152"/>
      <c r="L106" s="152"/>
      <c r="M106" s="152"/>
      <c r="N106" s="152"/>
      <c r="O106" s="152"/>
      <c r="P106" s="152"/>
      <c r="Q106" s="152"/>
      <c r="R106" s="152"/>
      <c r="S106" s="152"/>
      <c r="T106" s="152"/>
      <c r="U106" s="152"/>
      <c r="V106" s="152"/>
      <c r="W106" s="152"/>
      <c r="X106" s="152"/>
      <c r="Y106" s="152"/>
      <c r="Z106" s="152"/>
    </row>
    <row r="107" ht="32.1" customHeight="1" spans="1:26">
      <c r="A107" s="176">
        <v>97</v>
      </c>
      <c r="B107" s="176" t="s">
        <v>569</v>
      </c>
      <c r="C107" s="176" t="s">
        <v>570</v>
      </c>
      <c r="D107" s="152" t="s">
        <v>571</v>
      </c>
      <c r="E107" s="152" t="s">
        <v>572</v>
      </c>
      <c r="F107" s="152" t="s">
        <v>573</v>
      </c>
      <c r="G107" s="152" t="s">
        <v>574</v>
      </c>
      <c r="H107" s="152" t="s">
        <v>575</v>
      </c>
      <c r="I107" s="152"/>
      <c r="J107" s="152"/>
      <c r="K107" s="152"/>
      <c r="L107" s="152"/>
      <c r="M107" s="152"/>
      <c r="N107" s="152"/>
      <c r="O107" s="152"/>
      <c r="P107" s="152"/>
      <c r="Q107" s="152"/>
      <c r="R107" s="152"/>
      <c r="S107" s="152"/>
      <c r="T107" s="152"/>
      <c r="U107" s="152"/>
      <c r="V107" s="152"/>
      <c r="W107" s="152"/>
      <c r="X107" s="152"/>
      <c r="Y107" s="152"/>
      <c r="Z107" s="152"/>
    </row>
    <row r="108" ht="32.1" customHeight="1" spans="1:26">
      <c r="A108" s="176">
        <v>98</v>
      </c>
      <c r="B108" s="176" t="s">
        <v>569</v>
      </c>
      <c r="C108" s="176" t="s">
        <v>570</v>
      </c>
      <c r="D108" s="152" t="s">
        <v>576</v>
      </c>
      <c r="E108" s="152" t="s">
        <v>577</v>
      </c>
      <c r="F108" s="152" t="s">
        <v>578</v>
      </c>
      <c r="G108" s="152" t="s">
        <v>579</v>
      </c>
      <c r="H108" s="152" t="s">
        <v>580</v>
      </c>
      <c r="I108" s="152"/>
      <c r="J108" s="152"/>
      <c r="K108" s="152"/>
      <c r="L108" s="152"/>
      <c r="M108" s="152"/>
      <c r="N108" s="152"/>
      <c r="O108" s="152"/>
      <c r="P108" s="152"/>
      <c r="Q108" s="152"/>
      <c r="R108" s="152"/>
      <c r="S108" s="152"/>
      <c r="T108" s="152"/>
      <c r="U108" s="152"/>
      <c r="V108" s="152"/>
      <c r="W108" s="152"/>
      <c r="X108" s="152"/>
      <c r="Y108" s="152"/>
      <c r="Z108" s="152"/>
    </row>
    <row r="109" ht="32.1" customHeight="1" spans="1:26">
      <c r="A109" s="176">
        <v>99</v>
      </c>
      <c r="B109" s="176" t="s">
        <v>569</v>
      </c>
      <c r="C109" s="176" t="s">
        <v>570</v>
      </c>
      <c r="D109" s="152" t="s">
        <v>581</v>
      </c>
      <c r="E109" s="152" t="s">
        <v>582</v>
      </c>
      <c r="F109" s="152" t="s">
        <v>583</v>
      </c>
      <c r="G109" s="152" t="s">
        <v>584</v>
      </c>
      <c r="H109" s="152" t="s">
        <v>585</v>
      </c>
      <c r="I109" s="152"/>
      <c r="J109" s="152"/>
      <c r="K109" s="152"/>
      <c r="L109" s="152"/>
      <c r="M109" s="152"/>
      <c r="N109" s="152"/>
      <c r="O109" s="152"/>
      <c r="P109" s="152"/>
      <c r="Q109" s="152"/>
      <c r="R109" s="152"/>
      <c r="S109" s="152"/>
      <c r="T109" s="152"/>
      <c r="U109" s="152"/>
      <c r="V109" s="152"/>
      <c r="W109" s="152"/>
      <c r="X109" s="152"/>
      <c r="Y109" s="152"/>
      <c r="Z109" s="152"/>
    </row>
    <row r="110" ht="32.1" customHeight="1" spans="1:26">
      <c r="A110" s="176">
        <v>100</v>
      </c>
      <c r="B110" s="176" t="s">
        <v>569</v>
      </c>
      <c r="C110" s="176" t="s">
        <v>570</v>
      </c>
      <c r="D110" s="152" t="s">
        <v>586</v>
      </c>
      <c r="E110" s="152" t="s">
        <v>587</v>
      </c>
      <c r="F110" s="152" t="s">
        <v>588</v>
      </c>
      <c r="G110" s="152" t="s">
        <v>589</v>
      </c>
      <c r="H110" s="152" t="s">
        <v>590</v>
      </c>
      <c r="I110" s="152"/>
      <c r="J110" s="152"/>
      <c r="K110" s="152"/>
      <c r="L110" s="152"/>
      <c r="M110" s="152"/>
      <c r="N110" s="152"/>
      <c r="O110" s="152"/>
      <c r="P110" s="152"/>
      <c r="Q110" s="152"/>
      <c r="R110" s="152"/>
      <c r="S110" s="152"/>
      <c r="T110" s="152"/>
      <c r="U110" s="152"/>
      <c r="V110" s="152"/>
      <c r="W110" s="152"/>
      <c r="X110" s="152"/>
      <c r="Y110" s="152"/>
      <c r="Z110" s="152"/>
    </row>
    <row r="111" ht="32.1" customHeight="1" spans="1:26">
      <c r="A111" s="176">
        <v>101</v>
      </c>
      <c r="B111" s="176" t="s">
        <v>569</v>
      </c>
      <c r="C111" s="176" t="s">
        <v>570</v>
      </c>
      <c r="D111" s="152" t="s">
        <v>591</v>
      </c>
      <c r="E111" s="152" t="s">
        <v>592</v>
      </c>
      <c r="F111" s="152" t="s">
        <v>593</v>
      </c>
      <c r="G111" s="152" t="s">
        <v>594</v>
      </c>
      <c r="H111" s="152" t="s">
        <v>595</v>
      </c>
      <c r="I111" s="152"/>
      <c r="J111" s="152"/>
      <c r="K111" s="152"/>
      <c r="L111" s="152"/>
      <c r="M111" s="152"/>
      <c r="N111" s="152"/>
      <c r="O111" s="152"/>
      <c r="P111" s="152"/>
      <c r="Q111" s="152"/>
      <c r="R111" s="152"/>
      <c r="S111" s="152"/>
      <c r="T111" s="152"/>
      <c r="U111" s="152"/>
      <c r="V111" s="152"/>
      <c r="W111" s="152"/>
      <c r="X111" s="152"/>
      <c r="Y111" s="152"/>
      <c r="Z111" s="152"/>
    </row>
    <row r="112" ht="32.1" customHeight="1" spans="1:26">
      <c r="A112" s="176">
        <v>102</v>
      </c>
      <c r="B112" s="176" t="s">
        <v>569</v>
      </c>
      <c r="C112" s="176" t="s">
        <v>570</v>
      </c>
      <c r="D112" s="152" t="s">
        <v>596</v>
      </c>
      <c r="E112" s="152" t="s">
        <v>597</v>
      </c>
      <c r="F112" s="152" t="s">
        <v>598</v>
      </c>
      <c r="G112" s="152" t="s">
        <v>599</v>
      </c>
      <c r="H112" s="152" t="s">
        <v>600</v>
      </c>
      <c r="I112" s="152"/>
      <c r="J112" s="152"/>
      <c r="K112" s="152"/>
      <c r="L112" s="152"/>
      <c r="M112" s="152"/>
      <c r="N112" s="152"/>
      <c r="O112" s="152"/>
      <c r="P112" s="152"/>
      <c r="Q112" s="152"/>
      <c r="R112" s="152"/>
      <c r="S112" s="152"/>
      <c r="T112" s="152"/>
      <c r="U112" s="152"/>
      <c r="V112" s="152"/>
      <c r="W112" s="152"/>
      <c r="X112" s="152"/>
      <c r="Y112" s="152"/>
      <c r="Z112" s="152"/>
    </row>
    <row r="113" ht="32.1" customHeight="1" spans="1:26">
      <c r="A113" s="176">
        <v>103</v>
      </c>
      <c r="B113" s="176" t="s">
        <v>569</v>
      </c>
      <c r="C113" s="176" t="s">
        <v>570</v>
      </c>
      <c r="D113" s="152" t="s">
        <v>601</v>
      </c>
      <c r="E113" s="152" t="s">
        <v>602</v>
      </c>
      <c r="F113" s="152" t="s">
        <v>603</v>
      </c>
      <c r="G113" s="152" t="s">
        <v>604</v>
      </c>
      <c r="H113" s="152" t="s">
        <v>605</v>
      </c>
      <c r="I113" s="152"/>
      <c r="J113" s="152"/>
      <c r="K113" s="152"/>
      <c r="L113" s="152"/>
      <c r="M113" s="152"/>
      <c r="N113" s="152"/>
      <c r="O113" s="152"/>
      <c r="P113" s="152"/>
      <c r="Q113" s="152"/>
      <c r="R113" s="152"/>
      <c r="S113" s="152"/>
      <c r="T113" s="152"/>
      <c r="U113" s="152"/>
      <c r="V113" s="152"/>
      <c r="W113" s="152"/>
      <c r="X113" s="152"/>
      <c r="Y113" s="152"/>
      <c r="Z113" s="152"/>
    </row>
    <row r="114" ht="32.1" customHeight="1" spans="1:26">
      <c r="A114" s="176">
        <v>104</v>
      </c>
      <c r="B114" s="176" t="s">
        <v>569</v>
      </c>
      <c r="C114" s="176" t="s">
        <v>570</v>
      </c>
      <c r="D114" s="152" t="s">
        <v>606</v>
      </c>
      <c r="E114" s="152" t="s">
        <v>607</v>
      </c>
      <c r="F114" s="152" t="s">
        <v>608</v>
      </c>
      <c r="G114" s="152" t="s">
        <v>609</v>
      </c>
      <c r="H114" s="152" t="s">
        <v>610</v>
      </c>
      <c r="I114" s="152"/>
      <c r="J114" s="152"/>
      <c r="K114" s="152"/>
      <c r="L114" s="152"/>
      <c r="M114" s="152"/>
      <c r="N114" s="152"/>
      <c r="O114" s="152"/>
      <c r="P114" s="152"/>
      <c r="Q114" s="152"/>
      <c r="R114" s="152"/>
      <c r="S114" s="152"/>
      <c r="T114" s="152"/>
      <c r="U114" s="152"/>
      <c r="V114" s="152"/>
      <c r="W114" s="152"/>
      <c r="X114" s="152"/>
      <c r="Y114" s="152"/>
      <c r="Z114" s="152"/>
    </row>
    <row r="115" ht="32.1" customHeight="1" spans="1:26">
      <c r="A115" s="176">
        <v>105</v>
      </c>
      <c r="B115" s="176" t="s">
        <v>569</v>
      </c>
      <c r="C115" s="176" t="s">
        <v>570</v>
      </c>
      <c r="D115" s="152" t="s">
        <v>611</v>
      </c>
      <c r="E115" s="152" t="s">
        <v>612</v>
      </c>
      <c r="F115" s="152" t="s">
        <v>613</v>
      </c>
      <c r="G115" s="152" t="s">
        <v>614</v>
      </c>
      <c r="H115" s="152" t="s">
        <v>615</v>
      </c>
      <c r="I115" s="152"/>
      <c r="J115" s="152"/>
      <c r="K115" s="152"/>
      <c r="L115" s="152"/>
      <c r="M115" s="152"/>
      <c r="N115" s="152"/>
      <c r="O115" s="152"/>
      <c r="P115" s="152"/>
      <c r="Q115" s="152"/>
      <c r="R115" s="152"/>
      <c r="S115" s="152"/>
      <c r="T115" s="152"/>
      <c r="U115" s="152"/>
      <c r="V115" s="152"/>
      <c r="W115" s="152"/>
      <c r="X115" s="152"/>
      <c r="Y115" s="152"/>
      <c r="Z115" s="152"/>
    </row>
    <row r="116" ht="32.1" customHeight="1" spans="1:26">
      <c r="A116" s="176">
        <v>106</v>
      </c>
      <c r="B116" s="176" t="s">
        <v>569</v>
      </c>
      <c r="C116" s="176" t="s">
        <v>570</v>
      </c>
      <c r="D116" s="152" t="s">
        <v>616</v>
      </c>
      <c r="E116" s="152" t="s">
        <v>617</v>
      </c>
      <c r="F116" s="152" t="s">
        <v>618</v>
      </c>
      <c r="G116" s="152" t="s">
        <v>619</v>
      </c>
      <c r="H116" s="152" t="s">
        <v>620</v>
      </c>
      <c r="I116" s="152"/>
      <c r="J116" s="152"/>
      <c r="K116" s="152"/>
      <c r="L116" s="152"/>
      <c r="M116" s="152"/>
      <c r="N116" s="152"/>
      <c r="O116" s="152"/>
      <c r="P116" s="152"/>
      <c r="Q116" s="152"/>
      <c r="R116" s="152"/>
      <c r="S116" s="152"/>
      <c r="T116" s="152"/>
      <c r="U116" s="152"/>
      <c r="V116" s="152"/>
      <c r="W116" s="152"/>
      <c r="X116" s="152"/>
      <c r="Y116" s="152"/>
      <c r="Z116" s="152"/>
    </row>
    <row r="117" ht="32.1" customHeight="1" spans="1:26">
      <c r="A117" s="176">
        <v>107</v>
      </c>
      <c r="B117" s="176" t="s">
        <v>569</v>
      </c>
      <c r="C117" s="176" t="s">
        <v>570</v>
      </c>
      <c r="D117" s="152" t="s">
        <v>621</v>
      </c>
      <c r="E117" s="152" t="s">
        <v>622</v>
      </c>
      <c r="F117" s="152" t="s">
        <v>623</v>
      </c>
      <c r="G117" s="152" t="s">
        <v>624</v>
      </c>
      <c r="H117" s="152" t="s">
        <v>625</v>
      </c>
      <c r="I117" s="152"/>
      <c r="J117" s="152"/>
      <c r="K117" s="152"/>
      <c r="L117" s="152"/>
      <c r="M117" s="152"/>
      <c r="N117" s="152"/>
      <c r="O117" s="152"/>
      <c r="P117" s="152"/>
      <c r="Q117" s="152"/>
      <c r="R117" s="152"/>
      <c r="S117" s="152"/>
      <c r="T117" s="152"/>
      <c r="U117" s="152"/>
      <c r="V117" s="152"/>
      <c r="W117" s="152"/>
      <c r="X117" s="152"/>
      <c r="Y117" s="152"/>
      <c r="Z117" s="152"/>
    </row>
    <row r="118" ht="45" customHeight="1" spans="1:26">
      <c r="A118" s="176">
        <v>108</v>
      </c>
      <c r="B118" s="176" t="s">
        <v>569</v>
      </c>
      <c r="C118" s="176" t="s">
        <v>570</v>
      </c>
      <c r="D118" s="152" t="s">
        <v>626</v>
      </c>
      <c r="E118" s="152" t="s">
        <v>627</v>
      </c>
      <c r="F118" s="152" t="s">
        <v>628</v>
      </c>
      <c r="G118" s="152" t="s">
        <v>629</v>
      </c>
      <c r="H118" s="152" t="s">
        <v>630</v>
      </c>
      <c r="I118" s="152"/>
      <c r="J118" s="152"/>
      <c r="K118" s="152"/>
      <c r="L118" s="152"/>
      <c r="M118" s="152"/>
      <c r="N118" s="152"/>
      <c r="O118" s="152"/>
      <c r="P118" s="152"/>
      <c r="Q118" s="152"/>
      <c r="R118" s="152"/>
      <c r="S118" s="152"/>
      <c r="T118" s="152"/>
      <c r="U118" s="152"/>
      <c r="V118" s="152"/>
      <c r="W118" s="152"/>
      <c r="X118" s="152"/>
      <c r="Y118" s="152"/>
      <c r="Z118" s="152"/>
    </row>
    <row r="119" ht="32.1" customHeight="1" spans="1:26">
      <c r="A119" s="176">
        <v>109</v>
      </c>
      <c r="B119" s="176" t="s">
        <v>569</v>
      </c>
      <c r="C119" s="176" t="s">
        <v>570</v>
      </c>
      <c r="D119" s="152" t="s">
        <v>631</v>
      </c>
      <c r="E119" s="152" t="s">
        <v>632</v>
      </c>
      <c r="F119" s="152" t="s">
        <v>633</v>
      </c>
      <c r="G119" s="152" t="s">
        <v>634</v>
      </c>
      <c r="H119" s="152" t="s">
        <v>635</v>
      </c>
      <c r="I119" s="152"/>
      <c r="J119" s="152"/>
      <c r="K119" s="152"/>
      <c r="L119" s="152"/>
      <c r="M119" s="152"/>
      <c r="N119" s="152"/>
      <c r="O119" s="152"/>
      <c r="P119" s="152"/>
      <c r="Q119" s="152"/>
      <c r="R119" s="152"/>
      <c r="S119" s="152"/>
      <c r="T119" s="152"/>
      <c r="U119" s="152"/>
      <c r="V119" s="152"/>
      <c r="W119" s="152"/>
      <c r="X119" s="152"/>
      <c r="Y119" s="152"/>
      <c r="Z119" s="152"/>
    </row>
    <row r="120" ht="32.1" customHeight="1" spans="1:26">
      <c r="A120" s="176">
        <v>110</v>
      </c>
      <c r="B120" s="176" t="s">
        <v>569</v>
      </c>
      <c r="C120" s="176" t="s">
        <v>570</v>
      </c>
      <c r="D120" s="152" t="s">
        <v>636</v>
      </c>
      <c r="E120" s="152" t="s">
        <v>637</v>
      </c>
      <c r="F120" s="152" t="s">
        <v>638</v>
      </c>
      <c r="G120" s="152" t="s">
        <v>639</v>
      </c>
      <c r="H120" s="152" t="s">
        <v>640</v>
      </c>
      <c r="I120" s="152"/>
      <c r="J120" s="152"/>
      <c r="K120" s="152"/>
      <c r="L120" s="152"/>
      <c r="M120" s="152"/>
      <c r="N120" s="152"/>
      <c r="O120" s="152"/>
      <c r="P120" s="152"/>
      <c r="Q120" s="152"/>
      <c r="R120" s="152"/>
      <c r="S120" s="152"/>
      <c r="T120" s="152"/>
      <c r="U120" s="152"/>
      <c r="V120" s="152"/>
      <c r="W120" s="152"/>
      <c r="X120" s="152"/>
      <c r="Y120" s="152"/>
      <c r="Z120" s="152"/>
    </row>
    <row r="121" ht="32.1" customHeight="1" spans="1:26">
      <c r="A121" s="176">
        <v>111</v>
      </c>
      <c r="B121" s="176" t="s">
        <v>569</v>
      </c>
      <c r="C121" s="176" t="s">
        <v>570</v>
      </c>
      <c r="D121" s="152" t="s">
        <v>641</v>
      </c>
      <c r="E121" s="152" t="s">
        <v>642</v>
      </c>
      <c r="F121" s="152" t="s">
        <v>643</v>
      </c>
      <c r="G121" s="152" t="s">
        <v>644</v>
      </c>
      <c r="H121" s="152" t="s">
        <v>645</v>
      </c>
      <c r="I121" s="152"/>
      <c r="J121" s="152"/>
      <c r="K121" s="152"/>
      <c r="L121" s="152"/>
      <c r="M121" s="152"/>
      <c r="N121" s="152"/>
      <c r="O121" s="152"/>
      <c r="P121" s="152"/>
      <c r="Q121" s="152"/>
      <c r="R121" s="152"/>
      <c r="S121" s="152"/>
      <c r="T121" s="152"/>
      <c r="U121" s="152"/>
      <c r="V121" s="152"/>
      <c r="W121" s="152"/>
      <c r="X121" s="152"/>
      <c r="Y121" s="152"/>
      <c r="Z121" s="152"/>
    </row>
    <row r="122" ht="32.1" customHeight="1" spans="1:26">
      <c r="A122" s="176">
        <v>112</v>
      </c>
      <c r="B122" s="176" t="s">
        <v>569</v>
      </c>
      <c r="C122" s="176" t="s">
        <v>570</v>
      </c>
      <c r="D122" s="152" t="s">
        <v>646</v>
      </c>
      <c r="E122" s="152" t="s">
        <v>647</v>
      </c>
      <c r="F122" s="152" t="s">
        <v>648</v>
      </c>
      <c r="G122" s="152" t="s">
        <v>649</v>
      </c>
      <c r="H122" s="152" t="s">
        <v>650</v>
      </c>
      <c r="I122" s="152"/>
      <c r="J122" s="152"/>
      <c r="K122" s="152"/>
      <c r="L122" s="152"/>
      <c r="M122" s="152"/>
      <c r="N122" s="152"/>
      <c r="O122" s="152"/>
      <c r="P122" s="152"/>
      <c r="Q122" s="152"/>
      <c r="R122" s="152"/>
      <c r="S122" s="152"/>
      <c r="T122" s="152"/>
      <c r="U122" s="152"/>
      <c r="V122" s="152"/>
      <c r="W122" s="152"/>
      <c r="X122" s="152"/>
      <c r="Y122" s="152"/>
      <c r="Z122" s="152"/>
    </row>
    <row r="123" ht="32.1" customHeight="1" spans="1:26">
      <c r="A123" s="176">
        <v>113</v>
      </c>
      <c r="B123" s="176" t="s">
        <v>569</v>
      </c>
      <c r="C123" s="176" t="s">
        <v>570</v>
      </c>
      <c r="D123" s="152" t="s">
        <v>651</v>
      </c>
      <c r="E123" s="152" t="s">
        <v>652</v>
      </c>
      <c r="F123" s="152" t="s">
        <v>653</v>
      </c>
      <c r="G123" s="152" t="s">
        <v>654</v>
      </c>
      <c r="H123" s="152" t="s">
        <v>655</v>
      </c>
      <c r="I123" s="152"/>
      <c r="J123" s="152"/>
      <c r="K123" s="152"/>
      <c r="L123" s="152"/>
      <c r="M123" s="152"/>
      <c r="N123" s="152"/>
      <c r="O123" s="152"/>
      <c r="P123" s="152"/>
      <c r="Q123" s="152"/>
      <c r="R123" s="152"/>
      <c r="S123" s="152"/>
      <c r="T123" s="152"/>
      <c r="U123" s="152"/>
      <c r="V123" s="152"/>
      <c r="W123" s="152"/>
      <c r="X123" s="152"/>
      <c r="Y123" s="152"/>
      <c r="Z123" s="152"/>
    </row>
    <row r="124" ht="32.1" customHeight="1" spans="1:26">
      <c r="A124" s="176">
        <v>114</v>
      </c>
      <c r="B124" s="176" t="s">
        <v>569</v>
      </c>
      <c r="C124" s="176" t="s">
        <v>570</v>
      </c>
      <c r="D124" s="152" t="s">
        <v>656</v>
      </c>
      <c r="E124" s="152" t="s">
        <v>657</v>
      </c>
      <c r="F124" s="152" t="s">
        <v>658</v>
      </c>
      <c r="G124" s="152" t="s">
        <v>659</v>
      </c>
      <c r="H124" s="152" t="s">
        <v>660</v>
      </c>
      <c r="I124" s="152"/>
      <c r="J124" s="152"/>
      <c r="K124" s="152"/>
      <c r="L124" s="152"/>
      <c r="M124" s="152"/>
      <c r="N124" s="152"/>
      <c r="O124" s="152"/>
      <c r="P124" s="152"/>
      <c r="Q124" s="152"/>
      <c r="R124" s="152"/>
      <c r="S124" s="152"/>
      <c r="T124" s="152"/>
      <c r="U124" s="152"/>
      <c r="V124" s="152"/>
      <c r="W124" s="152"/>
      <c r="X124" s="152"/>
      <c r="Y124" s="152"/>
      <c r="Z124" s="152"/>
    </row>
    <row r="125" ht="12.8" customHeight="1" spans="1:26">
      <c r="A125" s="176"/>
      <c r="B125" s="176"/>
      <c r="C125" s="176"/>
      <c r="D125" s="152"/>
      <c r="E125" s="152"/>
      <c r="F125" s="152"/>
      <c r="G125" s="152"/>
      <c r="H125" s="152"/>
      <c r="I125" s="152"/>
      <c r="J125" s="152"/>
      <c r="K125" s="152"/>
      <c r="L125" s="152"/>
      <c r="M125" s="152"/>
      <c r="N125" s="152"/>
      <c r="O125" s="152"/>
      <c r="P125" s="152"/>
      <c r="Q125" s="152"/>
      <c r="R125" s="152"/>
      <c r="S125" s="152"/>
      <c r="T125" s="152"/>
      <c r="U125" s="152"/>
      <c r="V125" s="152"/>
      <c r="W125" s="152"/>
      <c r="X125" s="152"/>
      <c r="Y125" s="152"/>
      <c r="Z125" s="152"/>
    </row>
    <row r="126" ht="12.8" customHeight="1" spans="1:26">
      <c r="A126" s="176"/>
      <c r="B126" s="176"/>
      <c r="C126" s="176"/>
      <c r="D126" s="152"/>
      <c r="E126" s="152"/>
      <c r="F126" s="152"/>
      <c r="G126" s="152"/>
      <c r="H126" s="152"/>
      <c r="I126" s="152"/>
      <c r="J126" s="152"/>
      <c r="K126" s="152"/>
      <c r="L126" s="152"/>
      <c r="M126" s="152"/>
      <c r="N126" s="152"/>
      <c r="O126" s="152"/>
      <c r="P126" s="152"/>
      <c r="Q126" s="152"/>
      <c r="R126" s="152"/>
      <c r="S126" s="152"/>
      <c r="T126" s="152"/>
      <c r="U126" s="152"/>
      <c r="V126" s="152"/>
      <c r="W126" s="152"/>
      <c r="X126" s="152"/>
      <c r="Y126" s="152"/>
      <c r="Z126" s="152"/>
    </row>
    <row r="127" ht="12.8" customHeight="1" spans="1:26">
      <c r="A127" s="176"/>
      <c r="B127" s="176"/>
      <c r="C127" s="176"/>
      <c r="D127" s="152"/>
      <c r="E127" s="152"/>
      <c r="F127" s="152"/>
      <c r="G127" s="152"/>
      <c r="H127" s="152"/>
      <c r="I127" s="152"/>
      <c r="J127" s="152"/>
      <c r="K127" s="152"/>
      <c r="L127" s="152"/>
      <c r="M127" s="152"/>
      <c r="N127" s="152"/>
      <c r="O127" s="152"/>
      <c r="P127" s="152"/>
      <c r="Q127" s="152"/>
      <c r="R127" s="152"/>
      <c r="S127" s="152"/>
      <c r="T127" s="152"/>
      <c r="U127" s="152"/>
      <c r="V127" s="152"/>
      <c r="W127" s="152"/>
      <c r="X127" s="152"/>
      <c r="Y127" s="152"/>
      <c r="Z127" s="152"/>
    </row>
    <row r="128" ht="12.8" customHeight="1" spans="1:26">
      <c r="A128" s="176"/>
      <c r="B128" s="176"/>
      <c r="C128" s="176"/>
      <c r="D128" s="152"/>
      <c r="E128" s="152"/>
      <c r="F128" s="152"/>
      <c r="G128" s="152"/>
      <c r="H128" s="152"/>
      <c r="I128" s="152"/>
      <c r="J128" s="152"/>
      <c r="K128" s="152"/>
      <c r="L128" s="152"/>
      <c r="M128" s="152"/>
      <c r="N128" s="152"/>
      <c r="O128" s="152"/>
      <c r="P128" s="152"/>
      <c r="Q128" s="152"/>
      <c r="R128" s="152"/>
      <c r="S128" s="152"/>
      <c r="T128" s="152"/>
      <c r="U128" s="152"/>
      <c r="V128" s="152"/>
      <c r="W128" s="152"/>
      <c r="X128" s="152"/>
      <c r="Y128" s="152"/>
      <c r="Z128" s="152"/>
    </row>
    <row r="129" ht="12.8" customHeight="1" spans="1:26">
      <c r="A129" s="176"/>
      <c r="B129" s="176"/>
      <c r="C129" s="176"/>
      <c r="D129" s="152"/>
      <c r="E129" s="152"/>
      <c r="F129" s="152"/>
      <c r="G129" s="152"/>
      <c r="H129" s="152"/>
      <c r="I129" s="152"/>
      <c r="J129" s="152"/>
      <c r="K129" s="152"/>
      <c r="L129" s="152"/>
      <c r="M129" s="152"/>
      <c r="N129" s="152"/>
      <c r="O129" s="152"/>
      <c r="P129" s="152"/>
      <c r="Q129" s="152"/>
      <c r="R129" s="152"/>
      <c r="S129" s="152"/>
      <c r="T129" s="152"/>
      <c r="U129" s="152"/>
      <c r="V129" s="152"/>
      <c r="W129" s="152"/>
      <c r="X129" s="152"/>
      <c r="Y129" s="152"/>
      <c r="Z129" s="152"/>
    </row>
    <row r="130" ht="12.8" customHeight="1" spans="1:26">
      <c r="A130" s="176"/>
      <c r="B130" s="176"/>
      <c r="C130" s="176"/>
      <c r="D130" s="152"/>
      <c r="E130" s="152"/>
      <c r="F130" s="152"/>
      <c r="G130" s="152"/>
      <c r="H130" s="152"/>
      <c r="I130" s="152"/>
      <c r="J130" s="152"/>
      <c r="K130" s="152"/>
      <c r="L130" s="152"/>
      <c r="M130" s="152"/>
      <c r="N130" s="152"/>
      <c r="O130" s="152"/>
      <c r="P130" s="152"/>
      <c r="Q130" s="152"/>
      <c r="R130" s="152"/>
      <c r="S130" s="152"/>
      <c r="T130" s="152"/>
      <c r="U130" s="152"/>
      <c r="V130" s="152"/>
      <c r="W130" s="152"/>
      <c r="X130" s="152"/>
      <c r="Y130" s="152"/>
      <c r="Z130" s="152"/>
    </row>
    <row r="131" ht="12.8" customHeight="1" spans="1:26">
      <c r="A131" s="176"/>
      <c r="B131" s="176"/>
      <c r="C131" s="176"/>
      <c r="D131" s="152"/>
      <c r="E131" s="152"/>
      <c r="F131" s="152"/>
      <c r="G131" s="152"/>
      <c r="H131" s="152"/>
      <c r="I131" s="152"/>
      <c r="J131" s="152"/>
      <c r="K131" s="152"/>
      <c r="L131" s="152"/>
      <c r="M131" s="152"/>
      <c r="N131" s="152"/>
      <c r="O131" s="152"/>
      <c r="P131" s="152"/>
      <c r="Q131" s="152"/>
      <c r="R131" s="152"/>
      <c r="S131" s="152"/>
      <c r="T131" s="152"/>
      <c r="U131" s="152"/>
      <c r="V131" s="152"/>
      <c r="W131" s="152"/>
      <c r="X131" s="152"/>
      <c r="Y131" s="152"/>
      <c r="Z131" s="152"/>
    </row>
    <row r="132" ht="12.8" customHeight="1" spans="1:26">
      <c r="A132" s="176"/>
      <c r="B132" s="176"/>
      <c r="C132" s="176"/>
      <c r="D132" s="152"/>
      <c r="E132" s="152"/>
      <c r="F132" s="152"/>
      <c r="G132" s="152"/>
      <c r="H132" s="152"/>
      <c r="I132" s="152"/>
      <c r="J132" s="152"/>
      <c r="K132" s="152"/>
      <c r="L132" s="152"/>
      <c r="M132" s="152"/>
      <c r="N132" s="152"/>
      <c r="O132" s="152"/>
      <c r="P132" s="152"/>
      <c r="Q132" s="152"/>
      <c r="R132" s="152"/>
      <c r="S132" s="152"/>
      <c r="T132" s="152"/>
      <c r="U132" s="152"/>
      <c r="V132" s="152"/>
      <c r="W132" s="152"/>
      <c r="X132" s="152"/>
      <c r="Y132" s="152"/>
      <c r="Z132" s="152"/>
    </row>
    <row r="133" ht="12.8" customHeight="1" spans="1:26">
      <c r="A133" s="176"/>
      <c r="B133" s="176"/>
      <c r="C133" s="176"/>
      <c r="D133" s="152"/>
      <c r="E133" s="152"/>
      <c r="F133" s="152"/>
      <c r="G133" s="152"/>
      <c r="H133" s="152"/>
      <c r="I133" s="152"/>
      <c r="J133" s="152"/>
      <c r="K133" s="152"/>
      <c r="L133" s="152"/>
      <c r="M133" s="152"/>
      <c r="N133" s="152"/>
      <c r="O133" s="152"/>
      <c r="P133" s="152"/>
      <c r="Q133" s="152"/>
      <c r="R133" s="152"/>
      <c r="S133" s="152"/>
      <c r="T133" s="152"/>
      <c r="U133" s="152"/>
      <c r="V133" s="152"/>
      <c r="W133" s="152"/>
      <c r="X133" s="152"/>
      <c r="Y133" s="152"/>
      <c r="Z133" s="152"/>
    </row>
    <row r="134" ht="12.8" customHeight="1" spans="1:26">
      <c r="A134" s="176"/>
      <c r="B134" s="176"/>
      <c r="C134" s="176"/>
      <c r="D134" s="152"/>
      <c r="E134" s="152"/>
      <c r="F134" s="152"/>
      <c r="G134" s="152"/>
      <c r="H134" s="152"/>
      <c r="I134" s="152"/>
      <c r="J134" s="152"/>
      <c r="K134" s="152"/>
      <c r="L134" s="152"/>
      <c r="M134" s="152"/>
      <c r="N134" s="152"/>
      <c r="O134" s="152"/>
      <c r="P134" s="152"/>
      <c r="Q134" s="152"/>
      <c r="R134" s="152"/>
      <c r="S134" s="152"/>
      <c r="T134" s="152"/>
      <c r="U134" s="152"/>
      <c r="V134" s="152"/>
      <c r="W134" s="152"/>
      <c r="X134" s="152"/>
      <c r="Y134" s="152"/>
      <c r="Z134" s="152"/>
    </row>
    <row r="135" ht="12.8" customHeight="1" spans="1:26">
      <c r="A135" s="176"/>
      <c r="B135" s="176"/>
      <c r="C135" s="176"/>
      <c r="D135" s="152"/>
      <c r="E135" s="152"/>
      <c r="F135" s="152"/>
      <c r="G135" s="152"/>
      <c r="H135" s="152"/>
      <c r="I135" s="152"/>
      <c r="J135" s="152"/>
      <c r="K135" s="152"/>
      <c r="L135" s="152"/>
      <c r="M135" s="152"/>
      <c r="N135" s="152"/>
      <c r="O135" s="152"/>
      <c r="P135" s="152"/>
      <c r="Q135" s="152"/>
      <c r="R135" s="152"/>
      <c r="S135" s="152"/>
      <c r="T135" s="152"/>
      <c r="U135" s="152"/>
      <c r="V135" s="152"/>
      <c r="W135" s="152"/>
      <c r="X135" s="152"/>
      <c r="Y135" s="152"/>
      <c r="Z135" s="152"/>
    </row>
    <row r="136" ht="12.8" customHeight="1" spans="1:26">
      <c r="A136" s="176"/>
      <c r="B136" s="176"/>
      <c r="C136" s="176"/>
      <c r="D136" s="152"/>
      <c r="E136" s="152"/>
      <c r="F136" s="152"/>
      <c r="G136" s="152"/>
      <c r="H136" s="152"/>
      <c r="I136" s="152"/>
      <c r="J136" s="152"/>
      <c r="K136" s="152"/>
      <c r="L136" s="152"/>
      <c r="M136" s="152"/>
      <c r="N136" s="152"/>
      <c r="O136" s="152"/>
      <c r="P136" s="152"/>
      <c r="Q136" s="152"/>
      <c r="R136" s="152"/>
      <c r="S136" s="152"/>
      <c r="T136" s="152"/>
      <c r="U136" s="152"/>
      <c r="V136" s="152"/>
      <c r="W136" s="152"/>
      <c r="X136" s="152"/>
      <c r="Y136" s="152"/>
      <c r="Z136" s="152"/>
    </row>
    <row r="137" ht="12.8" customHeight="1" spans="1:26">
      <c r="A137" s="176"/>
      <c r="B137" s="176"/>
      <c r="C137" s="176"/>
      <c r="D137" s="152"/>
      <c r="E137" s="152"/>
      <c r="F137" s="152"/>
      <c r="G137" s="152"/>
      <c r="H137" s="152"/>
      <c r="I137" s="152"/>
      <c r="J137" s="152"/>
      <c r="K137" s="152"/>
      <c r="L137" s="152"/>
      <c r="M137" s="152"/>
      <c r="N137" s="152"/>
      <c r="O137" s="152"/>
      <c r="P137" s="152"/>
      <c r="Q137" s="152"/>
      <c r="R137" s="152"/>
      <c r="S137" s="152"/>
      <c r="T137" s="152"/>
      <c r="U137" s="152"/>
      <c r="V137" s="152"/>
      <c r="W137" s="152"/>
      <c r="X137" s="152"/>
      <c r="Y137" s="152"/>
      <c r="Z137" s="152"/>
    </row>
    <row r="138" ht="12.8" customHeight="1" spans="1:26">
      <c r="A138" s="176"/>
      <c r="B138" s="176"/>
      <c r="C138" s="176"/>
      <c r="D138" s="152"/>
      <c r="E138" s="152"/>
      <c r="F138" s="152"/>
      <c r="G138" s="152"/>
      <c r="H138" s="152"/>
      <c r="I138" s="152"/>
      <c r="J138" s="152"/>
      <c r="K138" s="152"/>
      <c r="L138" s="152"/>
      <c r="M138" s="152"/>
      <c r="N138" s="152"/>
      <c r="O138" s="152"/>
      <c r="P138" s="152"/>
      <c r="Q138" s="152"/>
      <c r="R138" s="152"/>
      <c r="S138" s="152"/>
      <c r="T138" s="152"/>
      <c r="U138" s="152"/>
      <c r="V138" s="152"/>
      <c r="W138" s="152"/>
      <c r="X138" s="152"/>
      <c r="Y138" s="152"/>
      <c r="Z138" s="152"/>
    </row>
    <row r="139" ht="12.8" customHeight="1" spans="1:26">
      <c r="A139" s="176"/>
      <c r="B139" s="176"/>
      <c r="C139" s="176"/>
      <c r="D139" s="152"/>
      <c r="E139" s="152"/>
      <c r="F139" s="152"/>
      <c r="G139" s="152"/>
      <c r="H139" s="152"/>
      <c r="I139" s="152"/>
      <c r="J139" s="152"/>
      <c r="K139" s="152"/>
      <c r="L139" s="152"/>
      <c r="M139" s="152"/>
      <c r="N139" s="152"/>
      <c r="O139" s="152"/>
      <c r="P139" s="152"/>
      <c r="Q139" s="152"/>
      <c r="R139" s="152"/>
      <c r="S139" s="152"/>
      <c r="T139" s="152"/>
      <c r="U139" s="152"/>
      <c r="V139" s="152"/>
      <c r="W139" s="152"/>
      <c r="X139" s="152"/>
      <c r="Y139" s="152"/>
      <c r="Z139" s="152"/>
    </row>
    <row r="140" ht="12.8" customHeight="1" spans="1:26">
      <c r="A140" s="176"/>
      <c r="B140" s="176"/>
      <c r="C140" s="176"/>
      <c r="D140" s="152"/>
      <c r="E140" s="152"/>
      <c r="F140" s="152"/>
      <c r="G140" s="152"/>
      <c r="H140" s="152"/>
      <c r="I140" s="152"/>
      <c r="J140" s="152"/>
      <c r="K140" s="152"/>
      <c r="L140" s="152"/>
      <c r="M140" s="152"/>
      <c r="N140" s="152"/>
      <c r="O140" s="152"/>
      <c r="P140" s="152"/>
      <c r="Q140" s="152"/>
      <c r="R140" s="152"/>
      <c r="S140" s="152"/>
      <c r="T140" s="152"/>
      <c r="U140" s="152"/>
      <c r="V140" s="152"/>
      <c r="W140" s="152"/>
      <c r="X140" s="152"/>
      <c r="Y140" s="152"/>
      <c r="Z140" s="152"/>
    </row>
    <row r="141" ht="12.8" customHeight="1" spans="1:26">
      <c r="A141" s="176"/>
      <c r="B141" s="176"/>
      <c r="C141" s="176"/>
      <c r="D141" s="152"/>
      <c r="E141" s="152"/>
      <c r="F141" s="152"/>
      <c r="G141" s="152"/>
      <c r="H141" s="152"/>
      <c r="I141" s="152"/>
      <c r="J141" s="152"/>
      <c r="K141" s="152"/>
      <c r="L141" s="152"/>
      <c r="M141" s="152"/>
      <c r="N141" s="152"/>
      <c r="O141" s="152"/>
      <c r="P141" s="152"/>
      <c r="Q141" s="152"/>
      <c r="R141" s="152"/>
      <c r="S141" s="152"/>
      <c r="T141" s="152"/>
      <c r="U141" s="152"/>
      <c r="V141" s="152"/>
      <c r="W141" s="152"/>
      <c r="X141" s="152"/>
      <c r="Y141" s="152"/>
      <c r="Z141" s="152"/>
    </row>
    <row r="142" ht="12.8" customHeight="1" spans="1:26">
      <c r="A142" s="176"/>
      <c r="B142" s="176"/>
      <c r="C142" s="176"/>
      <c r="D142" s="152"/>
      <c r="E142" s="152"/>
      <c r="F142" s="152"/>
      <c r="G142" s="152"/>
      <c r="H142" s="152"/>
      <c r="I142" s="152"/>
      <c r="J142" s="152"/>
      <c r="K142" s="152"/>
      <c r="L142" s="152"/>
      <c r="M142" s="152"/>
      <c r="N142" s="152"/>
      <c r="O142" s="152"/>
      <c r="P142" s="152"/>
      <c r="Q142" s="152"/>
      <c r="R142" s="152"/>
      <c r="S142" s="152"/>
      <c r="T142" s="152"/>
      <c r="U142" s="152"/>
      <c r="V142" s="152"/>
      <c r="W142" s="152"/>
      <c r="X142" s="152"/>
      <c r="Y142" s="152"/>
      <c r="Z142" s="152"/>
    </row>
    <row r="143" ht="12.8" customHeight="1" spans="1:26">
      <c r="A143" s="176"/>
      <c r="B143" s="176"/>
      <c r="C143" s="176"/>
      <c r="D143" s="152"/>
      <c r="E143" s="152"/>
      <c r="F143" s="152"/>
      <c r="G143" s="152"/>
      <c r="H143" s="152"/>
      <c r="I143" s="152"/>
      <c r="J143" s="152"/>
      <c r="K143" s="152"/>
      <c r="L143" s="152"/>
      <c r="M143" s="152"/>
      <c r="N143" s="152"/>
      <c r="O143" s="152"/>
      <c r="P143" s="152"/>
      <c r="Q143" s="152"/>
      <c r="R143" s="152"/>
      <c r="S143" s="152"/>
      <c r="T143" s="152"/>
      <c r="U143" s="152"/>
      <c r="V143" s="152"/>
      <c r="W143" s="152"/>
      <c r="X143" s="152"/>
      <c r="Y143" s="152"/>
      <c r="Z143" s="152"/>
    </row>
    <row r="144" ht="12.8" customHeight="1" spans="1:26">
      <c r="A144" s="176"/>
      <c r="B144" s="176"/>
      <c r="C144" s="176"/>
      <c r="D144" s="152"/>
      <c r="E144" s="152"/>
      <c r="F144" s="152"/>
      <c r="G144" s="152"/>
      <c r="H144" s="152"/>
      <c r="I144" s="152"/>
      <c r="J144" s="152"/>
      <c r="K144" s="152"/>
      <c r="L144" s="152"/>
      <c r="M144" s="152"/>
      <c r="N144" s="152"/>
      <c r="O144" s="152"/>
      <c r="P144" s="152"/>
      <c r="Q144" s="152"/>
      <c r="R144" s="152"/>
      <c r="S144" s="152"/>
      <c r="T144" s="152"/>
      <c r="U144" s="152"/>
      <c r="V144" s="152"/>
      <c r="W144" s="152"/>
      <c r="X144" s="152"/>
      <c r="Y144" s="152"/>
      <c r="Z144" s="152"/>
    </row>
    <row r="145" ht="12.8" customHeight="1" spans="1:26">
      <c r="A145" s="176"/>
      <c r="B145" s="176"/>
      <c r="C145" s="176"/>
      <c r="D145" s="152"/>
      <c r="E145" s="152"/>
      <c r="F145" s="152"/>
      <c r="G145" s="152"/>
      <c r="H145" s="152"/>
      <c r="I145" s="152"/>
      <c r="J145" s="152"/>
      <c r="K145" s="152"/>
      <c r="L145" s="152"/>
      <c r="M145" s="152"/>
      <c r="N145" s="152"/>
      <c r="O145" s="152"/>
      <c r="P145" s="152"/>
      <c r="Q145" s="152"/>
      <c r="R145" s="152"/>
      <c r="S145" s="152"/>
      <c r="T145" s="152"/>
      <c r="U145" s="152"/>
      <c r="V145" s="152"/>
      <c r="W145" s="152"/>
      <c r="X145" s="152"/>
      <c r="Y145" s="152"/>
      <c r="Z145" s="152"/>
    </row>
    <row r="146" ht="12.8" customHeight="1" spans="1:26">
      <c r="A146" s="176"/>
      <c r="B146" s="176"/>
      <c r="C146" s="176"/>
      <c r="D146" s="152"/>
      <c r="E146" s="152"/>
      <c r="F146" s="152"/>
      <c r="G146" s="152"/>
      <c r="H146" s="152"/>
      <c r="I146" s="152"/>
      <c r="J146" s="152"/>
      <c r="K146" s="152"/>
      <c r="L146" s="152"/>
      <c r="M146" s="152"/>
      <c r="N146" s="152"/>
      <c r="O146" s="152"/>
      <c r="P146" s="152"/>
      <c r="Q146" s="152"/>
      <c r="R146" s="152"/>
      <c r="S146" s="152"/>
      <c r="T146" s="152"/>
      <c r="U146" s="152"/>
      <c r="V146" s="152"/>
      <c r="W146" s="152"/>
      <c r="X146" s="152"/>
      <c r="Y146" s="152"/>
      <c r="Z146" s="152"/>
    </row>
    <row r="147" ht="12.8" customHeight="1" spans="1:26">
      <c r="A147" s="176"/>
      <c r="B147" s="176"/>
      <c r="C147" s="176"/>
      <c r="D147" s="152"/>
      <c r="E147" s="152"/>
      <c r="F147" s="152"/>
      <c r="G147" s="152"/>
      <c r="H147" s="152"/>
      <c r="I147" s="152"/>
      <c r="J147" s="152"/>
      <c r="K147" s="152"/>
      <c r="L147" s="152"/>
      <c r="M147" s="152"/>
      <c r="N147" s="152"/>
      <c r="O147" s="152"/>
      <c r="P147" s="152"/>
      <c r="Q147" s="152"/>
      <c r="R147" s="152"/>
      <c r="S147" s="152"/>
      <c r="T147" s="152"/>
      <c r="U147" s="152"/>
      <c r="V147" s="152"/>
      <c r="W147" s="152"/>
      <c r="X147" s="152"/>
      <c r="Y147" s="152"/>
      <c r="Z147" s="152"/>
    </row>
    <row r="148" ht="12.8" customHeight="1" spans="1:26">
      <c r="A148" s="176"/>
      <c r="B148" s="176"/>
      <c r="C148" s="176"/>
      <c r="D148" s="152"/>
      <c r="E148" s="152"/>
      <c r="F148" s="152"/>
      <c r="G148" s="152"/>
      <c r="H148" s="152"/>
      <c r="I148" s="152"/>
      <c r="J148" s="152"/>
      <c r="K148" s="152"/>
      <c r="L148" s="152"/>
      <c r="M148" s="152"/>
      <c r="N148" s="152"/>
      <c r="O148" s="152"/>
      <c r="P148" s="152"/>
      <c r="Q148" s="152"/>
      <c r="R148" s="152"/>
      <c r="S148" s="152"/>
      <c r="T148" s="152"/>
      <c r="U148" s="152"/>
      <c r="V148" s="152"/>
      <c r="W148" s="152"/>
      <c r="X148" s="152"/>
      <c r="Y148" s="152"/>
      <c r="Z148" s="152"/>
    </row>
    <row r="149" ht="12.8" customHeight="1" spans="1:26">
      <c r="A149" s="176"/>
      <c r="B149" s="176"/>
      <c r="C149" s="176"/>
      <c r="D149" s="152"/>
      <c r="E149" s="152"/>
      <c r="F149" s="152"/>
      <c r="G149" s="152"/>
      <c r="H149" s="152"/>
      <c r="I149" s="152"/>
      <c r="J149" s="152"/>
      <c r="K149" s="152"/>
      <c r="L149" s="152"/>
      <c r="M149" s="152"/>
      <c r="N149" s="152"/>
      <c r="O149" s="152"/>
      <c r="P149" s="152"/>
      <c r="Q149" s="152"/>
      <c r="R149" s="152"/>
      <c r="S149" s="152"/>
      <c r="T149" s="152"/>
      <c r="U149" s="152"/>
      <c r="V149" s="152"/>
      <c r="W149" s="152"/>
      <c r="X149" s="152"/>
      <c r="Y149" s="152"/>
      <c r="Z149" s="152"/>
    </row>
    <row r="150" ht="12.8" customHeight="1" spans="1:26">
      <c r="A150" s="176"/>
      <c r="B150" s="176"/>
      <c r="C150" s="176"/>
      <c r="D150" s="152"/>
      <c r="E150" s="152"/>
      <c r="F150" s="152"/>
      <c r="G150" s="152"/>
      <c r="H150" s="152"/>
      <c r="I150" s="152"/>
      <c r="J150" s="152"/>
      <c r="K150" s="152"/>
      <c r="L150" s="152"/>
      <c r="M150" s="152"/>
      <c r="N150" s="152"/>
      <c r="O150" s="152"/>
      <c r="P150" s="152"/>
      <c r="Q150" s="152"/>
      <c r="R150" s="152"/>
      <c r="S150" s="152"/>
      <c r="T150" s="152"/>
      <c r="U150" s="152"/>
      <c r="V150" s="152"/>
      <c r="W150" s="152"/>
      <c r="X150" s="152"/>
      <c r="Y150" s="152"/>
      <c r="Z150" s="152"/>
    </row>
    <row r="151" ht="12.8" customHeight="1" spans="1:26">
      <c r="A151" s="176"/>
      <c r="B151" s="176"/>
      <c r="C151" s="176"/>
      <c r="D151" s="152"/>
      <c r="E151" s="152"/>
      <c r="F151" s="152"/>
      <c r="G151" s="152"/>
      <c r="H151" s="152"/>
      <c r="I151" s="152"/>
      <c r="J151" s="152"/>
      <c r="K151" s="152"/>
      <c r="L151" s="152"/>
      <c r="M151" s="152"/>
      <c r="N151" s="152"/>
      <c r="O151" s="152"/>
      <c r="P151" s="152"/>
      <c r="Q151" s="152"/>
      <c r="R151" s="152"/>
      <c r="S151" s="152"/>
      <c r="T151" s="152"/>
      <c r="U151" s="152"/>
      <c r="V151" s="152"/>
      <c r="W151" s="152"/>
      <c r="X151" s="152"/>
      <c r="Y151" s="152"/>
      <c r="Z151" s="152"/>
    </row>
    <row r="152" ht="12.8" customHeight="1" spans="1:26">
      <c r="A152" s="176"/>
      <c r="B152" s="176"/>
      <c r="C152" s="176"/>
      <c r="D152" s="152"/>
      <c r="E152" s="152"/>
      <c r="F152" s="152"/>
      <c r="G152" s="152"/>
      <c r="H152" s="152"/>
      <c r="I152" s="152"/>
      <c r="J152" s="152"/>
      <c r="K152" s="152"/>
      <c r="L152" s="152"/>
      <c r="M152" s="152"/>
      <c r="N152" s="152"/>
      <c r="O152" s="152"/>
      <c r="P152" s="152"/>
      <c r="Q152" s="152"/>
      <c r="R152" s="152"/>
      <c r="S152" s="152"/>
      <c r="T152" s="152"/>
      <c r="U152" s="152"/>
      <c r="V152" s="152"/>
      <c r="W152" s="152"/>
      <c r="X152" s="152"/>
      <c r="Y152" s="152"/>
      <c r="Z152" s="152"/>
    </row>
    <row r="153" ht="12.8" customHeight="1" spans="1:26">
      <c r="A153" s="176"/>
      <c r="B153" s="176"/>
      <c r="C153" s="176"/>
      <c r="D153" s="152"/>
      <c r="E153" s="152"/>
      <c r="F153" s="152"/>
      <c r="G153" s="152"/>
      <c r="H153" s="152"/>
      <c r="I153" s="152"/>
      <c r="J153" s="152"/>
      <c r="K153" s="152"/>
      <c r="L153" s="152"/>
      <c r="M153" s="152"/>
      <c r="N153" s="152"/>
      <c r="O153" s="152"/>
      <c r="P153" s="152"/>
      <c r="Q153" s="152"/>
      <c r="R153" s="152"/>
      <c r="S153" s="152"/>
      <c r="T153" s="152"/>
      <c r="U153" s="152"/>
      <c r="V153" s="152"/>
      <c r="W153" s="152"/>
      <c r="X153" s="152"/>
      <c r="Y153" s="152"/>
      <c r="Z153" s="152"/>
    </row>
    <row r="154" ht="12.8" customHeight="1" spans="1:26">
      <c r="A154" s="176"/>
      <c r="B154" s="176"/>
      <c r="C154" s="176"/>
      <c r="D154" s="152"/>
      <c r="E154" s="152"/>
      <c r="F154" s="152"/>
      <c r="G154" s="152"/>
      <c r="H154" s="152"/>
      <c r="I154" s="152"/>
      <c r="J154" s="152"/>
      <c r="K154" s="152"/>
      <c r="L154" s="152"/>
      <c r="M154" s="152"/>
      <c r="N154" s="152"/>
      <c r="O154" s="152"/>
      <c r="P154" s="152"/>
      <c r="Q154" s="152"/>
      <c r="R154" s="152"/>
      <c r="S154" s="152"/>
      <c r="T154" s="152"/>
      <c r="U154" s="152"/>
      <c r="V154" s="152"/>
      <c r="W154" s="152"/>
      <c r="X154" s="152"/>
      <c r="Y154" s="152"/>
      <c r="Z154" s="152"/>
    </row>
    <row r="155" ht="12.8" customHeight="1" spans="1:26">
      <c r="A155" s="176"/>
      <c r="B155" s="176"/>
      <c r="C155" s="176"/>
      <c r="D155" s="152"/>
      <c r="E155" s="152"/>
      <c r="F155" s="152"/>
      <c r="G155" s="152"/>
      <c r="H155" s="152"/>
      <c r="I155" s="152"/>
      <c r="J155" s="152"/>
      <c r="K155" s="152"/>
      <c r="L155" s="152"/>
      <c r="M155" s="152"/>
      <c r="N155" s="152"/>
      <c r="O155" s="152"/>
      <c r="P155" s="152"/>
      <c r="Q155" s="152"/>
      <c r="R155" s="152"/>
      <c r="S155" s="152"/>
      <c r="T155" s="152"/>
      <c r="U155" s="152"/>
      <c r="V155" s="152"/>
      <c r="W155" s="152"/>
      <c r="X155" s="152"/>
      <c r="Y155" s="152"/>
      <c r="Z155" s="152"/>
    </row>
    <row r="156" ht="12.8" customHeight="1" spans="1:26">
      <c r="A156" s="176"/>
      <c r="B156" s="176"/>
      <c r="C156" s="176"/>
      <c r="D156" s="152"/>
      <c r="E156" s="152"/>
      <c r="F156" s="152"/>
      <c r="G156" s="152"/>
      <c r="H156" s="152"/>
      <c r="I156" s="152"/>
      <c r="J156" s="152"/>
      <c r="K156" s="152"/>
      <c r="L156" s="152"/>
      <c r="M156" s="152"/>
      <c r="N156" s="152"/>
      <c r="O156" s="152"/>
      <c r="P156" s="152"/>
      <c r="Q156" s="152"/>
      <c r="R156" s="152"/>
      <c r="S156" s="152"/>
      <c r="T156" s="152"/>
      <c r="U156" s="152"/>
      <c r="V156" s="152"/>
      <c r="W156" s="152"/>
      <c r="X156" s="152"/>
      <c r="Y156" s="152"/>
      <c r="Z156" s="152"/>
    </row>
    <row r="157" ht="12.8" customHeight="1" spans="1:26">
      <c r="A157" s="176"/>
      <c r="B157" s="176"/>
      <c r="C157" s="176"/>
      <c r="D157" s="152"/>
      <c r="E157" s="152"/>
      <c r="F157" s="152"/>
      <c r="G157" s="152"/>
      <c r="H157" s="152"/>
      <c r="I157" s="152"/>
      <c r="J157" s="152"/>
      <c r="K157" s="152"/>
      <c r="L157" s="152"/>
      <c r="M157" s="152"/>
      <c r="N157" s="152"/>
      <c r="O157" s="152"/>
      <c r="P157" s="152"/>
      <c r="Q157" s="152"/>
      <c r="R157" s="152"/>
      <c r="S157" s="152"/>
      <c r="T157" s="152"/>
      <c r="U157" s="152"/>
      <c r="V157" s="152"/>
      <c r="W157" s="152"/>
      <c r="X157" s="152"/>
      <c r="Y157" s="152"/>
      <c r="Z157" s="152"/>
    </row>
    <row r="158" ht="12.8" customHeight="1" spans="1:26">
      <c r="A158" s="176"/>
      <c r="B158" s="176"/>
      <c r="C158" s="176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</row>
    <row r="159" ht="12.8" customHeight="1" spans="1:26">
      <c r="A159" s="176"/>
      <c r="B159" s="176"/>
      <c r="C159" s="176"/>
      <c r="D159" s="152"/>
      <c r="E159" s="152"/>
      <c r="F159" s="152"/>
      <c r="G159" s="152"/>
      <c r="H159" s="152"/>
      <c r="I159" s="152"/>
      <c r="J159" s="152"/>
      <c r="K159" s="152"/>
      <c r="L159" s="152"/>
      <c r="M159" s="152"/>
      <c r="N159" s="152"/>
      <c r="O159" s="152"/>
      <c r="P159" s="152"/>
      <c r="Q159" s="152"/>
      <c r="R159" s="152"/>
      <c r="S159" s="152"/>
      <c r="T159" s="152"/>
      <c r="U159" s="152"/>
      <c r="V159" s="152"/>
      <c r="W159" s="152"/>
      <c r="X159" s="152"/>
      <c r="Y159" s="152"/>
      <c r="Z159" s="152"/>
    </row>
    <row r="160" ht="12.8" customHeight="1" spans="1:26">
      <c r="A160" s="176"/>
      <c r="B160" s="176"/>
      <c r="C160" s="176"/>
      <c r="D160" s="152"/>
      <c r="E160" s="152"/>
      <c r="F160" s="152"/>
      <c r="G160" s="152"/>
      <c r="H160" s="152"/>
      <c r="I160" s="152"/>
      <c r="J160" s="152"/>
      <c r="K160" s="152"/>
      <c r="L160" s="152"/>
      <c r="M160" s="152"/>
      <c r="N160" s="152"/>
      <c r="O160" s="152"/>
      <c r="P160" s="152"/>
      <c r="Q160" s="152"/>
      <c r="R160" s="152"/>
      <c r="S160" s="152"/>
      <c r="T160" s="152"/>
      <c r="U160" s="152"/>
      <c r="V160" s="152"/>
      <c r="W160" s="152"/>
      <c r="X160" s="152"/>
      <c r="Y160" s="152"/>
      <c r="Z160" s="152"/>
    </row>
    <row r="161" ht="12.8" customHeight="1" spans="1:26">
      <c r="A161" s="176"/>
      <c r="B161" s="176"/>
      <c r="C161" s="176"/>
      <c r="D161" s="152"/>
      <c r="E161" s="152"/>
      <c r="F161" s="152"/>
      <c r="G161" s="152"/>
      <c r="H161" s="152"/>
      <c r="I161" s="152"/>
      <c r="J161" s="152"/>
      <c r="K161" s="152"/>
      <c r="L161" s="152"/>
      <c r="M161" s="152"/>
      <c r="N161" s="152"/>
      <c r="O161" s="152"/>
      <c r="P161" s="152"/>
      <c r="Q161" s="152"/>
      <c r="R161" s="152"/>
      <c r="S161" s="152"/>
      <c r="T161" s="152"/>
      <c r="U161" s="152"/>
      <c r="V161" s="152"/>
      <c r="W161" s="152"/>
      <c r="X161" s="152"/>
      <c r="Y161" s="152"/>
      <c r="Z161" s="152"/>
    </row>
    <row r="162" ht="12.8" customHeight="1" spans="1:26">
      <c r="A162" s="176"/>
      <c r="B162" s="176"/>
      <c r="C162" s="176"/>
      <c r="D162" s="152"/>
      <c r="E162" s="152"/>
      <c r="F162" s="152"/>
      <c r="G162" s="152"/>
      <c r="H162" s="152"/>
      <c r="I162" s="152"/>
      <c r="J162" s="152"/>
      <c r="K162" s="152"/>
      <c r="L162" s="152"/>
      <c r="M162" s="152"/>
      <c r="N162" s="152"/>
      <c r="O162" s="152"/>
      <c r="P162" s="152"/>
      <c r="Q162" s="152"/>
      <c r="R162" s="152"/>
      <c r="S162" s="152"/>
      <c r="T162" s="152"/>
      <c r="U162" s="152"/>
      <c r="V162" s="152"/>
      <c r="W162" s="152"/>
      <c r="X162" s="152"/>
      <c r="Y162" s="152"/>
      <c r="Z162" s="152"/>
    </row>
    <row r="163" ht="12.8" customHeight="1" spans="1:26">
      <c r="A163" s="176"/>
      <c r="B163" s="176"/>
      <c r="C163" s="176"/>
      <c r="D163" s="152"/>
      <c r="E163" s="152"/>
      <c r="F163" s="152"/>
      <c r="G163" s="152"/>
      <c r="H163" s="152"/>
      <c r="I163" s="152"/>
      <c r="J163" s="152"/>
      <c r="K163" s="152"/>
      <c r="L163" s="152"/>
      <c r="M163" s="152"/>
      <c r="N163" s="152"/>
      <c r="O163" s="152"/>
      <c r="P163" s="152"/>
      <c r="Q163" s="152"/>
      <c r="R163" s="152"/>
      <c r="S163" s="152"/>
      <c r="T163" s="152"/>
      <c r="U163" s="152"/>
      <c r="V163" s="152"/>
      <c r="W163" s="152"/>
      <c r="X163" s="152"/>
      <c r="Y163" s="152"/>
      <c r="Z163" s="152"/>
    </row>
    <row r="164" ht="12.8" customHeight="1" spans="1:26">
      <c r="A164" s="176"/>
      <c r="B164" s="176"/>
      <c r="C164" s="176"/>
      <c r="D164" s="152"/>
      <c r="E164" s="152"/>
      <c r="F164" s="152"/>
      <c r="G164" s="152"/>
      <c r="H164" s="152"/>
      <c r="I164" s="152"/>
      <c r="J164" s="152"/>
      <c r="K164" s="152"/>
      <c r="L164" s="152"/>
      <c r="M164" s="152"/>
      <c r="N164" s="152"/>
      <c r="O164" s="152"/>
      <c r="P164" s="152"/>
      <c r="Q164" s="152"/>
      <c r="R164" s="152"/>
      <c r="S164" s="152"/>
      <c r="T164" s="152"/>
      <c r="U164" s="152"/>
      <c r="V164" s="152"/>
      <c r="W164" s="152"/>
      <c r="X164" s="152"/>
      <c r="Y164" s="152"/>
      <c r="Z164" s="152"/>
    </row>
    <row r="165" ht="12.8" customHeight="1" spans="1:26">
      <c r="A165" s="176"/>
      <c r="B165" s="176"/>
      <c r="C165" s="176"/>
      <c r="D165" s="152"/>
      <c r="E165" s="152"/>
      <c r="F165" s="152"/>
      <c r="G165" s="152"/>
      <c r="H165" s="152"/>
      <c r="I165" s="152"/>
      <c r="J165" s="152"/>
      <c r="K165" s="152"/>
      <c r="L165" s="152"/>
      <c r="M165" s="152"/>
      <c r="N165" s="152"/>
      <c r="O165" s="152"/>
      <c r="P165" s="152"/>
      <c r="Q165" s="152"/>
      <c r="R165" s="152"/>
      <c r="S165" s="152"/>
      <c r="T165" s="152"/>
      <c r="U165" s="152"/>
      <c r="V165" s="152"/>
      <c r="W165" s="152"/>
      <c r="X165" s="152"/>
      <c r="Y165" s="152"/>
      <c r="Z165" s="152"/>
    </row>
    <row r="166" ht="12.8" customHeight="1" spans="1:26">
      <c r="A166" s="176"/>
      <c r="B166" s="176"/>
      <c r="C166" s="176"/>
      <c r="D166" s="152"/>
      <c r="E166" s="152"/>
      <c r="F166" s="152"/>
      <c r="G166" s="152"/>
      <c r="H166" s="152"/>
      <c r="I166" s="152"/>
      <c r="J166" s="152"/>
      <c r="K166" s="152"/>
      <c r="L166" s="152"/>
      <c r="M166" s="152"/>
      <c r="N166" s="152"/>
      <c r="O166" s="152"/>
      <c r="P166" s="152"/>
      <c r="Q166" s="152"/>
      <c r="R166" s="152"/>
      <c r="S166" s="152"/>
      <c r="T166" s="152"/>
      <c r="U166" s="152"/>
      <c r="V166" s="152"/>
      <c r="W166" s="152"/>
      <c r="X166" s="152"/>
      <c r="Y166" s="152"/>
      <c r="Z166" s="152"/>
    </row>
    <row r="167" ht="12.8" customHeight="1" spans="1:26">
      <c r="A167" s="176"/>
      <c r="B167" s="176"/>
      <c r="C167" s="176"/>
      <c r="D167" s="152"/>
      <c r="E167" s="152"/>
      <c r="F167" s="152"/>
      <c r="G167" s="152"/>
      <c r="H167" s="152"/>
      <c r="I167" s="152"/>
      <c r="J167" s="152"/>
      <c r="K167" s="152"/>
      <c r="L167" s="152"/>
      <c r="M167" s="152"/>
      <c r="N167" s="152"/>
      <c r="O167" s="152"/>
      <c r="P167" s="152"/>
      <c r="Q167" s="152"/>
      <c r="R167" s="152"/>
      <c r="S167" s="152"/>
      <c r="T167" s="152"/>
      <c r="U167" s="152"/>
      <c r="V167" s="152"/>
      <c r="W167" s="152"/>
      <c r="X167" s="152"/>
      <c r="Y167" s="152"/>
      <c r="Z167" s="152"/>
    </row>
    <row r="168" ht="12.8" customHeight="1" spans="1:26">
      <c r="A168" s="176"/>
      <c r="B168" s="176"/>
      <c r="C168" s="176"/>
      <c r="D168" s="152"/>
      <c r="E168" s="152"/>
      <c r="F168" s="152"/>
      <c r="G168" s="152"/>
      <c r="H168" s="152"/>
      <c r="I168" s="152"/>
      <c r="J168" s="152"/>
      <c r="K168" s="152"/>
      <c r="L168" s="152"/>
      <c r="M168" s="152"/>
      <c r="N168" s="152"/>
      <c r="O168" s="152"/>
      <c r="P168" s="152"/>
      <c r="Q168" s="152"/>
      <c r="R168" s="152"/>
      <c r="S168" s="152"/>
      <c r="T168" s="152"/>
      <c r="U168" s="152"/>
      <c r="V168" s="152"/>
      <c r="W168" s="152"/>
      <c r="X168" s="152"/>
      <c r="Y168" s="152"/>
      <c r="Z168" s="152"/>
    </row>
    <row r="169" ht="12.8" customHeight="1" spans="1:26">
      <c r="A169" s="176"/>
      <c r="B169" s="176"/>
      <c r="C169" s="176"/>
      <c r="D169" s="152"/>
      <c r="E169" s="152"/>
      <c r="F169" s="152"/>
      <c r="G169" s="152"/>
      <c r="H169" s="152"/>
      <c r="I169" s="152"/>
      <c r="J169" s="152"/>
      <c r="K169" s="152"/>
      <c r="L169" s="152"/>
      <c r="M169" s="152"/>
      <c r="N169" s="152"/>
      <c r="O169" s="152"/>
      <c r="P169" s="152"/>
      <c r="Q169" s="152"/>
      <c r="R169" s="152"/>
      <c r="S169" s="152"/>
      <c r="T169" s="152"/>
      <c r="U169" s="152"/>
      <c r="V169" s="152"/>
      <c r="W169" s="152"/>
      <c r="X169" s="152"/>
      <c r="Y169" s="152"/>
      <c r="Z169" s="152"/>
    </row>
    <row r="170" ht="12.8" customHeight="1" spans="1:26">
      <c r="A170" s="176"/>
      <c r="B170" s="176"/>
      <c r="C170" s="176"/>
      <c r="D170" s="152"/>
      <c r="E170" s="152"/>
      <c r="F170" s="152"/>
      <c r="G170" s="152"/>
      <c r="H170" s="152"/>
      <c r="I170" s="152"/>
      <c r="J170" s="152"/>
      <c r="K170" s="152"/>
      <c r="L170" s="152"/>
      <c r="M170" s="152"/>
      <c r="N170" s="152"/>
      <c r="O170" s="152"/>
      <c r="P170" s="152"/>
      <c r="Q170" s="152"/>
      <c r="R170" s="152"/>
      <c r="S170" s="152"/>
      <c r="T170" s="152"/>
      <c r="U170" s="152"/>
      <c r="V170" s="152"/>
      <c r="W170" s="152"/>
      <c r="X170" s="152"/>
      <c r="Y170" s="152"/>
      <c r="Z170" s="152"/>
    </row>
    <row r="171" ht="12.8" customHeight="1" spans="1:26">
      <c r="A171" s="176"/>
      <c r="B171" s="176"/>
      <c r="C171" s="176"/>
      <c r="D171" s="152"/>
      <c r="E171" s="152"/>
      <c r="F171" s="152"/>
      <c r="G171" s="152"/>
      <c r="H171" s="152"/>
      <c r="I171" s="152"/>
      <c r="J171" s="152"/>
      <c r="K171" s="152"/>
      <c r="L171" s="152"/>
      <c r="M171" s="152"/>
      <c r="N171" s="152"/>
      <c r="O171" s="152"/>
      <c r="P171" s="152"/>
      <c r="Q171" s="152"/>
      <c r="R171" s="152"/>
      <c r="S171" s="152"/>
      <c r="T171" s="152"/>
      <c r="U171" s="152"/>
      <c r="V171" s="152"/>
      <c r="W171" s="152"/>
      <c r="X171" s="152"/>
      <c r="Y171" s="152"/>
      <c r="Z171" s="152"/>
    </row>
    <row r="172" ht="12.8" customHeight="1" spans="1:26">
      <c r="A172" s="176"/>
      <c r="B172" s="176"/>
      <c r="C172" s="176"/>
      <c r="D172" s="152"/>
      <c r="E172" s="152"/>
      <c r="F172" s="152"/>
      <c r="G172" s="152"/>
      <c r="H172" s="152"/>
      <c r="I172" s="152"/>
      <c r="J172" s="152"/>
      <c r="K172" s="152"/>
      <c r="L172" s="152"/>
      <c r="M172" s="152"/>
      <c r="N172" s="152"/>
      <c r="O172" s="152"/>
      <c r="P172" s="152"/>
      <c r="Q172" s="152"/>
      <c r="R172" s="152"/>
      <c r="S172" s="152"/>
      <c r="T172" s="152"/>
      <c r="U172" s="152"/>
      <c r="V172" s="152"/>
      <c r="W172" s="152"/>
      <c r="X172" s="152"/>
      <c r="Y172" s="152"/>
      <c r="Z172" s="152"/>
    </row>
    <row r="173" ht="12.8" customHeight="1" spans="1:26">
      <c r="A173" s="176"/>
      <c r="B173" s="176"/>
      <c r="C173" s="176"/>
      <c r="D173" s="152"/>
      <c r="E173" s="152"/>
      <c r="F173" s="152"/>
      <c r="G173" s="152"/>
      <c r="H173" s="152"/>
      <c r="I173" s="152"/>
      <c r="J173" s="152"/>
      <c r="K173" s="152"/>
      <c r="L173" s="152"/>
      <c r="M173" s="152"/>
      <c r="N173" s="152"/>
      <c r="O173" s="152"/>
      <c r="P173" s="152"/>
      <c r="Q173" s="152"/>
      <c r="R173" s="152"/>
      <c r="S173" s="152"/>
      <c r="T173" s="152"/>
      <c r="U173" s="152"/>
      <c r="V173" s="152"/>
      <c r="W173" s="152"/>
      <c r="X173" s="152"/>
      <c r="Y173" s="152"/>
      <c r="Z173" s="152"/>
    </row>
    <row r="174" ht="12.8" customHeight="1" spans="1:26">
      <c r="A174" s="176"/>
      <c r="B174" s="176"/>
      <c r="C174" s="176"/>
      <c r="D174" s="152"/>
      <c r="E174" s="152"/>
      <c r="F174" s="152"/>
      <c r="G174" s="152"/>
      <c r="H174" s="152"/>
      <c r="I174" s="152"/>
      <c r="J174" s="152"/>
      <c r="K174" s="152"/>
      <c r="L174" s="152"/>
      <c r="M174" s="152"/>
      <c r="N174" s="152"/>
      <c r="O174" s="152"/>
      <c r="P174" s="152"/>
      <c r="Q174" s="152"/>
      <c r="R174" s="152"/>
      <c r="S174" s="152"/>
      <c r="T174" s="152"/>
      <c r="U174" s="152"/>
      <c r="V174" s="152"/>
      <c r="W174" s="152"/>
      <c r="X174" s="152"/>
      <c r="Y174" s="152"/>
      <c r="Z174" s="152"/>
    </row>
    <row r="175" ht="12.8" customHeight="1" spans="1:26">
      <c r="A175" s="176"/>
      <c r="B175" s="176"/>
      <c r="C175" s="176"/>
      <c r="D175" s="152"/>
      <c r="E175" s="152"/>
      <c r="F175" s="152"/>
      <c r="G175" s="152"/>
      <c r="H175" s="152"/>
      <c r="I175" s="152"/>
      <c r="J175" s="152"/>
      <c r="K175" s="152"/>
      <c r="L175" s="152"/>
      <c r="M175" s="152"/>
      <c r="N175" s="152"/>
      <c r="O175" s="152"/>
      <c r="P175" s="152"/>
      <c r="Q175" s="152"/>
      <c r="R175" s="152"/>
      <c r="S175" s="152"/>
      <c r="T175" s="152"/>
      <c r="U175" s="152"/>
      <c r="V175" s="152"/>
      <c r="W175" s="152"/>
      <c r="X175" s="152"/>
      <c r="Y175" s="152"/>
      <c r="Z175" s="152"/>
    </row>
    <row r="176" ht="12.8" customHeight="1" spans="1:26">
      <c r="A176" s="176"/>
      <c r="B176" s="176"/>
      <c r="C176" s="176"/>
      <c r="D176" s="152"/>
      <c r="E176" s="152"/>
      <c r="F176" s="152"/>
      <c r="G176" s="152"/>
      <c r="H176" s="152"/>
      <c r="I176" s="152"/>
      <c r="J176" s="152"/>
      <c r="K176" s="152"/>
      <c r="L176" s="152"/>
      <c r="M176" s="152"/>
      <c r="N176" s="152"/>
      <c r="O176" s="152"/>
      <c r="P176" s="152"/>
      <c r="Q176" s="152"/>
      <c r="R176" s="152"/>
      <c r="S176" s="152"/>
      <c r="T176" s="152"/>
      <c r="U176" s="152"/>
      <c r="V176" s="152"/>
      <c r="W176" s="152"/>
      <c r="X176" s="152"/>
      <c r="Y176" s="152"/>
      <c r="Z176" s="152"/>
    </row>
    <row r="177" ht="12.8" customHeight="1" spans="1:26">
      <c r="A177" s="176"/>
      <c r="B177" s="176"/>
      <c r="C177" s="176"/>
      <c r="D177" s="152"/>
      <c r="E177" s="152"/>
      <c r="F177" s="152"/>
      <c r="G177" s="152"/>
      <c r="H177" s="152"/>
      <c r="I177" s="152"/>
      <c r="J177" s="152"/>
      <c r="K177" s="152"/>
      <c r="L177" s="152"/>
      <c r="M177" s="152"/>
      <c r="N177" s="152"/>
      <c r="O177" s="152"/>
      <c r="P177" s="152"/>
      <c r="Q177" s="152"/>
      <c r="R177" s="152"/>
      <c r="S177" s="152"/>
      <c r="T177" s="152"/>
      <c r="U177" s="152"/>
      <c r="V177" s="152"/>
      <c r="W177" s="152"/>
      <c r="X177" s="152"/>
      <c r="Y177" s="152"/>
      <c r="Z177" s="152"/>
    </row>
    <row r="178" ht="12.8" customHeight="1" spans="1:26">
      <c r="A178" s="176"/>
      <c r="B178" s="176"/>
      <c r="C178" s="176"/>
      <c r="D178" s="152"/>
      <c r="E178" s="152"/>
      <c r="F178" s="152"/>
      <c r="G178" s="152"/>
      <c r="H178" s="152"/>
      <c r="I178" s="152"/>
      <c r="J178" s="152"/>
      <c r="K178" s="152"/>
      <c r="L178" s="152"/>
      <c r="M178" s="152"/>
      <c r="N178" s="152"/>
      <c r="O178" s="152"/>
      <c r="P178" s="152"/>
      <c r="Q178" s="152"/>
      <c r="R178" s="152"/>
      <c r="S178" s="152"/>
      <c r="T178" s="152"/>
      <c r="U178" s="152"/>
      <c r="V178" s="152"/>
      <c r="W178" s="152"/>
      <c r="X178" s="152"/>
      <c r="Y178" s="152"/>
      <c r="Z178" s="152"/>
    </row>
    <row r="179" ht="12.8" customHeight="1" spans="1:26">
      <c r="A179" s="176"/>
      <c r="B179" s="176"/>
      <c r="C179" s="176"/>
      <c r="D179" s="152"/>
      <c r="E179" s="152"/>
      <c r="F179" s="152"/>
      <c r="G179" s="152"/>
      <c r="H179" s="152"/>
      <c r="I179" s="152"/>
      <c r="J179" s="152"/>
      <c r="K179" s="152"/>
      <c r="L179" s="152"/>
      <c r="M179" s="152"/>
      <c r="N179" s="152"/>
      <c r="O179" s="152"/>
      <c r="P179" s="152"/>
      <c r="Q179" s="152"/>
      <c r="R179" s="152"/>
      <c r="S179" s="152"/>
      <c r="T179" s="152"/>
      <c r="U179" s="152"/>
      <c r="V179" s="152"/>
      <c r="W179" s="152"/>
      <c r="X179" s="152"/>
      <c r="Y179" s="152"/>
      <c r="Z179" s="152"/>
    </row>
    <row r="180" ht="12.8" customHeight="1" spans="1:26">
      <c r="A180" s="176"/>
      <c r="B180" s="176"/>
      <c r="C180" s="176"/>
      <c r="D180" s="152"/>
      <c r="E180" s="152"/>
      <c r="F180" s="152"/>
      <c r="G180" s="152"/>
      <c r="H180" s="152"/>
      <c r="I180" s="152"/>
      <c r="J180" s="152"/>
      <c r="K180" s="152"/>
      <c r="L180" s="152"/>
      <c r="M180" s="152"/>
      <c r="N180" s="152"/>
      <c r="O180" s="152"/>
      <c r="P180" s="152"/>
      <c r="Q180" s="152"/>
      <c r="R180" s="152"/>
      <c r="S180" s="152"/>
      <c r="T180" s="152"/>
      <c r="U180" s="152"/>
      <c r="V180" s="152"/>
      <c r="W180" s="152"/>
      <c r="X180" s="152"/>
      <c r="Y180" s="152"/>
      <c r="Z180" s="152"/>
    </row>
    <row r="181" ht="12.8" customHeight="1" spans="1:26">
      <c r="A181" s="176"/>
      <c r="B181" s="176"/>
      <c r="C181" s="176"/>
      <c r="D181" s="152"/>
      <c r="E181" s="152"/>
      <c r="F181" s="152"/>
      <c r="G181" s="152"/>
      <c r="H181" s="152"/>
      <c r="I181" s="152"/>
      <c r="J181" s="152"/>
      <c r="K181" s="152"/>
      <c r="L181" s="152"/>
      <c r="M181" s="152"/>
      <c r="N181" s="152"/>
      <c r="O181" s="152"/>
      <c r="P181" s="152"/>
      <c r="Q181" s="152"/>
      <c r="R181" s="152"/>
      <c r="S181" s="152"/>
      <c r="T181" s="152"/>
      <c r="U181" s="152"/>
      <c r="V181" s="152"/>
      <c r="W181" s="152"/>
      <c r="X181" s="152"/>
      <c r="Y181" s="152"/>
      <c r="Z181" s="152"/>
    </row>
    <row r="182" ht="12.8" customHeight="1" spans="1:26">
      <c r="A182" s="176"/>
      <c r="B182" s="176"/>
      <c r="C182" s="176"/>
      <c r="D182" s="152"/>
      <c r="E182" s="152"/>
      <c r="F182" s="152"/>
      <c r="G182" s="152"/>
      <c r="H182" s="152"/>
      <c r="I182" s="152"/>
      <c r="J182" s="152"/>
      <c r="K182" s="152"/>
      <c r="L182" s="152"/>
      <c r="M182" s="152"/>
      <c r="N182" s="152"/>
      <c r="O182" s="152"/>
      <c r="P182" s="152"/>
      <c r="Q182" s="152"/>
      <c r="R182" s="152"/>
      <c r="S182" s="152"/>
      <c r="T182" s="152"/>
      <c r="U182" s="152"/>
      <c r="V182" s="152"/>
      <c r="W182" s="152"/>
      <c r="X182" s="152"/>
      <c r="Y182" s="152"/>
      <c r="Z182" s="152"/>
    </row>
    <row r="183" ht="12.8" customHeight="1" spans="1:26">
      <c r="A183" s="176"/>
      <c r="B183" s="176"/>
      <c r="C183" s="176"/>
      <c r="D183" s="152"/>
      <c r="E183" s="152"/>
      <c r="F183" s="152"/>
      <c r="G183" s="152"/>
      <c r="H183" s="152"/>
      <c r="I183" s="152"/>
      <c r="J183" s="152"/>
      <c r="K183" s="152"/>
      <c r="L183" s="152"/>
      <c r="M183" s="152"/>
      <c r="N183" s="152"/>
      <c r="O183" s="152"/>
      <c r="P183" s="152"/>
      <c r="Q183" s="152"/>
      <c r="R183" s="152"/>
      <c r="S183" s="152"/>
      <c r="T183" s="152"/>
      <c r="U183" s="152"/>
      <c r="V183" s="152"/>
      <c r="W183" s="152"/>
      <c r="X183" s="152"/>
      <c r="Y183" s="152"/>
      <c r="Z183" s="152"/>
    </row>
    <row r="184" ht="12.8" customHeight="1" spans="1:26">
      <c r="A184" s="176"/>
      <c r="B184" s="176"/>
      <c r="C184" s="176"/>
      <c r="D184" s="152"/>
      <c r="E184" s="152"/>
      <c r="F184" s="152"/>
      <c r="G184" s="152"/>
      <c r="H184" s="152"/>
      <c r="I184" s="152"/>
      <c r="J184" s="152"/>
      <c r="K184" s="152"/>
      <c r="L184" s="152"/>
      <c r="M184" s="152"/>
      <c r="N184" s="152"/>
      <c r="O184" s="152"/>
      <c r="P184" s="152"/>
      <c r="Q184" s="152"/>
      <c r="R184" s="152"/>
      <c r="S184" s="152"/>
      <c r="T184" s="152"/>
      <c r="U184" s="152"/>
      <c r="V184" s="152"/>
      <c r="W184" s="152"/>
      <c r="X184" s="152"/>
      <c r="Y184" s="152"/>
      <c r="Z184" s="152"/>
    </row>
    <row r="185" ht="12.8" customHeight="1" spans="1:26">
      <c r="A185" s="176"/>
      <c r="B185" s="176"/>
      <c r="C185" s="176"/>
      <c r="D185" s="152"/>
      <c r="E185" s="152"/>
      <c r="F185" s="152"/>
      <c r="G185" s="152"/>
      <c r="H185" s="152"/>
      <c r="I185" s="152"/>
      <c r="J185" s="152"/>
      <c r="K185" s="152"/>
      <c r="L185" s="152"/>
      <c r="M185" s="152"/>
      <c r="N185" s="152"/>
      <c r="O185" s="152"/>
      <c r="P185" s="152"/>
      <c r="Q185" s="152"/>
      <c r="R185" s="152"/>
      <c r="S185" s="152"/>
      <c r="T185" s="152"/>
      <c r="U185" s="152"/>
      <c r="V185" s="152"/>
      <c r="W185" s="152"/>
      <c r="X185" s="152"/>
      <c r="Y185" s="152"/>
      <c r="Z185" s="152"/>
    </row>
    <row r="186" ht="12.8" customHeight="1" spans="1:26">
      <c r="A186" s="176"/>
      <c r="B186" s="176"/>
      <c r="C186" s="176"/>
      <c r="D186" s="152"/>
      <c r="E186" s="152"/>
      <c r="F186" s="152"/>
      <c r="G186" s="152"/>
      <c r="H186" s="152"/>
      <c r="I186" s="152"/>
      <c r="J186" s="152"/>
      <c r="K186" s="152"/>
      <c r="L186" s="152"/>
      <c r="M186" s="152"/>
      <c r="N186" s="152"/>
      <c r="O186" s="152"/>
      <c r="P186" s="152"/>
      <c r="Q186" s="152"/>
      <c r="R186" s="152"/>
      <c r="S186" s="152"/>
      <c r="T186" s="152"/>
      <c r="U186" s="152"/>
      <c r="V186" s="152"/>
      <c r="W186" s="152"/>
      <c r="X186" s="152"/>
      <c r="Y186" s="152"/>
      <c r="Z186" s="152"/>
    </row>
    <row r="187" ht="12.8" customHeight="1" spans="1:26">
      <c r="A187" s="176"/>
      <c r="B187" s="176"/>
      <c r="C187" s="176"/>
      <c r="D187" s="152"/>
      <c r="E187" s="152"/>
      <c r="F187" s="152"/>
      <c r="G187" s="152"/>
      <c r="H187" s="152"/>
      <c r="I187" s="152"/>
      <c r="J187" s="152"/>
      <c r="K187" s="152"/>
      <c r="L187" s="152"/>
      <c r="M187" s="152"/>
      <c r="N187" s="152"/>
      <c r="O187" s="152"/>
      <c r="P187" s="152"/>
      <c r="Q187" s="152"/>
      <c r="R187" s="152"/>
      <c r="S187" s="152"/>
      <c r="T187" s="152"/>
      <c r="U187" s="152"/>
      <c r="V187" s="152"/>
      <c r="W187" s="152"/>
      <c r="X187" s="152"/>
      <c r="Y187" s="152"/>
      <c r="Z187" s="152"/>
    </row>
    <row r="188" ht="12.8" customHeight="1" spans="1:26">
      <c r="A188" s="176"/>
      <c r="B188" s="176"/>
      <c r="C188" s="176"/>
      <c r="D188" s="152"/>
      <c r="E188" s="152"/>
      <c r="F188" s="152"/>
      <c r="G188" s="152"/>
      <c r="H188" s="152"/>
      <c r="I188" s="152"/>
      <c r="J188" s="152"/>
      <c r="K188" s="152"/>
      <c r="L188" s="152"/>
      <c r="M188" s="152"/>
      <c r="N188" s="152"/>
      <c r="O188" s="152"/>
      <c r="P188" s="152"/>
      <c r="Q188" s="152"/>
      <c r="R188" s="152"/>
      <c r="S188" s="152"/>
      <c r="T188" s="152"/>
      <c r="U188" s="152"/>
      <c r="V188" s="152"/>
      <c r="W188" s="152"/>
      <c r="X188" s="152"/>
      <c r="Y188" s="152"/>
      <c r="Z188" s="152"/>
    </row>
    <row r="189" ht="12.8" customHeight="1" spans="1:26">
      <c r="A189" s="176"/>
      <c r="B189" s="176"/>
      <c r="C189" s="176"/>
      <c r="D189" s="152"/>
      <c r="E189" s="152"/>
      <c r="F189" s="152"/>
      <c r="G189" s="152"/>
      <c r="H189" s="152"/>
      <c r="I189" s="152"/>
      <c r="J189" s="152"/>
      <c r="K189" s="152"/>
      <c r="L189" s="152"/>
      <c r="M189" s="152"/>
      <c r="N189" s="152"/>
      <c r="O189" s="152"/>
      <c r="P189" s="152"/>
      <c r="Q189" s="152"/>
      <c r="R189" s="152"/>
      <c r="S189" s="152"/>
      <c r="T189" s="152"/>
      <c r="U189" s="152"/>
      <c r="V189" s="152"/>
      <c r="W189" s="152"/>
      <c r="X189" s="152"/>
      <c r="Y189" s="152"/>
      <c r="Z189" s="152"/>
    </row>
    <row r="190" ht="12.8" customHeight="1" spans="1:26">
      <c r="A190" s="176"/>
      <c r="B190" s="176"/>
      <c r="C190" s="176"/>
      <c r="D190" s="152"/>
      <c r="E190" s="152"/>
      <c r="F190" s="152"/>
      <c r="G190" s="152"/>
      <c r="H190" s="152"/>
      <c r="I190" s="152"/>
      <c r="J190" s="152"/>
      <c r="K190" s="152"/>
      <c r="L190" s="152"/>
      <c r="M190" s="152"/>
      <c r="N190" s="152"/>
      <c r="O190" s="152"/>
      <c r="P190" s="152"/>
      <c r="Q190" s="152"/>
      <c r="R190" s="152"/>
      <c r="S190" s="152"/>
      <c r="T190" s="152"/>
      <c r="U190" s="152"/>
      <c r="V190" s="152"/>
      <c r="W190" s="152"/>
      <c r="X190" s="152"/>
      <c r="Y190" s="152"/>
      <c r="Z190" s="152"/>
    </row>
    <row r="191" ht="12.8" customHeight="1" spans="1:26">
      <c r="A191" s="176"/>
      <c r="B191" s="176"/>
      <c r="C191" s="176"/>
      <c r="D191" s="152"/>
      <c r="E191" s="152"/>
      <c r="F191" s="152"/>
      <c r="G191" s="152"/>
      <c r="H191" s="152"/>
      <c r="I191" s="152"/>
      <c r="J191" s="152"/>
      <c r="K191" s="152"/>
      <c r="L191" s="152"/>
      <c r="M191" s="152"/>
      <c r="N191" s="152"/>
      <c r="O191" s="152"/>
      <c r="P191" s="152"/>
      <c r="Q191" s="152"/>
      <c r="R191" s="152"/>
      <c r="S191" s="152"/>
      <c r="T191" s="152"/>
      <c r="U191" s="152"/>
      <c r="V191" s="152"/>
      <c r="W191" s="152"/>
      <c r="X191" s="152"/>
      <c r="Y191" s="152"/>
      <c r="Z191" s="152"/>
    </row>
    <row r="192" ht="12.8" customHeight="1" spans="1:26">
      <c r="A192" s="176"/>
      <c r="B192" s="176"/>
      <c r="C192" s="176"/>
      <c r="D192" s="152"/>
      <c r="E192" s="152"/>
      <c r="F192" s="152"/>
      <c r="G192" s="152"/>
      <c r="H192" s="152"/>
      <c r="I192" s="152"/>
      <c r="J192" s="152"/>
      <c r="K192" s="152"/>
      <c r="L192" s="152"/>
      <c r="M192" s="152"/>
      <c r="N192" s="152"/>
      <c r="O192" s="152"/>
      <c r="P192" s="152"/>
      <c r="Q192" s="152"/>
      <c r="R192" s="152"/>
      <c r="S192" s="152"/>
      <c r="T192" s="152"/>
      <c r="U192" s="152"/>
      <c r="V192" s="152"/>
      <c r="W192" s="152"/>
      <c r="X192" s="152"/>
      <c r="Y192" s="152"/>
      <c r="Z192" s="152"/>
    </row>
    <row r="193" ht="12.8" customHeight="1" spans="1:26">
      <c r="A193" s="176"/>
      <c r="B193" s="176"/>
      <c r="C193" s="176"/>
      <c r="D193" s="152"/>
      <c r="E193" s="152"/>
      <c r="F193" s="152"/>
      <c r="G193" s="152"/>
      <c r="H193" s="152"/>
      <c r="I193" s="152"/>
      <c r="J193" s="152"/>
      <c r="K193" s="152"/>
      <c r="L193" s="152"/>
      <c r="M193" s="152"/>
      <c r="N193" s="152"/>
      <c r="O193" s="152"/>
      <c r="P193" s="152"/>
      <c r="Q193" s="152"/>
      <c r="R193" s="152"/>
      <c r="S193" s="152"/>
      <c r="T193" s="152"/>
      <c r="U193" s="152"/>
      <c r="V193" s="152"/>
      <c r="W193" s="152"/>
      <c r="X193" s="152"/>
      <c r="Y193" s="152"/>
      <c r="Z193" s="152"/>
    </row>
    <row r="194" ht="12.8" customHeight="1" spans="1:26">
      <c r="A194" s="176"/>
      <c r="B194" s="176"/>
      <c r="C194" s="176"/>
      <c r="D194" s="152"/>
      <c r="E194" s="152"/>
      <c r="F194" s="152"/>
      <c r="G194" s="152"/>
      <c r="H194" s="152"/>
      <c r="I194" s="152"/>
      <c r="J194" s="152"/>
      <c r="K194" s="152"/>
      <c r="L194" s="152"/>
      <c r="M194" s="152"/>
      <c r="N194" s="152"/>
      <c r="O194" s="152"/>
      <c r="P194" s="152"/>
      <c r="Q194" s="152"/>
      <c r="R194" s="152"/>
      <c r="S194" s="152"/>
      <c r="T194" s="152"/>
      <c r="U194" s="152"/>
      <c r="V194" s="152"/>
      <c r="W194" s="152"/>
      <c r="X194" s="152"/>
      <c r="Y194" s="152"/>
      <c r="Z194" s="152"/>
    </row>
    <row r="195" ht="12.8" customHeight="1" spans="1:26">
      <c r="A195" s="176"/>
      <c r="B195" s="176"/>
      <c r="C195" s="176"/>
      <c r="D195" s="152"/>
      <c r="E195" s="152"/>
      <c r="F195" s="152"/>
      <c r="G195" s="152"/>
      <c r="H195" s="152"/>
      <c r="I195" s="152"/>
      <c r="J195" s="152"/>
      <c r="K195" s="152"/>
      <c r="L195" s="152"/>
      <c r="M195" s="152"/>
      <c r="N195" s="152"/>
      <c r="O195" s="152"/>
      <c r="P195" s="152"/>
      <c r="Q195" s="152"/>
      <c r="R195" s="152"/>
      <c r="S195" s="152"/>
      <c r="T195" s="152"/>
      <c r="U195" s="152"/>
      <c r="V195" s="152"/>
      <c r="W195" s="152"/>
      <c r="X195" s="152"/>
      <c r="Y195" s="152"/>
      <c r="Z195" s="152"/>
    </row>
    <row r="196" ht="12.8" customHeight="1" spans="1:26">
      <c r="A196" s="176"/>
      <c r="B196" s="176"/>
      <c r="C196" s="176"/>
      <c r="D196" s="152"/>
      <c r="E196" s="152"/>
      <c r="F196" s="152"/>
      <c r="G196" s="152"/>
      <c r="H196" s="152"/>
      <c r="I196" s="152"/>
      <c r="J196" s="152"/>
      <c r="K196" s="152"/>
      <c r="L196" s="152"/>
      <c r="M196" s="152"/>
      <c r="N196" s="152"/>
      <c r="O196" s="152"/>
      <c r="P196" s="152"/>
      <c r="Q196" s="152"/>
      <c r="R196" s="152"/>
      <c r="S196" s="152"/>
      <c r="T196" s="152"/>
      <c r="U196" s="152"/>
      <c r="V196" s="152"/>
      <c r="W196" s="152"/>
      <c r="X196" s="152"/>
      <c r="Y196" s="152"/>
      <c r="Z196" s="152"/>
    </row>
    <row r="197" ht="12.8" customHeight="1" spans="1:26">
      <c r="A197" s="176"/>
      <c r="B197" s="176"/>
      <c r="C197" s="176"/>
      <c r="D197" s="152"/>
      <c r="E197" s="152"/>
      <c r="F197" s="152"/>
      <c r="G197" s="152"/>
      <c r="H197" s="152"/>
      <c r="I197" s="152"/>
      <c r="J197" s="152"/>
      <c r="K197" s="152"/>
      <c r="L197" s="152"/>
      <c r="M197" s="152"/>
      <c r="N197" s="152"/>
      <c r="O197" s="152"/>
      <c r="P197" s="152"/>
      <c r="Q197" s="152"/>
      <c r="R197" s="152"/>
      <c r="S197" s="152"/>
      <c r="T197" s="152"/>
      <c r="U197" s="152"/>
      <c r="V197" s="152"/>
      <c r="W197" s="152"/>
      <c r="X197" s="152"/>
      <c r="Y197" s="152"/>
      <c r="Z197" s="152"/>
    </row>
    <row r="198" ht="12.8" customHeight="1" spans="1:26">
      <c r="A198" s="176"/>
      <c r="B198" s="176"/>
      <c r="C198" s="176"/>
      <c r="D198" s="152"/>
      <c r="E198" s="152"/>
      <c r="F198" s="152"/>
      <c r="G198" s="152"/>
      <c r="H198" s="152"/>
      <c r="I198" s="152"/>
      <c r="J198" s="152"/>
      <c r="K198" s="152"/>
      <c r="L198" s="152"/>
      <c r="M198" s="152"/>
      <c r="N198" s="152"/>
      <c r="O198" s="152"/>
      <c r="P198" s="152"/>
      <c r="Q198" s="152"/>
      <c r="R198" s="152"/>
      <c r="S198" s="152"/>
      <c r="T198" s="152"/>
      <c r="U198" s="152"/>
      <c r="V198" s="152"/>
      <c r="W198" s="152"/>
      <c r="X198" s="152"/>
      <c r="Y198" s="152"/>
      <c r="Z198" s="152"/>
    </row>
    <row r="199" ht="12.8" customHeight="1" spans="1:26">
      <c r="A199" s="176"/>
      <c r="B199" s="176"/>
      <c r="C199" s="176"/>
      <c r="D199" s="152"/>
      <c r="E199" s="152"/>
      <c r="F199" s="152"/>
      <c r="G199" s="152"/>
      <c r="H199" s="152"/>
      <c r="I199" s="152"/>
      <c r="J199" s="152"/>
      <c r="K199" s="152"/>
      <c r="L199" s="152"/>
      <c r="M199" s="152"/>
      <c r="N199" s="152"/>
      <c r="O199" s="152"/>
      <c r="P199" s="152"/>
      <c r="Q199" s="152"/>
      <c r="R199" s="152"/>
      <c r="S199" s="152"/>
      <c r="T199" s="152"/>
      <c r="U199" s="152"/>
      <c r="V199" s="152"/>
      <c r="W199" s="152"/>
      <c r="X199" s="152"/>
      <c r="Y199" s="152"/>
      <c r="Z199" s="152"/>
    </row>
    <row r="200" ht="12.8" customHeight="1" spans="1:26">
      <c r="A200" s="176"/>
      <c r="B200" s="176"/>
      <c r="C200" s="176"/>
      <c r="D200" s="152"/>
      <c r="E200" s="152"/>
      <c r="F200" s="152"/>
      <c r="G200" s="152"/>
      <c r="H200" s="152"/>
      <c r="I200" s="152"/>
      <c r="J200" s="152"/>
      <c r="K200" s="152"/>
      <c r="L200" s="152"/>
      <c r="M200" s="152"/>
      <c r="N200" s="152"/>
      <c r="O200" s="152"/>
      <c r="P200" s="152"/>
      <c r="Q200" s="152"/>
      <c r="R200" s="152"/>
      <c r="S200" s="152"/>
      <c r="T200" s="152"/>
      <c r="U200" s="152"/>
      <c r="V200" s="152"/>
      <c r="W200" s="152"/>
      <c r="X200" s="152"/>
      <c r="Y200" s="152"/>
      <c r="Z200" s="152"/>
    </row>
    <row r="201" ht="12.8" customHeight="1" spans="1:26">
      <c r="A201" s="176"/>
      <c r="B201" s="176"/>
      <c r="C201" s="176"/>
      <c r="D201" s="152"/>
      <c r="E201" s="152"/>
      <c r="F201" s="152"/>
      <c r="G201" s="152"/>
      <c r="H201" s="152"/>
      <c r="I201" s="152"/>
      <c r="J201" s="152"/>
      <c r="K201" s="152"/>
      <c r="L201" s="152"/>
      <c r="M201" s="152"/>
      <c r="N201" s="152"/>
      <c r="O201" s="152"/>
      <c r="P201" s="152"/>
      <c r="Q201" s="152"/>
      <c r="R201" s="152"/>
      <c r="S201" s="152"/>
      <c r="T201" s="152"/>
      <c r="U201" s="152"/>
      <c r="V201" s="152"/>
      <c r="W201" s="152"/>
      <c r="X201" s="152"/>
      <c r="Y201" s="152"/>
      <c r="Z201" s="152"/>
    </row>
    <row r="202" ht="12.8" customHeight="1" spans="1:26">
      <c r="A202" s="176"/>
      <c r="B202" s="176"/>
      <c r="C202" s="176"/>
      <c r="D202" s="152"/>
      <c r="E202" s="152"/>
      <c r="F202" s="152"/>
      <c r="G202" s="152"/>
      <c r="H202" s="152"/>
      <c r="I202" s="152"/>
      <c r="J202" s="152"/>
      <c r="K202" s="152"/>
      <c r="L202" s="152"/>
      <c r="M202" s="152"/>
      <c r="N202" s="152"/>
      <c r="O202" s="152"/>
      <c r="P202" s="152"/>
      <c r="Q202" s="152"/>
      <c r="R202" s="152"/>
      <c r="S202" s="152"/>
      <c r="T202" s="152"/>
      <c r="U202" s="152"/>
      <c r="V202" s="152"/>
      <c r="W202" s="152"/>
      <c r="X202" s="152"/>
      <c r="Y202" s="152"/>
      <c r="Z202" s="152"/>
    </row>
    <row r="203" ht="12.8" customHeight="1" spans="1:26">
      <c r="A203" s="176"/>
      <c r="B203" s="176"/>
      <c r="C203" s="176"/>
      <c r="D203" s="152"/>
      <c r="E203" s="152"/>
      <c r="F203" s="152"/>
      <c r="G203" s="152"/>
      <c r="H203" s="152"/>
      <c r="I203" s="152"/>
      <c r="J203" s="152"/>
      <c r="K203" s="152"/>
      <c r="L203" s="152"/>
      <c r="M203" s="152"/>
      <c r="N203" s="152"/>
      <c r="O203" s="152"/>
      <c r="P203" s="152"/>
      <c r="Q203" s="152"/>
      <c r="R203" s="152"/>
      <c r="S203" s="152"/>
      <c r="T203" s="152"/>
      <c r="U203" s="152"/>
      <c r="V203" s="152"/>
      <c r="W203" s="152"/>
      <c r="X203" s="152"/>
      <c r="Y203" s="152"/>
      <c r="Z203" s="152"/>
    </row>
    <row r="204" ht="12.8" customHeight="1" spans="1:26">
      <c r="A204" s="176"/>
      <c r="B204" s="176"/>
      <c r="C204" s="176"/>
      <c r="D204" s="152"/>
      <c r="E204" s="152"/>
      <c r="F204" s="152"/>
      <c r="G204" s="152"/>
      <c r="H204" s="152"/>
      <c r="I204" s="152"/>
      <c r="J204" s="152"/>
      <c r="K204" s="152"/>
      <c r="L204" s="152"/>
      <c r="M204" s="152"/>
      <c r="N204" s="152"/>
      <c r="O204" s="152"/>
      <c r="P204" s="152"/>
      <c r="Q204" s="152"/>
      <c r="R204" s="152"/>
      <c r="S204" s="152"/>
      <c r="T204" s="152"/>
      <c r="U204" s="152"/>
      <c r="V204" s="152"/>
      <c r="W204" s="152"/>
      <c r="X204" s="152"/>
      <c r="Y204" s="152"/>
      <c r="Z204" s="152"/>
    </row>
    <row r="205" ht="12.8" customHeight="1" spans="1:26">
      <c r="A205" s="176"/>
      <c r="B205" s="176"/>
      <c r="C205" s="176"/>
      <c r="D205" s="152"/>
      <c r="E205" s="152"/>
      <c r="F205" s="152"/>
      <c r="G205" s="152"/>
      <c r="H205" s="152"/>
      <c r="I205" s="152"/>
      <c r="J205" s="152"/>
      <c r="K205" s="152"/>
      <c r="L205" s="152"/>
      <c r="M205" s="152"/>
      <c r="N205" s="152"/>
      <c r="O205" s="152"/>
      <c r="P205" s="152"/>
      <c r="Q205" s="152"/>
      <c r="R205" s="152"/>
      <c r="S205" s="152"/>
      <c r="T205" s="152"/>
      <c r="U205" s="152"/>
      <c r="V205" s="152"/>
      <c r="W205" s="152"/>
      <c r="X205" s="152"/>
      <c r="Y205" s="152"/>
      <c r="Z205" s="152"/>
    </row>
    <row r="206" ht="12.8" customHeight="1" spans="1:26">
      <c r="A206" s="176"/>
      <c r="B206" s="176"/>
      <c r="C206" s="176"/>
      <c r="D206" s="152"/>
      <c r="E206" s="152"/>
      <c r="F206" s="152"/>
      <c r="G206" s="152"/>
      <c r="H206" s="152"/>
      <c r="I206" s="152"/>
      <c r="J206" s="152"/>
      <c r="K206" s="152"/>
      <c r="L206" s="152"/>
      <c r="M206" s="152"/>
      <c r="N206" s="152"/>
      <c r="O206" s="152"/>
      <c r="P206" s="152"/>
      <c r="Q206" s="152"/>
      <c r="R206" s="152"/>
      <c r="S206" s="152"/>
      <c r="T206" s="152"/>
      <c r="U206" s="152"/>
      <c r="V206" s="152"/>
      <c r="W206" s="152"/>
      <c r="X206" s="152"/>
      <c r="Y206" s="152"/>
      <c r="Z206" s="152"/>
    </row>
    <row r="207" ht="12.8" customHeight="1" spans="1:26">
      <c r="A207" s="176"/>
      <c r="B207" s="176"/>
      <c r="C207" s="176"/>
      <c r="D207" s="152"/>
      <c r="E207" s="152"/>
      <c r="F207" s="152"/>
      <c r="G207" s="152"/>
      <c r="H207" s="152"/>
      <c r="I207" s="152"/>
      <c r="J207" s="152"/>
      <c r="K207" s="152"/>
      <c r="L207" s="152"/>
      <c r="M207" s="152"/>
      <c r="N207" s="152"/>
      <c r="O207" s="152"/>
      <c r="P207" s="152"/>
      <c r="Q207" s="152"/>
      <c r="R207" s="152"/>
      <c r="S207" s="152"/>
      <c r="T207" s="152"/>
      <c r="U207" s="152"/>
      <c r="V207" s="152"/>
      <c r="W207" s="152"/>
      <c r="X207" s="152"/>
      <c r="Y207" s="152"/>
      <c r="Z207" s="152"/>
    </row>
    <row r="208" ht="12.8" customHeight="1" spans="1:26">
      <c r="A208" s="176"/>
      <c r="B208" s="176"/>
      <c r="C208" s="176"/>
      <c r="D208" s="152"/>
      <c r="E208" s="152"/>
      <c r="F208" s="152"/>
      <c r="G208" s="152"/>
      <c r="H208" s="152"/>
      <c r="I208" s="152"/>
      <c r="J208" s="152"/>
      <c r="K208" s="152"/>
      <c r="L208" s="152"/>
      <c r="M208" s="152"/>
      <c r="N208" s="152"/>
      <c r="O208" s="152"/>
      <c r="P208" s="152"/>
      <c r="Q208" s="152"/>
      <c r="R208" s="152"/>
      <c r="S208" s="152"/>
      <c r="T208" s="152"/>
      <c r="U208" s="152"/>
      <c r="V208" s="152"/>
      <c r="W208" s="152"/>
      <c r="X208" s="152"/>
      <c r="Y208" s="152"/>
      <c r="Z208" s="152"/>
    </row>
    <row r="209" ht="12.8" customHeight="1" spans="1:26">
      <c r="A209" s="176"/>
      <c r="B209" s="176"/>
      <c r="C209" s="176"/>
      <c r="D209" s="152"/>
      <c r="E209" s="152"/>
      <c r="F209" s="152"/>
      <c r="G209" s="152"/>
      <c r="H209" s="152"/>
      <c r="I209" s="152"/>
      <c r="J209" s="152"/>
      <c r="K209" s="152"/>
      <c r="L209" s="152"/>
      <c r="M209" s="152"/>
      <c r="N209" s="152"/>
      <c r="O209" s="152"/>
      <c r="P209" s="152"/>
      <c r="Q209" s="152"/>
      <c r="R209" s="152"/>
      <c r="S209" s="152"/>
      <c r="T209" s="152"/>
      <c r="U209" s="152"/>
      <c r="V209" s="152"/>
      <c r="W209" s="152"/>
      <c r="X209" s="152"/>
      <c r="Y209" s="152"/>
      <c r="Z209" s="152"/>
    </row>
    <row r="210" ht="12.8" customHeight="1" spans="1:26">
      <c r="A210" s="176"/>
      <c r="B210" s="176"/>
      <c r="C210" s="176"/>
      <c r="D210" s="152"/>
      <c r="E210" s="152"/>
      <c r="F210" s="152"/>
      <c r="G210" s="152"/>
      <c r="H210" s="152"/>
      <c r="I210" s="152"/>
      <c r="J210" s="152"/>
      <c r="K210" s="152"/>
      <c r="L210" s="152"/>
      <c r="M210" s="152"/>
      <c r="N210" s="152"/>
      <c r="O210" s="152"/>
      <c r="P210" s="152"/>
      <c r="Q210" s="152"/>
      <c r="R210" s="152"/>
      <c r="S210" s="152"/>
      <c r="T210" s="152"/>
      <c r="U210" s="152"/>
      <c r="V210" s="152"/>
      <c r="W210" s="152"/>
      <c r="X210" s="152"/>
      <c r="Y210" s="152"/>
      <c r="Z210" s="152"/>
    </row>
    <row r="211" ht="12.8" customHeight="1" spans="1:26">
      <c r="A211" s="176"/>
      <c r="B211" s="176"/>
      <c r="C211" s="176"/>
      <c r="D211" s="152"/>
      <c r="E211" s="152"/>
      <c r="F211" s="152"/>
      <c r="G211" s="152"/>
      <c r="H211" s="152"/>
      <c r="I211" s="152"/>
      <c r="J211" s="152"/>
      <c r="K211" s="152"/>
      <c r="L211" s="152"/>
      <c r="M211" s="152"/>
      <c r="N211" s="152"/>
      <c r="O211" s="152"/>
      <c r="P211" s="152"/>
      <c r="Q211" s="152"/>
      <c r="R211" s="152"/>
      <c r="S211" s="152"/>
      <c r="T211" s="152"/>
      <c r="U211" s="152"/>
      <c r="V211" s="152"/>
      <c r="W211" s="152"/>
      <c r="X211" s="152"/>
      <c r="Y211" s="152"/>
      <c r="Z211" s="152"/>
    </row>
    <row r="212" ht="12.8" customHeight="1" spans="1:26">
      <c r="A212" s="176"/>
      <c r="B212" s="176"/>
      <c r="C212" s="176"/>
      <c r="D212" s="152"/>
      <c r="E212" s="152"/>
      <c r="F212" s="152"/>
      <c r="G212" s="152"/>
      <c r="H212" s="152"/>
      <c r="I212" s="152"/>
      <c r="J212" s="152"/>
      <c r="K212" s="152"/>
      <c r="L212" s="152"/>
      <c r="M212" s="152"/>
      <c r="N212" s="152"/>
      <c r="O212" s="152"/>
      <c r="P212" s="152"/>
      <c r="Q212" s="152"/>
      <c r="R212" s="152"/>
      <c r="S212" s="152"/>
      <c r="T212" s="152"/>
      <c r="U212" s="152"/>
      <c r="V212" s="152"/>
      <c r="W212" s="152"/>
      <c r="X212" s="152"/>
      <c r="Y212" s="152"/>
      <c r="Z212" s="152"/>
    </row>
    <row r="213" ht="12.8" customHeight="1" spans="1:26">
      <c r="A213" s="176"/>
      <c r="B213" s="176"/>
      <c r="C213" s="176"/>
      <c r="D213" s="152"/>
      <c r="E213" s="152"/>
      <c r="F213" s="152"/>
      <c r="G213" s="152"/>
      <c r="H213" s="152"/>
      <c r="I213" s="152"/>
      <c r="J213" s="152"/>
      <c r="K213" s="152"/>
      <c r="L213" s="152"/>
      <c r="M213" s="152"/>
      <c r="N213" s="152"/>
      <c r="O213" s="152"/>
      <c r="P213" s="152"/>
      <c r="Q213" s="152"/>
      <c r="R213" s="152"/>
      <c r="S213" s="152"/>
      <c r="T213" s="152"/>
      <c r="U213" s="152"/>
      <c r="V213" s="152"/>
      <c r="W213" s="152"/>
      <c r="X213" s="152"/>
      <c r="Y213" s="152"/>
      <c r="Z213" s="152"/>
    </row>
    <row r="214" ht="12.8" customHeight="1" spans="1:26">
      <c r="A214" s="176"/>
      <c r="B214" s="176"/>
      <c r="C214" s="176"/>
      <c r="D214" s="152"/>
      <c r="E214" s="152"/>
      <c r="F214" s="152"/>
      <c r="G214" s="152"/>
      <c r="H214" s="152"/>
      <c r="I214" s="152"/>
      <c r="J214" s="152"/>
      <c r="K214" s="152"/>
      <c r="L214" s="152"/>
      <c r="M214" s="152"/>
      <c r="N214" s="152"/>
      <c r="O214" s="152"/>
      <c r="P214" s="152"/>
      <c r="Q214" s="152"/>
      <c r="R214" s="152"/>
      <c r="S214" s="152"/>
      <c r="T214" s="152"/>
      <c r="U214" s="152"/>
      <c r="V214" s="152"/>
      <c r="W214" s="152"/>
      <c r="X214" s="152"/>
      <c r="Y214" s="152"/>
      <c r="Z214" s="152"/>
    </row>
    <row r="215" ht="12.8" customHeight="1" spans="1:26">
      <c r="A215" s="176"/>
      <c r="B215" s="176"/>
      <c r="C215" s="176"/>
      <c r="D215" s="152"/>
      <c r="E215" s="152"/>
      <c r="F215" s="152"/>
      <c r="G215" s="152"/>
      <c r="H215" s="152"/>
      <c r="I215" s="152"/>
      <c r="J215" s="152"/>
      <c r="K215" s="152"/>
      <c r="L215" s="152"/>
      <c r="M215" s="152"/>
      <c r="N215" s="152"/>
      <c r="O215" s="152"/>
      <c r="P215" s="152"/>
      <c r="Q215" s="152"/>
      <c r="R215" s="152"/>
      <c r="S215" s="152"/>
      <c r="T215" s="152"/>
      <c r="U215" s="152"/>
      <c r="V215" s="152"/>
      <c r="W215" s="152"/>
      <c r="X215" s="152"/>
      <c r="Y215" s="152"/>
      <c r="Z215" s="152"/>
    </row>
    <row r="216" ht="12.8" customHeight="1" spans="1:26">
      <c r="A216" s="176"/>
      <c r="B216" s="176"/>
      <c r="C216" s="176"/>
      <c r="D216" s="152"/>
      <c r="E216" s="152"/>
      <c r="F216" s="152"/>
      <c r="G216" s="152"/>
      <c r="H216" s="152"/>
      <c r="I216" s="152"/>
      <c r="J216" s="152"/>
      <c r="K216" s="152"/>
      <c r="L216" s="152"/>
      <c r="M216" s="152"/>
      <c r="N216" s="152"/>
      <c r="O216" s="152"/>
      <c r="P216" s="152"/>
      <c r="Q216" s="152"/>
      <c r="R216" s="152"/>
      <c r="S216" s="152"/>
      <c r="T216" s="152"/>
      <c r="U216" s="152"/>
      <c r="V216" s="152"/>
      <c r="W216" s="152"/>
      <c r="X216" s="152"/>
      <c r="Y216" s="152"/>
      <c r="Z216" s="152"/>
    </row>
    <row r="217" ht="12.8" customHeight="1" spans="1:26">
      <c r="A217" s="176"/>
      <c r="B217" s="176"/>
      <c r="C217" s="176"/>
      <c r="D217" s="152"/>
      <c r="E217" s="152"/>
      <c r="F217" s="152"/>
      <c r="G217" s="152"/>
      <c r="H217" s="152"/>
      <c r="I217" s="152"/>
      <c r="J217" s="152"/>
      <c r="K217" s="152"/>
      <c r="L217" s="152"/>
      <c r="M217" s="152"/>
      <c r="N217" s="152"/>
      <c r="O217" s="152"/>
      <c r="P217" s="152"/>
      <c r="Q217" s="152"/>
      <c r="R217" s="152"/>
      <c r="S217" s="152"/>
      <c r="T217" s="152"/>
      <c r="U217" s="152"/>
      <c r="V217" s="152"/>
      <c r="W217" s="152"/>
      <c r="X217" s="152"/>
      <c r="Y217" s="152"/>
      <c r="Z217" s="152"/>
    </row>
    <row r="218" ht="12.8" customHeight="1" spans="1:26">
      <c r="A218" s="176"/>
      <c r="B218" s="176"/>
      <c r="C218" s="176"/>
      <c r="D218" s="152"/>
      <c r="E218" s="152"/>
      <c r="F218" s="152"/>
      <c r="G218" s="152"/>
      <c r="H218" s="152"/>
      <c r="I218" s="152"/>
      <c r="J218" s="152"/>
      <c r="K218" s="152"/>
      <c r="L218" s="152"/>
      <c r="M218" s="152"/>
      <c r="N218" s="152"/>
      <c r="O218" s="152"/>
      <c r="P218" s="152"/>
      <c r="Q218" s="152"/>
      <c r="R218" s="152"/>
      <c r="S218" s="152"/>
      <c r="T218" s="152"/>
      <c r="U218" s="152"/>
      <c r="V218" s="152"/>
      <c r="W218" s="152"/>
      <c r="X218" s="152"/>
      <c r="Y218" s="152"/>
      <c r="Z218" s="152"/>
    </row>
    <row r="219" ht="12.8" customHeight="1" spans="1:26">
      <c r="A219" s="176"/>
      <c r="B219" s="176"/>
      <c r="C219" s="176"/>
      <c r="D219" s="152"/>
      <c r="E219" s="152"/>
      <c r="F219" s="152"/>
      <c r="G219" s="152"/>
      <c r="H219" s="152"/>
      <c r="I219" s="152"/>
      <c r="J219" s="152"/>
      <c r="K219" s="152"/>
      <c r="L219" s="152"/>
      <c r="M219" s="152"/>
      <c r="N219" s="152"/>
      <c r="O219" s="152"/>
      <c r="P219" s="152"/>
      <c r="Q219" s="152"/>
      <c r="R219" s="152"/>
      <c r="S219" s="152"/>
      <c r="T219" s="152"/>
      <c r="U219" s="152"/>
      <c r="V219" s="152"/>
      <c r="W219" s="152"/>
      <c r="X219" s="152"/>
      <c r="Y219" s="152"/>
      <c r="Z219" s="152"/>
    </row>
    <row r="220" ht="12.8" customHeight="1" spans="1:26">
      <c r="A220" s="176"/>
      <c r="B220" s="176"/>
      <c r="C220" s="176"/>
      <c r="D220" s="152"/>
      <c r="E220" s="152"/>
      <c r="F220" s="152"/>
      <c r="G220" s="152"/>
      <c r="H220" s="152"/>
      <c r="I220" s="152"/>
      <c r="J220" s="152"/>
      <c r="K220" s="152"/>
      <c r="L220" s="152"/>
      <c r="M220" s="152"/>
      <c r="N220" s="152"/>
      <c r="O220" s="152"/>
      <c r="P220" s="152"/>
      <c r="Q220" s="152"/>
      <c r="R220" s="152"/>
      <c r="S220" s="152"/>
      <c r="T220" s="152"/>
      <c r="U220" s="152"/>
      <c r="V220" s="152"/>
      <c r="W220" s="152"/>
      <c r="X220" s="152"/>
      <c r="Y220" s="152"/>
      <c r="Z220" s="152"/>
    </row>
    <row r="221" ht="12.8" customHeight="1" spans="1:26">
      <c r="A221" s="176"/>
      <c r="B221" s="176"/>
      <c r="C221" s="176"/>
      <c r="D221" s="152"/>
      <c r="E221" s="152"/>
      <c r="F221" s="152"/>
      <c r="G221" s="152"/>
      <c r="H221" s="152"/>
      <c r="I221" s="152"/>
      <c r="J221" s="152"/>
      <c r="K221" s="152"/>
      <c r="L221" s="152"/>
      <c r="M221" s="152"/>
      <c r="N221" s="152"/>
      <c r="O221" s="152"/>
      <c r="P221" s="152"/>
      <c r="Q221" s="152"/>
      <c r="R221" s="152"/>
      <c r="S221" s="152"/>
      <c r="T221" s="152"/>
      <c r="U221" s="152"/>
      <c r="V221" s="152"/>
      <c r="W221" s="152"/>
      <c r="X221" s="152"/>
      <c r="Y221" s="152"/>
      <c r="Z221" s="152"/>
    </row>
    <row r="222" ht="12.8" customHeight="1" spans="1:26">
      <c r="A222" s="176"/>
      <c r="B222" s="176"/>
      <c r="C222" s="176"/>
      <c r="D222" s="152"/>
      <c r="E222" s="152"/>
      <c r="F222" s="152"/>
      <c r="G222" s="152"/>
      <c r="H222" s="152"/>
      <c r="I222" s="152"/>
      <c r="J222" s="152"/>
      <c r="K222" s="152"/>
      <c r="L222" s="152"/>
      <c r="M222" s="152"/>
      <c r="N222" s="152"/>
      <c r="O222" s="152"/>
      <c r="P222" s="152"/>
      <c r="Q222" s="152"/>
      <c r="R222" s="152"/>
      <c r="S222" s="152"/>
      <c r="T222" s="152"/>
      <c r="U222" s="152"/>
      <c r="V222" s="152"/>
      <c r="W222" s="152"/>
      <c r="X222" s="152"/>
      <c r="Y222" s="152"/>
      <c r="Z222" s="152"/>
    </row>
    <row r="223" ht="12.8" customHeight="1" spans="1:26">
      <c r="A223" s="176"/>
      <c r="B223" s="176"/>
      <c r="C223" s="176"/>
      <c r="D223" s="152"/>
      <c r="E223" s="152"/>
      <c r="F223" s="152"/>
      <c r="G223" s="152"/>
      <c r="H223" s="152"/>
      <c r="I223" s="152"/>
      <c r="J223" s="152"/>
      <c r="K223" s="152"/>
      <c r="L223" s="152"/>
      <c r="M223" s="152"/>
      <c r="N223" s="152"/>
      <c r="O223" s="152"/>
      <c r="P223" s="152"/>
      <c r="Q223" s="152"/>
      <c r="R223" s="152"/>
      <c r="S223" s="152"/>
      <c r="T223" s="152"/>
      <c r="U223" s="152"/>
      <c r="V223" s="152"/>
      <c r="W223" s="152"/>
      <c r="X223" s="152"/>
      <c r="Y223" s="152"/>
      <c r="Z223" s="152"/>
    </row>
    <row r="224" ht="12.8" customHeight="1" spans="1:26">
      <c r="A224" s="176"/>
      <c r="B224" s="176"/>
      <c r="C224" s="176"/>
      <c r="D224" s="152"/>
      <c r="E224" s="152"/>
      <c r="F224" s="152"/>
      <c r="G224" s="152"/>
      <c r="H224" s="152"/>
      <c r="I224" s="152"/>
      <c r="J224" s="152"/>
      <c r="K224" s="152"/>
      <c r="L224" s="152"/>
      <c r="M224" s="152"/>
      <c r="N224" s="152"/>
      <c r="O224" s="152"/>
      <c r="P224" s="152"/>
      <c r="Q224" s="152"/>
      <c r="R224" s="152"/>
      <c r="S224" s="152"/>
      <c r="T224" s="152"/>
      <c r="U224" s="152"/>
      <c r="V224" s="152"/>
      <c r="W224" s="152"/>
      <c r="X224" s="152"/>
      <c r="Y224" s="152"/>
      <c r="Z224" s="152"/>
    </row>
    <row r="225" ht="12.8" customHeight="1" spans="1:26">
      <c r="A225" s="176"/>
      <c r="B225" s="176"/>
      <c r="C225" s="176"/>
      <c r="D225" s="152"/>
      <c r="E225" s="152"/>
      <c r="F225" s="152"/>
      <c r="G225" s="152"/>
      <c r="H225" s="152"/>
      <c r="I225" s="152"/>
      <c r="J225" s="152"/>
      <c r="K225" s="152"/>
      <c r="L225" s="152"/>
      <c r="M225" s="152"/>
      <c r="N225" s="152"/>
      <c r="O225" s="152"/>
      <c r="P225" s="152"/>
      <c r="Q225" s="152"/>
      <c r="R225" s="152"/>
      <c r="S225" s="152"/>
      <c r="T225" s="152"/>
      <c r="U225" s="152"/>
      <c r="V225" s="152"/>
      <c r="W225" s="152"/>
      <c r="X225" s="152"/>
      <c r="Y225" s="152"/>
      <c r="Z225" s="152"/>
    </row>
    <row r="226" ht="12.8" customHeight="1" spans="1:26">
      <c r="A226" s="176"/>
      <c r="B226" s="176"/>
      <c r="C226" s="176"/>
      <c r="D226" s="152"/>
      <c r="E226" s="152"/>
      <c r="F226" s="152"/>
      <c r="G226" s="152"/>
      <c r="H226" s="152"/>
      <c r="I226" s="152"/>
      <c r="J226" s="152"/>
      <c r="K226" s="152"/>
      <c r="L226" s="152"/>
      <c r="M226" s="152"/>
      <c r="N226" s="152"/>
      <c r="O226" s="152"/>
      <c r="P226" s="152"/>
      <c r="Q226" s="152"/>
      <c r="R226" s="152"/>
      <c r="S226" s="152"/>
      <c r="T226" s="152"/>
      <c r="U226" s="152"/>
      <c r="V226" s="152"/>
      <c r="W226" s="152"/>
      <c r="X226" s="152"/>
      <c r="Y226" s="152"/>
      <c r="Z226" s="152"/>
    </row>
    <row r="227" ht="12.8" customHeight="1" spans="1:26">
      <c r="A227" s="176"/>
      <c r="B227" s="176"/>
      <c r="C227" s="176"/>
      <c r="D227" s="152"/>
      <c r="E227" s="152"/>
      <c r="F227" s="152"/>
      <c r="G227" s="152"/>
      <c r="H227" s="152"/>
      <c r="I227" s="152"/>
      <c r="J227" s="152"/>
      <c r="K227" s="152"/>
      <c r="L227" s="152"/>
      <c r="M227" s="152"/>
      <c r="N227" s="152"/>
      <c r="O227" s="152"/>
      <c r="P227" s="152"/>
      <c r="Q227" s="152"/>
      <c r="R227" s="152"/>
      <c r="S227" s="152"/>
      <c r="T227" s="152"/>
      <c r="U227" s="152"/>
      <c r="V227" s="152"/>
      <c r="W227" s="152"/>
      <c r="X227" s="152"/>
      <c r="Y227" s="152"/>
      <c r="Z227" s="152"/>
    </row>
    <row r="228" ht="12.8" customHeight="1" spans="1:26">
      <c r="A228" s="176"/>
      <c r="B228" s="176"/>
      <c r="C228" s="176"/>
      <c r="D228" s="152"/>
      <c r="E228" s="152"/>
      <c r="F228" s="152"/>
      <c r="G228" s="152"/>
      <c r="H228" s="152"/>
      <c r="I228" s="152"/>
      <c r="J228" s="152"/>
      <c r="K228" s="152"/>
      <c r="L228" s="152"/>
      <c r="M228" s="152"/>
      <c r="N228" s="152"/>
      <c r="O228" s="152"/>
      <c r="P228" s="152"/>
      <c r="Q228" s="152"/>
      <c r="R228" s="152"/>
      <c r="S228" s="152"/>
      <c r="T228" s="152"/>
      <c r="U228" s="152"/>
      <c r="V228" s="152"/>
      <c r="W228" s="152"/>
      <c r="X228" s="152"/>
      <c r="Y228" s="152"/>
      <c r="Z228" s="152"/>
    </row>
    <row r="229" ht="12.8" customHeight="1" spans="1:26">
      <c r="A229" s="176"/>
      <c r="B229" s="176"/>
      <c r="C229" s="176"/>
      <c r="D229" s="152"/>
      <c r="E229" s="152"/>
      <c r="F229" s="152"/>
      <c r="G229" s="152"/>
      <c r="H229" s="152"/>
      <c r="I229" s="152"/>
      <c r="J229" s="152"/>
      <c r="K229" s="152"/>
      <c r="L229" s="152"/>
      <c r="M229" s="152"/>
      <c r="N229" s="152"/>
      <c r="O229" s="152"/>
      <c r="P229" s="152"/>
      <c r="Q229" s="152"/>
      <c r="R229" s="152"/>
      <c r="S229" s="152"/>
      <c r="T229" s="152"/>
      <c r="U229" s="152"/>
      <c r="V229" s="152"/>
      <c r="W229" s="152"/>
      <c r="X229" s="152"/>
      <c r="Y229" s="152"/>
      <c r="Z229" s="152"/>
    </row>
    <row r="230" ht="12.8" customHeight="1" spans="1:26">
      <c r="A230" s="176"/>
      <c r="B230" s="176"/>
      <c r="C230" s="176"/>
      <c r="D230" s="152"/>
      <c r="E230" s="152"/>
      <c r="F230" s="152"/>
      <c r="G230" s="152"/>
      <c r="H230" s="152"/>
      <c r="I230" s="152"/>
      <c r="J230" s="152"/>
      <c r="K230" s="152"/>
      <c r="L230" s="152"/>
      <c r="M230" s="152"/>
      <c r="N230" s="152"/>
      <c r="O230" s="152"/>
      <c r="P230" s="152"/>
      <c r="Q230" s="152"/>
      <c r="R230" s="152"/>
      <c r="S230" s="152"/>
      <c r="T230" s="152"/>
      <c r="U230" s="152"/>
      <c r="V230" s="152"/>
      <c r="W230" s="152"/>
      <c r="X230" s="152"/>
      <c r="Y230" s="152"/>
      <c r="Z230" s="152"/>
    </row>
    <row r="231" ht="12.8" customHeight="1" spans="1:26">
      <c r="A231" s="176"/>
      <c r="B231" s="176"/>
      <c r="C231" s="176"/>
      <c r="D231" s="152"/>
      <c r="E231" s="152"/>
      <c r="F231" s="152"/>
      <c r="G231" s="152"/>
      <c r="H231" s="152"/>
      <c r="I231" s="152"/>
      <c r="J231" s="152"/>
      <c r="K231" s="152"/>
      <c r="L231" s="152"/>
      <c r="M231" s="152"/>
      <c r="N231" s="152"/>
      <c r="O231" s="152"/>
      <c r="P231" s="152"/>
      <c r="Q231" s="152"/>
      <c r="R231" s="152"/>
      <c r="S231" s="152"/>
      <c r="T231" s="152"/>
      <c r="U231" s="152"/>
      <c r="V231" s="152"/>
      <c r="W231" s="152"/>
      <c r="X231" s="152"/>
      <c r="Y231" s="152"/>
      <c r="Z231" s="152"/>
    </row>
    <row r="232" ht="12.8" customHeight="1" spans="1:26">
      <c r="A232" s="176"/>
      <c r="B232" s="176"/>
      <c r="C232" s="176"/>
      <c r="D232" s="152"/>
      <c r="E232" s="152"/>
      <c r="F232" s="152"/>
      <c r="G232" s="152"/>
      <c r="H232" s="152"/>
      <c r="I232" s="152"/>
      <c r="J232" s="152"/>
      <c r="K232" s="152"/>
      <c r="L232" s="152"/>
      <c r="M232" s="152"/>
      <c r="N232" s="152"/>
      <c r="O232" s="152"/>
      <c r="P232" s="152"/>
      <c r="Q232" s="152"/>
      <c r="R232" s="152"/>
      <c r="S232" s="152"/>
      <c r="T232" s="152"/>
      <c r="U232" s="152"/>
      <c r="V232" s="152"/>
      <c r="W232" s="152"/>
      <c r="X232" s="152"/>
      <c r="Y232" s="152"/>
      <c r="Z232" s="152"/>
    </row>
    <row r="233" ht="12.8" customHeight="1" spans="1:26">
      <c r="A233" s="176"/>
      <c r="B233" s="176"/>
      <c r="C233" s="176"/>
      <c r="D233" s="152"/>
      <c r="E233" s="152"/>
      <c r="F233" s="152"/>
      <c r="G233" s="152"/>
      <c r="H233" s="152"/>
      <c r="I233" s="152"/>
      <c r="J233" s="152"/>
      <c r="K233" s="152"/>
      <c r="L233" s="152"/>
      <c r="M233" s="152"/>
      <c r="N233" s="152"/>
      <c r="O233" s="152"/>
      <c r="P233" s="152"/>
      <c r="Q233" s="152"/>
      <c r="R233" s="152"/>
      <c r="S233" s="152"/>
      <c r="T233" s="152"/>
      <c r="U233" s="152"/>
      <c r="V233" s="152"/>
      <c r="W233" s="152"/>
      <c r="X233" s="152"/>
      <c r="Y233" s="152"/>
      <c r="Z233" s="152"/>
    </row>
    <row r="234" ht="12.8" customHeight="1" spans="1:26">
      <c r="A234" s="176"/>
      <c r="B234" s="176"/>
      <c r="C234" s="176"/>
      <c r="D234" s="152"/>
      <c r="E234" s="152"/>
      <c r="F234" s="152"/>
      <c r="G234" s="152"/>
      <c r="H234" s="152"/>
      <c r="I234" s="152"/>
      <c r="J234" s="152"/>
      <c r="K234" s="152"/>
      <c r="L234" s="152"/>
      <c r="M234" s="152"/>
      <c r="N234" s="152"/>
      <c r="O234" s="152"/>
      <c r="P234" s="152"/>
      <c r="Q234" s="152"/>
      <c r="R234" s="152"/>
      <c r="S234" s="152"/>
      <c r="T234" s="152"/>
      <c r="U234" s="152"/>
      <c r="V234" s="152"/>
      <c r="W234" s="152"/>
      <c r="X234" s="152"/>
      <c r="Y234" s="152"/>
      <c r="Z234" s="152"/>
    </row>
    <row r="235" ht="12.8" customHeight="1" spans="1:26">
      <c r="A235" s="176"/>
      <c r="B235" s="176"/>
      <c r="C235" s="176"/>
      <c r="D235" s="152"/>
      <c r="E235" s="152"/>
      <c r="F235" s="152"/>
      <c r="G235" s="152"/>
      <c r="H235" s="152"/>
      <c r="I235" s="152"/>
      <c r="J235" s="152"/>
      <c r="K235" s="152"/>
      <c r="L235" s="152"/>
      <c r="M235" s="152"/>
      <c r="N235" s="152"/>
      <c r="O235" s="152"/>
      <c r="P235" s="152"/>
      <c r="Q235" s="152"/>
      <c r="R235" s="152"/>
      <c r="S235" s="152"/>
      <c r="T235" s="152"/>
      <c r="U235" s="152"/>
      <c r="V235" s="152"/>
      <c r="W235" s="152"/>
      <c r="X235" s="152"/>
      <c r="Y235" s="152"/>
      <c r="Z235" s="152"/>
    </row>
    <row r="236" ht="12.8" customHeight="1" spans="1:26">
      <c r="A236" s="176"/>
      <c r="B236" s="176"/>
      <c r="C236" s="176"/>
      <c r="D236" s="152"/>
      <c r="E236" s="152"/>
      <c r="F236" s="152"/>
      <c r="G236" s="152"/>
      <c r="H236" s="152"/>
      <c r="I236" s="152"/>
      <c r="J236" s="152"/>
      <c r="K236" s="152"/>
      <c r="L236" s="152"/>
      <c r="M236" s="152"/>
      <c r="N236" s="152"/>
      <c r="O236" s="152"/>
      <c r="P236" s="152"/>
      <c r="Q236" s="152"/>
      <c r="R236" s="152"/>
      <c r="S236" s="152"/>
      <c r="T236" s="152"/>
      <c r="U236" s="152"/>
      <c r="V236" s="152"/>
      <c r="W236" s="152"/>
      <c r="X236" s="152"/>
      <c r="Y236" s="152"/>
      <c r="Z236" s="152"/>
    </row>
    <row r="237" ht="12.8" customHeight="1" spans="1:26">
      <c r="A237" s="176"/>
      <c r="B237" s="176"/>
      <c r="C237" s="176"/>
      <c r="D237" s="152"/>
      <c r="E237" s="152"/>
      <c r="F237" s="152"/>
      <c r="G237" s="152"/>
      <c r="H237" s="152"/>
      <c r="I237" s="152"/>
      <c r="J237" s="152"/>
      <c r="K237" s="152"/>
      <c r="L237" s="152"/>
      <c r="M237" s="152"/>
      <c r="N237" s="152"/>
      <c r="O237" s="152"/>
      <c r="P237" s="152"/>
      <c r="Q237" s="152"/>
      <c r="R237" s="152"/>
      <c r="S237" s="152"/>
      <c r="T237" s="152"/>
      <c r="U237" s="152"/>
      <c r="V237" s="152"/>
      <c r="W237" s="152"/>
      <c r="X237" s="152"/>
      <c r="Y237" s="152"/>
      <c r="Z237" s="152"/>
    </row>
    <row r="238" ht="12.8" customHeight="1" spans="1:26">
      <c r="A238" s="176"/>
      <c r="B238" s="176"/>
      <c r="C238" s="176"/>
      <c r="D238" s="152"/>
      <c r="E238" s="152"/>
      <c r="F238" s="152"/>
      <c r="G238" s="152"/>
      <c r="H238" s="152"/>
      <c r="I238" s="152"/>
      <c r="J238" s="152"/>
      <c r="K238" s="152"/>
      <c r="L238" s="152"/>
      <c r="M238" s="152"/>
      <c r="N238" s="152"/>
      <c r="O238" s="152"/>
      <c r="P238" s="152"/>
      <c r="Q238" s="152"/>
      <c r="R238" s="152"/>
      <c r="S238" s="152"/>
      <c r="T238" s="152"/>
      <c r="U238" s="152"/>
      <c r="V238" s="152"/>
      <c r="W238" s="152"/>
      <c r="X238" s="152"/>
      <c r="Y238" s="152"/>
      <c r="Z238" s="152"/>
    </row>
    <row r="239" ht="12.8" customHeight="1" spans="1:26">
      <c r="A239" s="176"/>
      <c r="B239" s="176"/>
      <c r="C239" s="176"/>
      <c r="D239" s="152"/>
      <c r="E239" s="152"/>
      <c r="F239" s="152"/>
      <c r="G239" s="152"/>
      <c r="H239" s="152"/>
      <c r="I239" s="152"/>
      <c r="J239" s="152"/>
      <c r="K239" s="152"/>
      <c r="L239" s="152"/>
      <c r="M239" s="152"/>
      <c r="N239" s="152"/>
      <c r="O239" s="152"/>
      <c r="P239" s="152"/>
      <c r="Q239" s="152"/>
      <c r="R239" s="152"/>
      <c r="S239" s="152"/>
      <c r="T239" s="152"/>
      <c r="U239" s="152"/>
      <c r="V239" s="152"/>
      <c r="W239" s="152"/>
      <c r="X239" s="152"/>
      <c r="Y239" s="152"/>
      <c r="Z239" s="152"/>
    </row>
    <row r="240" ht="12.8" customHeight="1" spans="1:26">
      <c r="A240" s="176"/>
      <c r="B240" s="176"/>
      <c r="C240" s="176"/>
      <c r="D240" s="152"/>
      <c r="E240" s="152"/>
      <c r="F240" s="152"/>
      <c r="G240" s="152"/>
      <c r="H240" s="152"/>
      <c r="I240" s="152"/>
      <c r="J240" s="152"/>
      <c r="K240" s="152"/>
      <c r="L240" s="152"/>
      <c r="M240" s="152"/>
      <c r="N240" s="152"/>
      <c r="O240" s="152"/>
      <c r="P240" s="152"/>
      <c r="Q240" s="152"/>
      <c r="R240" s="152"/>
      <c r="S240" s="152"/>
      <c r="T240" s="152"/>
      <c r="U240" s="152"/>
      <c r="V240" s="152"/>
      <c r="W240" s="152"/>
      <c r="X240" s="152"/>
      <c r="Y240" s="152"/>
      <c r="Z240" s="152"/>
    </row>
    <row r="241" ht="12.8" customHeight="1" spans="1:26">
      <c r="A241" s="176"/>
      <c r="B241" s="176"/>
      <c r="C241" s="176"/>
      <c r="D241" s="152"/>
      <c r="E241" s="152"/>
      <c r="F241" s="152"/>
      <c r="G241" s="152"/>
      <c r="H241" s="152"/>
      <c r="I241" s="152"/>
      <c r="J241" s="152"/>
      <c r="K241" s="152"/>
      <c r="L241" s="152"/>
      <c r="M241" s="152"/>
      <c r="N241" s="152"/>
      <c r="O241" s="152"/>
      <c r="P241" s="152"/>
      <c r="Q241" s="152"/>
      <c r="R241" s="152"/>
      <c r="S241" s="152"/>
      <c r="T241" s="152"/>
      <c r="U241" s="152"/>
      <c r="V241" s="152"/>
      <c r="W241" s="152"/>
      <c r="X241" s="152"/>
      <c r="Y241" s="152"/>
      <c r="Z241" s="152"/>
    </row>
    <row r="242" ht="12.8" customHeight="1" spans="1:26">
      <c r="A242" s="176"/>
      <c r="B242" s="176"/>
      <c r="C242" s="176"/>
      <c r="D242" s="152"/>
      <c r="E242" s="152"/>
      <c r="F242" s="152"/>
      <c r="G242" s="152"/>
      <c r="H242" s="152"/>
      <c r="I242" s="152"/>
      <c r="J242" s="152"/>
      <c r="K242" s="152"/>
      <c r="L242" s="152"/>
      <c r="M242" s="152"/>
      <c r="N242" s="152"/>
      <c r="O242" s="152"/>
      <c r="P242" s="152"/>
      <c r="Q242" s="152"/>
      <c r="R242" s="152"/>
      <c r="S242" s="152"/>
      <c r="T242" s="152"/>
      <c r="U242" s="152"/>
      <c r="V242" s="152"/>
      <c r="W242" s="152"/>
      <c r="X242" s="152"/>
      <c r="Y242" s="152"/>
      <c r="Z242" s="152"/>
    </row>
    <row r="243" ht="12.8" customHeight="1" spans="1:26">
      <c r="A243" s="176"/>
      <c r="B243" s="176"/>
      <c r="C243" s="176"/>
      <c r="D243" s="152"/>
      <c r="E243" s="152"/>
      <c r="F243" s="152"/>
      <c r="G243" s="152"/>
      <c r="H243" s="152"/>
      <c r="I243" s="152"/>
      <c r="J243" s="152"/>
      <c r="K243" s="152"/>
      <c r="L243" s="152"/>
      <c r="M243" s="152"/>
      <c r="N243" s="152"/>
      <c r="O243" s="152"/>
      <c r="P243" s="152"/>
      <c r="Q243" s="152"/>
      <c r="R243" s="152"/>
      <c r="S243" s="152"/>
      <c r="T243" s="152"/>
      <c r="U243" s="152"/>
      <c r="V243" s="152"/>
      <c r="W243" s="152"/>
      <c r="X243" s="152"/>
      <c r="Y243" s="152"/>
      <c r="Z243" s="152"/>
    </row>
    <row r="244" ht="12.8" customHeight="1" spans="1:26">
      <c r="A244" s="176"/>
      <c r="B244" s="176"/>
      <c r="C244" s="176"/>
      <c r="D244" s="152"/>
      <c r="E244" s="152"/>
      <c r="F244" s="152"/>
      <c r="G244" s="152"/>
      <c r="H244" s="152"/>
      <c r="I244" s="152"/>
      <c r="J244" s="152"/>
      <c r="K244" s="152"/>
      <c r="L244" s="152"/>
      <c r="M244" s="152"/>
      <c r="N244" s="152"/>
      <c r="O244" s="152"/>
      <c r="P244" s="152"/>
      <c r="Q244" s="152"/>
      <c r="R244" s="152"/>
      <c r="S244" s="152"/>
      <c r="T244" s="152"/>
      <c r="U244" s="152"/>
      <c r="V244" s="152"/>
      <c r="W244" s="152"/>
      <c r="X244" s="152"/>
      <c r="Y244" s="152"/>
      <c r="Z244" s="152"/>
    </row>
    <row r="245" ht="12.8" customHeight="1" spans="1:26">
      <c r="A245" s="176"/>
      <c r="B245" s="176"/>
      <c r="C245" s="176"/>
      <c r="D245" s="152"/>
      <c r="E245" s="152"/>
      <c r="F245" s="152"/>
      <c r="G245" s="152"/>
      <c r="H245" s="152"/>
      <c r="I245" s="152"/>
      <c r="J245" s="152"/>
      <c r="K245" s="152"/>
      <c r="L245" s="152"/>
      <c r="M245" s="152"/>
      <c r="N245" s="152"/>
      <c r="O245" s="152"/>
      <c r="P245" s="152"/>
      <c r="Q245" s="152"/>
      <c r="R245" s="152"/>
      <c r="S245" s="152"/>
      <c r="T245" s="152"/>
      <c r="U245" s="152"/>
      <c r="V245" s="152"/>
      <c r="W245" s="152"/>
      <c r="X245" s="152"/>
      <c r="Y245" s="152"/>
      <c r="Z245" s="152"/>
    </row>
    <row r="246" ht="12.8" customHeight="1" spans="1:26">
      <c r="A246" s="176"/>
      <c r="B246" s="176"/>
      <c r="C246" s="176"/>
      <c r="D246" s="152"/>
      <c r="E246" s="152"/>
      <c r="F246" s="152"/>
      <c r="G246" s="152"/>
      <c r="H246" s="152"/>
      <c r="I246" s="152"/>
      <c r="J246" s="152"/>
      <c r="K246" s="152"/>
      <c r="L246" s="152"/>
      <c r="M246" s="152"/>
      <c r="N246" s="152"/>
      <c r="O246" s="152"/>
      <c r="P246" s="152"/>
      <c r="Q246" s="152"/>
      <c r="R246" s="152"/>
      <c r="S246" s="152"/>
      <c r="T246" s="152"/>
      <c r="U246" s="152"/>
      <c r="V246" s="152"/>
      <c r="W246" s="152"/>
      <c r="X246" s="152"/>
      <c r="Y246" s="152"/>
      <c r="Z246" s="152"/>
    </row>
    <row r="247" ht="12.8" customHeight="1" spans="1:26">
      <c r="A247" s="176"/>
      <c r="B247" s="176"/>
      <c r="C247" s="176"/>
      <c r="D247" s="152"/>
      <c r="E247" s="152"/>
      <c r="F247" s="152"/>
      <c r="G247" s="152"/>
      <c r="H247" s="152"/>
      <c r="I247" s="152"/>
      <c r="J247" s="152"/>
      <c r="K247" s="152"/>
      <c r="L247" s="152"/>
      <c r="M247" s="152"/>
      <c r="N247" s="152"/>
      <c r="O247" s="152"/>
      <c r="P247" s="152"/>
      <c r="Q247" s="152"/>
      <c r="R247" s="152"/>
      <c r="S247" s="152"/>
      <c r="T247" s="152"/>
      <c r="U247" s="152"/>
      <c r="V247" s="152"/>
      <c r="W247" s="152"/>
      <c r="X247" s="152"/>
      <c r="Y247" s="152"/>
      <c r="Z247" s="152"/>
    </row>
    <row r="248" ht="12.8" customHeight="1" spans="1:26">
      <c r="A248" s="176"/>
      <c r="B248" s="176"/>
      <c r="C248" s="176"/>
      <c r="D248" s="152"/>
      <c r="E248" s="152"/>
      <c r="F248" s="152"/>
      <c r="G248" s="152"/>
      <c r="H248" s="152"/>
      <c r="I248" s="152"/>
      <c r="J248" s="152"/>
      <c r="K248" s="152"/>
      <c r="L248" s="152"/>
      <c r="M248" s="152"/>
      <c r="N248" s="152"/>
      <c r="O248" s="152"/>
      <c r="P248" s="152"/>
      <c r="Q248" s="152"/>
      <c r="R248" s="152"/>
      <c r="S248" s="152"/>
      <c r="T248" s="152"/>
      <c r="U248" s="152"/>
      <c r="V248" s="152"/>
      <c r="W248" s="152"/>
      <c r="X248" s="152"/>
      <c r="Y248" s="152"/>
      <c r="Z248" s="152"/>
    </row>
    <row r="249" ht="12.8" customHeight="1" spans="1:26">
      <c r="A249" s="176"/>
      <c r="B249" s="176"/>
      <c r="C249" s="176"/>
      <c r="D249" s="152"/>
      <c r="E249" s="152"/>
      <c r="F249" s="152"/>
      <c r="G249" s="152"/>
      <c r="H249" s="152"/>
      <c r="I249" s="152"/>
      <c r="J249" s="152"/>
      <c r="K249" s="152"/>
      <c r="L249" s="152"/>
      <c r="M249" s="152"/>
      <c r="N249" s="152"/>
      <c r="O249" s="152"/>
      <c r="P249" s="152"/>
      <c r="Q249" s="152"/>
      <c r="R249" s="152"/>
      <c r="S249" s="152"/>
      <c r="T249" s="152"/>
      <c r="U249" s="152"/>
      <c r="V249" s="152"/>
      <c r="W249" s="152"/>
      <c r="X249" s="152"/>
      <c r="Y249" s="152"/>
      <c r="Z249" s="152"/>
    </row>
    <row r="250" ht="12.8" customHeight="1" spans="1:26">
      <c r="A250" s="176"/>
      <c r="B250" s="176"/>
      <c r="C250" s="176"/>
      <c r="D250" s="152"/>
      <c r="E250" s="152"/>
      <c r="F250" s="152"/>
      <c r="G250" s="152"/>
      <c r="H250" s="152"/>
      <c r="I250" s="152"/>
      <c r="J250" s="152"/>
      <c r="K250" s="152"/>
      <c r="L250" s="152"/>
      <c r="M250" s="152"/>
      <c r="N250" s="152"/>
      <c r="O250" s="152"/>
      <c r="P250" s="152"/>
      <c r="Q250" s="152"/>
      <c r="R250" s="152"/>
      <c r="S250" s="152"/>
      <c r="T250" s="152"/>
      <c r="U250" s="152"/>
      <c r="V250" s="152"/>
      <c r="W250" s="152"/>
      <c r="X250" s="152"/>
      <c r="Y250" s="152"/>
      <c r="Z250" s="152"/>
    </row>
    <row r="251" ht="12.8" customHeight="1" spans="1:26">
      <c r="A251" s="176"/>
      <c r="B251" s="176"/>
      <c r="C251" s="176"/>
      <c r="D251" s="152"/>
      <c r="E251" s="152"/>
      <c r="F251" s="152"/>
      <c r="G251" s="152"/>
      <c r="H251" s="152"/>
      <c r="I251" s="152"/>
      <c r="J251" s="152"/>
      <c r="K251" s="152"/>
      <c r="L251" s="152"/>
      <c r="M251" s="152"/>
      <c r="N251" s="152"/>
      <c r="O251" s="152"/>
      <c r="P251" s="152"/>
      <c r="Q251" s="152"/>
      <c r="R251" s="152"/>
      <c r="S251" s="152"/>
      <c r="T251" s="152"/>
      <c r="U251" s="152"/>
      <c r="V251" s="152"/>
      <c r="W251" s="152"/>
      <c r="X251" s="152"/>
      <c r="Y251" s="152"/>
      <c r="Z251" s="152"/>
    </row>
    <row r="252" ht="12.8" customHeight="1" spans="1:26">
      <c r="A252" s="176"/>
      <c r="B252" s="176"/>
      <c r="C252" s="176"/>
      <c r="D252" s="152"/>
      <c r="E252" s="152"/>
      <c r="F252" s="152"/>
      <c r="G252" s="152"/>
      <c r="H252" s="152"/>
      <c r="I252" s="152"/>
      <c r="J252" s="152"/>
      <c r="K252" s="152"/>
      <c r="L252" s="152"/>
      <c r="M252" s="152"/>
      <c r="N252" s="152"/>
      <c r="O252" s="152"/>
      <c r="P252" s="152"/>
      <c r="Q252" s="152"/>
      <c r="R252" s="152"/>
      <c r="S252" s="152"/>
      <c r="T252" s="152"/>
      <c r="U252" s="152"/>
      <c r="V252" s="152"/>
      <c r="W252" s="152"/>
      <c r="X252" s="152"/>
      <c r="Y252" s="152"/>
      <c r="Z252" s="152"/>
    </row>
    <row r="253" ht="12.8" customHeight="1" spans="1:26">
      <c r="A253" s="176"/>
      <c r="B253" s="176"/>
      <c r="C253" s="176"/>
      <c r="D253" s="152"/>
      <c r="E253" s="152"/>
      <c r="F253" s="152"/>
      <c r="G253" s="152"/>
      <c r="H253" s="152"/>
      <c r="I253" s="152"/>
      <c r="J253" s="152"/>
      <c r="K253" s="152"/>
      <c r="L253" s="152"/>
      <c r="M253" s="152"/>
      <c r="N253" s="152"/>
      <c r="O253" s="152"/>
      <c r="P253" s="152"/>
      <c r="Q253" s="152"/>
      <c r="R253" s="152"/>
      <c r="S253" s="152"/>
      <c r="T253" s="152"/>
      <c r="U253" s="152"/>
      <c r="V253" s="152"/>
      <c r="W253" s="152"/>
      <c r="X253" s="152"/>
      <c r="Y253" s="152"/>
      <c r="Z253" s="152"/>
    </row>
    <row r="254" ht="12.8" customHeight="1" spans="1:26">
      <c r="A254" s="176"/>
      <c r="B254" s="176"/>
      <c r="C254" s="176"/>
      <c r="D254" s="152"/>
      <c r="E254" s="152"/>
      <c r="F254" s="152"/>
      <c r="G254" s="152"/>
      <c r="H254" s="152"/>
      <c r="I254" s="152"/>
      <c r="J254" s="152"/>
      <c r="K254" s="152"/>
      <c r="L254" s="152"/>
      <c r="M254" s="152"/>
      <c r="N254" s="152"/>
      <c r="O254" s="152"/>
      <c r="P254" s="152"/>
      <c r="Q254" s="152"/>
      <c r="R254" s="152"/>
      <c r="S254" s="152"/>
      <c r="T254" s="152"/>
      <c r="U254" s="152"/>
      <c r="V254" s="152"/>
      <c r="W254" s="152"/>
      <c r="X254" s="152"/>
      <c r="Y254" s="152"/>
      <c r="Z254" s="152"/>
    </row>
    <row r="255" ht="12.8" customHeight="1" spans="1:26">
      <c r="A255" s="176"/>
      <c r="B255" s="176"/>
      <c r="C255" s="176"/>
      <c r="D255" s="152"/>
      <c r="E255" s="152"/>
      <c r="F255" s="152"/>
      <c r="G255" s="152"/>
      <c r="H255" s="152"/>
      <c r="I255" s="152"/>
      <c r="J255" s="152"/>
      <c r="K255" s="152"/>
      <c r="L255" s="152"/>
      <c r="M255" s="152"/>
      <c r="N255" s="152"/>
      <c r="O255" s="152"/>
      <c r="P255" s="152"/>
      <c r="Q255" s="152"/>
      <c r="R255" s="152"/>
      <c r="S255" s="152"/>
      <c r="T255" s="152"/>
      <c r="U255" s="152"/>
      <c r="V255" s="152"/>
      <c r="W255" s="152"/>
      <c r="X255" s="152"/>
      <c r="Y255" s="152"/>
      <c r="Z255" s="152"/>
    </row>
    <row r="256" ht="12.8" customHeight="1" spans="1:26">
      <c r="A256" s="176"/>
      <c r="B256" s="176"/>
      <c r="C256" s="176"/>
      <c r="D256" s="152"/>
      <c r="E256" s="152"/>
      <c r="F256" s="152"/>
      <c r="G256" s="152"/>
      <c r="H256" s="152"/>
      <c r="I256" s="152"/>
      <c r="J256" s="152"/>
      <c r="K256" s="152"/>
      <c r="L256" s="152"/>
      <c r="M256" s="152"/>
      <c r="N256" s="152"/>
      <c r="O256" s="152"/>
      <c r="P256" s="152"/>
      <c r="Q256" s="152"/>
      <c r="R256" s="152"/>
      <c r="S256" s="152"/>
      <c r="T256" s="152"/>
      <c r="U256" s="152"/>
      <c r="V256" s="152"/>
      <c r="W256" s="152"/>
      <c r="X256" s="152"/>
      <c r="Y256" s="152"/>
      <c r="Z256" s="152"/>
    </row>
    <row r="257" ht="12.8" customHeight="1" spans="1:26">
      <c r="A257" s="176"/>
      <c r="B257" s="176"/>
      <c r="C257" s="176"/>
      <c r="D257" s="152"/>
      <c r="E257" s="152"/>
      <c r="F257" s="152"/>
      <c r="G257" s="152"/>
      <c r="H257" s="152"/>
      <c r="I257" s="152"/>
      <c r="J257" s="152"/>
      <c r="K257" s="152"/>
      <c r="L257" s="152"/>
      <c r="M257" s="152"/>
      <c r="N257" s="152"/>
      <c r="O257" s="152"/>
      <c r="P257" s="152"/>
      <c r="Q257" s="152"/>
      <c r="R257" s="152"/>
      <c r="S257" s="152"/>
      <c r="T257" s="152"/>
      <c r="U257" s="152"/>
      <c r="V257" s="152"/>
      <c r="W257" s="152"/>
      <c r="X257" s="152"/>
      <c r="Y257" s="152"/>
      <c r="Z257" s="152"/>
    </row>
    <row r="258" ht="12.8" customHeight="1" spans="1:26">
      <c r="A258" s="176"/>
      <c r="B258" s="176"/>
      <c r="C258" s="176"/>
      <c r="D258" s="152"/>
      <c r="E258" s="152"/>
      <c r="F258" s="152"/>
      <c r="G258" s="152"/>
      <c r="H258" s="152"/>
      <c r="I258" s="152"/>
      <c r="J258" s="152"/>
      <c r="K258" s="152"/>
      <c r="L258" s="152"/>
      <c r="M258" s="152"/>
      <c r="N258" s="152"/>
      <c r="O258" s="152"/>
      <c r="P258" s="152"/>
      <c r="Q258" s="152"/>
      <c r="R258" s="152"/>
      <c r="S258" s="152"/>
      <c r="T258" s="152"/>
      <c r="U258" s="152"/>
      <c r="V258" s="152"/>
      <c r="W258" s="152"/>
      <c r="X258" s="152"/>
      <c r="Y258" s="152"/>
      <c r="Z258" s="152"/>
    </row>
    <row r="259" ht="12.8" customHeight="1" spans="1:26">
      <c r="A259" s="176"/>
      <c r="B259" s="176"/>
      <c r="C259" s="176"/>
      <c r="D259" s="152"/>
      <c r="E259" s="152"/>
      <c r="F259" s="152"/>
      <c r="G259" s="152"/>
      <c r="H259" s="152"/>
      <c r="I259" s="152"/>
      <c r="J259" s="152"/>
      <c r="K259" s="152"/>
      <c r="L259" s="152"/>
      <c r="M259" s="152"/>
      <c r="N259" s="152"/>
      <c r="O259" s="152"/>
      <c r="P259" s="152"/>
      <c r="Q259" s="152"/>
      <c r="R259" s="152"/>
      <c r="S259" s="152"/>
      <c r="T259" s="152"/>
      <c r="U259" s="152"/>
      <c r="V259" s="152"/>
      <c r="W259" s="152"/>
      <c r="X259" s="152"/>
      <c r="Y259" s="152"/>
      <c r="Z259" s="152"/>
    </row>
    <row r="260" ht="12.8" customHeight="1" spans="1:26">
      <c r="A260" s="176"/>
      <c r="B260" s="176"/>
      <c r="C260" s="176"/>
      <c r="D260" s="152"/>
      <c r="E260" s="152"/>
      <c r="F260" s="152"/>
      <c r="G260" s="152"/>
      <c r="H260" s="152"/>
      <c r="I260" s="152"/>
      <c r="J260" s="152"/>
      <c r="K260" s="152"/>
      <c r="L260" s="152"/>
      <c r="M260" s="152"/>
      <c r="N260" s="152"/>
      <c r="O260" s="152"/>
      <c r="P260" s="152"/>
      <c r="Q260" s="152"/>
      <c r="R260" s="152"/>
      <c r="S260" s="152"/>
      <c r="T260" s="152"/>
      <c r="U260" s="152"/>
      <c r="V260" s="152"/>
      <c r="W260" s="152"/>
      <c r="X260" s="152"/>
      <c r="Y260" s="152"/>
      <c r="Z260" s="152"/>
    </row>
    <row r="261" ht="12.8" customHeight="1" spans="1:26">
      <c r="A261" s="176"/>
      <c r="B261" s="176"/>
      <c r="C261" s="176"/>
      <c r="D261" s="152"/>
      <c r="E261" s="152"/>
      <c r="F261" s="152"/>
      <c r="G261" s="152"/>
      <c r="H261" s="152"/>
      <c r="I261" s="152"/>
      <c r="J261" s="152"/>
      <c r="K261" s="152"/>
      <c r="L261" s="152"/>
      <c r="M261" s="152"/>
      <c r="N261" s="152"/>
      <c r="O261" s="152"/>
      <c r="P261" s="152"/>
      <c r="Q261" s="152"/>
      <c r="R261" s="152"/>
      <c r="S261" s="152"/>
      <c r="T261" s="152"/>
      <c r="U261" s="152"/>
      <c r="V261" s="152"/>
      <c r="W261" s="152"/>
      <c r="X261" s="152"/>
      <c r="Y261" s="152"/>
      <c r="Z261" s="152"/>
    </row>
    <row r="262" ht="12.8" customHeight="1" spans="1:26">
      <c r="A262" s="176"/>
      <c r="B262" s="176"/>
      <c r="C262" s="176"/>
      <c r="D262" s="152"/>
      <c r="E262" s="152"/>
      <c r="F262" s="152"/>
      <c r="G262" s="152"/>
      <c r="H262" s="152"/>
      <c r="I262" s="152"/>
      <c r="J262" s="152"/>
      <c r="K262" s="152"/>
      <c r="L262" s="152"/>
      <c r="M262" s="152"/>
      <c r="N262" s="152"/>
      <c r="O262" s="152"/>
      <c r="P262" s="152"/>
      <c r="Q262" s="152"/>
      <c r="R262" s="152"/>
      <c r="S262" s="152"/>
      <c r="T262" s="152"/>
      <c r="U262" s="152"/>
      <c r="V262" s="152"/>
      <c r="W262" s="152"/>
      <c r="X262" s="152"/>
      <c r="Y262" s="152"/>
      <c r="Z262" s="152"/>
    </row>
    <row r="263" ht="12.8" customHeight="1" spans="1:26">
      <c r="A263" s="176"/>
      <c r="B263" s="176"/>
      <c r="C263" s="176"/>
      <c r="D263" s="152"/>
      <c r="E263" s="152"/>
      <c r="F263" s="152"/>
      <c r="G263" s="152"/>
      <c r="H263" s="152"/>
      <c r="I263" s="152"/>
      <c r="J263" s="152"/>
      <c r="K263" s="152"/>
      <c r="L263" s="152"/>
      <c r="M263" s="152"/>
      <c r="N263" s="152"/>
      <c r="O263" s="152"/>
      <c r="P263" s="152"/>
      <c r="Q263" s="152"/>
      <c r="R263" s="152"/>
      <c r="S263" s="152"/>
      <c r="T263" s="152"/>
      <c r="U263" s="152"/>
      <c r="V263" s="152"/>
      <c r="W263" s="152"/>
      <c r="X263" s="152"/>
      <c r="Y263" s="152"/>
      <c r="Z263" s="152"/>
    </row>
    <row r="264" ht="12.8" customHeight="1" spans="1:26">
      <c r="A264" s="176"/>
      <c r="B264" s="176"/>
      <c r="C264" s="176"/>
      <c r="D264" s="152"/>
      <c r="E264" s="152"/>
      <c r="F264" s="152"/>
      <c r="G264" s="152"/>
      <c r="H264" s="152"/>
      <c r="I264" s="152"/>
      <c r="J264" s="152"/>
      <c r="K264" s="152"/>
      <c r="L264" s="152"/>
      <c r="M264" s="152"/>
      <c r="N264" s="152"/>
      <c r="O264" s="152"/>
      <c r="P264" s="152"/>
      <c r="Q264" s="152"/>
      <c r="R264" s="152"/>
      <c r="S264" s="152"/>
      <c r="T264" s="152"/>
      <c r="U264" s="152"/>
      <c r="V264" s="152"/>
      <c r="W264" s="152"/>
      <c r="X264" s="152"/>
      <c r="Y264" s="152"/>
      <c r="Z264" s="152"/>
    </row>
    <row r="265" ht="12.8" customHeight="1" spans="1:26">
      <c r="A265" s="176"/>
      <c r="B265" s="176"/>
      <c r="C265" s="176"/>
      <c r="D265" s="152"/>
      <c r="E265" s="152"/>
      <c r="F265" s="152"/>
      <c r="G265" s="152"/>
      <c r="H265" s="152"/>
      <c r="I265" s="152"/>
      <c r="J265" s="152"/>
      <c r="K265" s="152"/>
      <c r="L265" s="152"/>
      <c r="M265" s="152"/>
      <c r="N265" s="152"/>
      <c r="O265" s="152"/>
      <c r="P265" s="152"/>
      <c r="Q265" s="152"/>
      <c r="R265" s="152"/>
      <c r="S265" s="152"/>
      <c r="T265" s="152"/>
      <c r="U265" s="152"/>
      <c r="V265" s="152"/>
      <c r="W265" s="152"/>
      <c r="X265" s="152"/>
      <c r="Y265" s="152"/>
      <c r="Z265" s="152"/>
    </row>
    <row r="266" ht="12.8" customHeight="1" spans="1:26">
      <c r="A266" s="176"/>
      <c r="B266" s="176"/>
      <c r="C266" s="176"/>
      <c r="D266" s="152"/>
      <c r="E266" s="152"/>
      <c r="F266" s="152"/>
      <c r="G266" s="152"/>
      <c r="H266" s="152"/>
      <c r="I266" s="152"/>
      <c r="J266" s="152"/>
      <c r="K266" s="152"/>
      <c r="L266" s="152"/>
      <c r="M266" s="152"/>
      <c r="N266" s="152"/>
      <c r="O266" s="152"/>
      <c r="P266" s="152"/>
      <c r="Q266" s="152"/>
      <c r="R266" s="152"/>
      <c r="S266" s="152"/>
      <c r="T266" s="152"/>
      <c r="U266" s="152"/>
      <c r="V266" s="152"/>
      <c r="W266" s="152"/>
      <c r="X266" s="152"/>
      <c r="Y266" s="152"/>
      <c r="Z266" s="152"/>
    </row>
    <row r="267" ht="12.8" customHeight="1" spans="1:26">
      <c r="A267" s="176"/>
      <c r="B267" s="176"/>
      <c r="C267" s="176"/>
      <c r="D267" s="152"/>
      <c r="E267" s="152"/>
      <c r="F267" s="152"/>
      <c r="G267" s="152"/>
      <c r="H267" s="152"/>
      <c r="I267" s="152"/>
      <c r="J267" s="152"/>
      <c r="K267" s="152"/>
      <c r="L267" s="152"/>
      <c r="M267" s="152"/>
      <c r="N267" s="152"/>
      <c r="O267" s="152"/>
      <c r="P267" s="152"/>
      <c r="Q267" s="152"/>
      <c r="R267" s="152"/>
      <c r="S267" s="152"/>
      <c r="T267" s="152"/>
      <c r="U267" s="152"/>
      <c r="V267" s="152"/>
      <c r="W267" s="152"/>
      <c r="X267" s="152"/>
      <c r="Y267" s="152"/>
      <c r="Z267" s="152"/>
    </row>
    <row r="268" ht="12.8" customHeight="1" spans="1:26">
      <c r="A268" s="176"/>
      <c r="B268" s="176"/>
      <c r="C268" s="176"/>
      <c r="D268" s="152"/>
      <c r="E268" s="152"/>
      <c r="F268" s="152"/>
      <c r="G268" s="152"/>
      <c r="H268" s="152"/>
      <c r="I268" s="152"/>
      <c r="J268" s="152"/>
      <c r="K268" s="152"/>
      <c r="L268" s="152"/>
      <c r="M268" s="152"/>
      <c r="N268" s="152"/>
      <c r="O268" s="152"/>
      <c r="P268" s="152"/>
      <c r="Q268" s="152"/>
      <c r="R268" s="152"/>
      <c r="S268" s="152"/>
      <c r="T268" s="152"/>
      <c r="U268" s="152"/>
      <c r="V268" s="152"/>
      <c r="W268" s="152"/>
      <c r="X268" s="152"/>
      <c r="Y268" s="152"/>
      <c r="Z268" s="152"/>
    </row>
    <row r="269" ht="12.8" customHeight="1" spans="1:26">
      <c r="A269" s="176"/>
      <c r="B269" s="176"/>
      <c r="C269" s="176"/>
      <c r="D269" s="152"/>
      <c r="E269" s="152"/>
      <c r="F269" s="152"/>
      <c r="G269" s="152"/>
      <c r="H269" s="152"/>
      <c r="I269" s="152"/>
      <c r="J269" s="152"/>
      <c r="K269" s="152"/>
      <c r="L269" s="152"/>
      <c r="M269" s="152"/>
      <c r="N269" s="152"/>
      <c r="O269" s="152"/>
      <c r="P269" s="152"/>
      <c r="Q269" s="152"/>
      <c r="R269" s="152"/>
      <c r="S269" s="152"/>
      <c r="T269" s="152"/>
      <c r="U269" s="152"/>
      <c r="V269" s="152"/>
      <c r="W269" s="152"/>
      <c r="X269" s="152"/>
      <c r="Y269" s="152"/>
      <c r="Z269" s="152"/>
    </row>
    <row r="270" ht="12.8" customHeight="1" spans="1:26">
      <c r="A270" s="176"/>
      <c r="B270" s="176"/>
      <c r="C270" s="176"/>
      <c r="D270" s="152"/>
      <c r="E270" s="152"/>
      <c r="F270" s="152"/>
      <c r="G270" s="152"/>
      <c r="H270" s="152"/>
      <c r="I270" s="152"/>
      <c r="J270" s="152"/>
      <c r="K270" s="152"/>
      <c r="L270" s="152"/>
      <c r="M270" s="152"/>
      <c r="N270" s="152"/>
      <c r="O270" s="152"/>
      <c r="P270" s="152"/>
      <c r="Q270" s="152"/>
      <c r="R270" s="152"/>
      <c r="S270" s="152"/>
      <c r="T270" s="152"/>
      <c r="U270" s="152"/>
      <c r="V270" s="152"/>
      <c r="W270" s="152"/>
      <c r="X270" s="152"/>
      <c r="Y270" s="152"/>
      <c r="Z270" s="152"/>
    </row>
    <row r="271" ht="12.8" customHeight="1" spans="1:26">
      <c r="A271" s="176"/>
      <c r="B271" s="176"/>
      <c r="C271" s="176"/>
      <c r="D271" s="152"/>
      <c r="E271" s="152"/>
      <c r="F271" s="152"/>
      <c r="G271" s="152"/>
      <c r="H271" s="152"/>
      <c r="I271" s="152"/>
      <c r="J271" s="152"/>
      <c r="K271" s="152"/>
      <c r="L271" s="152"/>
      <c r="M271" s="152"/>
      <c r="N271" s="152"/>
      <c r="O271" s="152"/>
      <c r="P271" s="152"/>
      <c r="Q271" s="152"/>
      <c r="R271" s="152"/>
      <c r="S271" s="152"/>
      <c r="T271" s="152"/>
      <c r="U271" s="152"/>
      <c r="V271" s="152"/>
      <c r="W271" s="152"/>
      <c r="X271" s="152"/>
      <c r="Y271" s="152"/>
      <c r="Z271" s="152"/>
    </row>
    <row r="272" ht="12.8" customHeight="1" spans="1:26">
      <c r="A272" s="176"/>
      <c r="B272" s="176"/>
      <c r="C272" s="176"/>
      <c r="D272" s="152"/>
      <c r="E272" s="152"/>
      <c r="F272" s="152"/>
      <c r="G272" s="152"/>
      <c r="H272" s="152"/>
      <c r="I272" s="152"/>
      <c r="J272" s="152"/>
      <c r="K272" s="152"/>
      <c r="L272" s="152"/>
      <c r="M272" s="152"/>
      <c r="N272" s="152"/>
      <c r="O272" s="152"/>
      <c r="P272" s="152"/>
      <c r="Q272" s="152"/>
      <c r="R272" s="152"/>
      <c r="S272" s="152"/>
      <c r="T272" s="152"/>
      <c r="U272" s="152"/>
      <c r="V272" s="152"/>
      <c r="W272" s="152"/>
      <c r="X272" s="152"/>
      <c r="Y272" s="152"/>
      <c r="Z272" s="152"/>
    </row>
    <row r="273" ht="12.8" customHeight="1" spans="1:26">
      <c r="A273" s="176"/>
      <c r="B273" s="176"/>
      <c r="C273" s="176"/>
      <c r="D273" s="152"/>
      <c r="E273" s="152"/>
      <c r="F273" s="152"/>
      <c r="G273" s="152"/>
      <c r="H273" s="152"/>
      <c r="I273" s="152"/>
      <c r="J273" s="152"/>
      <c r="K273" s="152"/>
      <c r="L273" s="152"/>
      <c r="M273" s="152"/>
      <c r="N273" s="152"/>
      <c r="O273" s="152"/>
      <c r="P273" s="152"/>
      <c r="Q273" s="152"/>
      <c r="R273" s="152"/>
      <c r="S273" s="152"/>
      <c r="T273" s="152"/>
      <c r="U273" s="152"/>
      <c r="V273" s="152"/>
      <c r="W273" s="152"/>
      <c r="X273" s="152"/>
      <c r="Y273" s="152"/>
      <c r="Z273" s="152"/>
    </row>
    <row r="274" ht="12.8" customHeight="1" spans="1:26">
      <c r="A274" s="176"/>
      <c r="B274" s="176"/>
      <c r="C274" s="176"/>
      <c r="D274" s="152"/>
      <c r="E274" s="152"/>
      <c r="F274" s="152"/>
      <c r="G274" s="152"/>
      <c r="H274" s="152"/>
      <c r="I274" s="152"/>
      <c r="J274" s="152"/>
      <c r="K274" s="152"/>
      <c r="L274" s="152"/>
      <c r="M274" s="152"/>
      <c r="N274" s="152"/>
      <c r="O274" s="152"/>
      <c r="P274" s="152"/>
      <c r="Q274" s="152"/>
      <c r="R274" s="152"/>
      <c r="S274" s="152"/>
      <c r="T274" s="152"/>
      <c r="U274" s="152"/>
      <c r="V274" s="152"/>
      <c r="W274" s="152"/>
      <c r="X274" s="152"/>
      <c r="Y274" s="152"/>
      <c r="Z274" s="152"/>
    </row>
    <row r="275" ht="12.8" customHeight="1" spans="1:26">
      <c r="A275" s="176"/>
      <c r="B275" s="176"/>
      <c r="C275" s="176"/>
      <c r="D275" s="152"/>
      <c r="E275" s="152"/>
      <c r="F275" s="152"/>
      <c r="G275" s="152"/>
      <c r="H275" s="152"/>
      <c r="I275" s="152"/>
      <c r="J275" s="152"/>
      <c r="K275" s="152"/>
      <c r="L275" s="152"/>
      <c r="M275" s="152"/>
      <c r="N275" s="152"/>
      <c r="O275" s="152"/>
      <c r="P275" s="152"/>
      <c r="Q275" s="152"/>
      <c r="R275" s="152"/>
      <c r="S275" s="152"/>
      <c r="T275" s="152"/>
      <c r="U275" s="152"/>
      <c r="V275" s="152"/>
      <c r="W275" s="152"/>
      <c r="X275" s="152"/>
      <c r="Y275" s="152"/>
      <c r="Z275" s="152"/>
    </row>
    <row r="276" ht="12.8" customHeight="1" spans="1:26">
      <c r="A276" s="176"/>
      <c r="B276" s="176"/>
      <c r="C276" s="176"/>
      <c r="D276" s="152"/>
      <c r="E276" s="152"/>
      <c r="F276" s="152"/>
      <c r="G276" s="152"/>
      <c r="H276" s="152"/>
      <c r="I276" s="152"/>
      <c r="J276" s="152"/>
      <c r="K276" s="152"/>
      <c r="L276" s="152"/>
      <c r="M276" s="152"/>
      <c r="N276" s="152"/>
      <c r="O276" s="152"/>
      <c r="P276" s="152"/>
      <c r="Q276" s="152"/>
      <c r="R276" s="152"/>
      <c r="S276" s="152"/>
      <c r="T276" s="152"/>
      <c r="U276" s="152"/>
      <c r="V276" s="152"/>
      <c r="W276" s="152"/>
      <c r="X276" s="152"/>
      <c r="Y276" s="152"/>
      <c r="Z276" s="152"/>
    </row>
    <row r="277" ht="12.8" customHeight="1" spans="1:26">
      <c r="A277" s="176"/>
      <c r="B277" s="176"/>
      <c r="C277" s="176"/>
      <c r="D277" s="152"/>
      <c r="E277" s="152"/>
      <c r="F277" s="152"/>
      <c r="G277" s="152"/>
      <c r="H277" s="152"/>
      <c r="I277" s="152"/>
      <c r="J277" s="152"/>
      <c r="K277" s="152"/>
      <c r="L277" s="152"/>
      <c r="M277" s="152"/>
      <c r="N277" s="152"/>
      <c r="O277" s="152"/>
      <c r="P277" s="152"/>
      <c r="Q277" s="152"/>
      <c r="R277" s="152"/>
      <c r="S277" s="152"/>
      <c r="T277" s="152"/>
      <c r="U277" s="152"/>
      <c r="V277" s="152"/>
      <c r="W277" s="152"/>
      <c r="X277" s="152"/>
      <c r="Y277" s="152"/>
      <c r="Z277" s="152"/>
    </row>
    <row r="278" ht="12.8" customHeight="1" spans="1:26">
      <c r="A278" s="176"/>
      <c r="B278" s="176"/>
      <c r="C278" s="176"/>
      <c r="D278" s="152"/>
      <c r="E278" s="152"/>
      <c r="F278" s="152"/>
      <c r="G278" s="152"/>
      <c r="H278" s="152"/>
      <c r="I278" s="152"/>
      <c r="J278" s="152"/>
      <c r="K278" s="152"/>
      <c r="L278" s="152"/>
      <c r="M278" s="152"/>
      <c r="N278" s="152"/>
      <c r="O278" s="152"/>
      <c r="P278" s="152"/>
      <c r="Q278" s="152"/>
      <c r="R278" s="152"/>
      <c r="S278" s="152"/>
      <c r="T278" s="152"/>
      <c r="U278" s="152"/>
      <c r="V278" s="152"/>
      <c r="W278" s="152"/>
      <c r="X278" s="152"/>
      <c r="Y278" s="152"/>
      <c r="Z278" s="152"/>
    </row>
    <row r="279" ht="12.8" customHeight="1" spans="1:26">
      <c r="A279" s="176"/>
      <c r="B279" s="176"/>
      <c r="C279" s="176"/>
      <c r="D279" s="152"/>
      <c r="E279" s="152"/>
      <c r="F279" s="152"/>
      <c r="G279" s="152"/>
      <c r="H279" s="152"/>
      <c r="I279" s="152"/>
      <c r="J279" s="152"/>
      <c r="K279" s="152"/>
      <c r="L279" s="152"/>
      <c r="M279" s="152"/>
      <c r="N279" s="152"/>
      <c r="O279" s="152"/>
      <c r="P279" s="152"/>
      <c r="Q279" s="152"/>
      <c r="R279" s="152"/>
      <c r="S279" s="152"/>
      <c r="T279" s="152"/>
      <c r="U279" s="152"/>
      <c r="V279" s="152"/>
      <c r="W279" s="152"/>
      <c r="X279" s="152"/>
      <c r="Y279" s="152"/>
      <c r="Z279" s="152"/>
    </row>
    <row r="280" ht="12.8" customHeight="1" spans="1:26">
      <c r="A280" s="176"/>
      <c r="B280" s="176"/>
      <c r="C280" s="176"/>
      <c r="D280" s="152"/>
      <c r="E280" s="152"/>
      <c r="F280" s="152"/>
      <c r="G280" s="152"/>
      <c r="H280" s="152"/>
      <c r="I280" s="152"/>
      <c r="J280" s="152"/>
      <c r="K280" s="152"/>
      <c r="L280" s="152"/>
      <c r="M280" s="152"/>
      <c r="N280" s="152"/>
      <c r="O280" s="152"/>
      <c r="P280" s="152"/>
      <c r="Q280" s="152"/>
      <c r="R280" s="152"/>
      <c r="S280" s="152"/>
      <c r="T280" s="152"/>
      <c r="U280" s="152"/>
      <c r="V280" s="152"/>
      <c r="W280" s="152"/>
      <c r="X280" s="152"/>
      <c r="Y280" s="152"/>
      <c r="Z280" s="152"/>
    </row>
    <row r="281" ht="12.8" customHeight="1" spans="1:26">
      <c r="A281" s="176"/>
      <c r="B281" s="176"/>
      <c r="C281" s="176"/>
      <c r="D281" s="152"/>
      <c r="E281" s="152"/>
      <c r="F281" s="152"/>
      <c r="G281" s="152"/>
      <c r="H281" s="152"/>
      <c r="I281" s="152"/>
      <c r="J281" s="152"/>
      <c r="K281" s="152"/>
      <c r="L281" s="152"/>
      <c r="M281" s="152"/>
      <c r="N281" s="152"/>
      <c r="O281" s="152"/>
      <c r="P281" s="152"/>
      <c r="Q281" s="152"/>
      <c r="R281" s="152"/>
      <c r="S281" s="152"/>
      <c r="T281" s="152"/>
      <c r="U281" s="152"/>
      <c r="V281" s="152"/>
      <c r="W281" s="152"/>
      <c r="X281" s="152"/>
      <c r="Y281" s="152"/>
      <c r="Z281" s="152"/>
    </row>
    <row r="282" ht="12.8" customHeight="1" spans="1:26">
      <c r="A282" s="176"/>
      <c r="B282" s="176"/>
      <c r="C282" s="176"/>
      <c r="D282" s="152"/>
      <c r="E282" s="152"/>
      <c r="F282" s="152"/>
      <c r="G282" s="152"/>
      <c r="H282" s="152"/>
      <c r="I282" s="152"/>
      <c r="J282" s="152"/>
      <c r="K282" s="152"/>
      <c r="L282" s="152"/>
      <c r="M282" s="152"/>
      <c r="N282" s="152"/>
      <c r="O282" s="152"/>
      <c r="P282" s="152"/>
      <c r="Q282" s="152"/>
      <c r="R282" s="152"/>
      <c r="S282" s="152"/>
      <c r="T282" s="152"/>
      <c r="U282" s="152"/>
      <c r="V282" s="152"/>
      <c r="W282" s="152"/>
      <c r="X282" s="152"/>
      <c r="Y282" s="152"/>
      <c r="Z282" s="152"/>
    </row>
    <row r="283" ht="12.8" customHeight="1" spans="1:26">
      <c r="A283" s="176"/>
      <c r="B283" s="176"/>
      <c r="C283" s="176"/>
      <c r="D283" s="152"/>
      <c r="E283" s="152"/>
      <c r="F283" s="152"/>
      <c r="G283" s="152"/>
      <c r="H283" s="152"/>
      <c r="I283" s="152"/>
      <c r="J283" s="152"/>
      <c r="K283" s="152"/>
      <c r="L283" s="152"/>
      <c r="M283" s="152"/>
      <c r="N283" s="152"/>
      <c r="O283" s="152"/>
      <c r="P283" s="152"/>
      <c r="Q283" s="152"/>
      <c r="R283" s="152"/>
      <c r="S283" s="152"/>
      <c r="T283" s="152"/>
      <c r="U283" s="152"/>
      <c r="V283" s="152"/>
      <c r="W283" s="152"/>
      <c r="X283" s="152"/>
      <c r="Y283" s="152"/>
      <c r="Z283" s="152"/>
    </row>
    <row r="284" ht="12.8" customHeight="1" spans="1:26">
      <c r="A284" s="176"/>
      <c r="B284" s="176"/>
      <c r="C284" s="176"/>
      <c r="D284" s="152"/>
      <c r="E284" s="152"/>
      <c r="F284" s="152"/>
      <c r="G284" s="152"/>
      <c r="H284" s="152"/>
      <c r="I284" s="152"/>
      <c r="J284" s="152"/>
      <c r="K284" s="152"/>
      <c r="L284" s="152"/>
      <c r="M284" s="152"/>
      <c r="N284" s="152"/>
      <c r="O284" s="152"/>
      <c r="P284" s="152"/>
      <c r="Q284" s="152"/>
      <c r="R284" s="152"/>
      <c r="S284" s="152"/>
      <c r="T284" s="152"/>
      <c r="U284" s="152"/>
      <c r="V284" s="152"/>
      <c r="W284" s="152"/>
      <c r="X284" s="152"/>
      <c r="Y284" s="152"/>
      <c r="Z284" s="152"/>
    </row>
    <row r="285" ht="12.8" customHeight="1" spans="1:26">
      <c r="A285" s="176"/>
      <c r="B285" s="176"/>
      <c r="C285" s="176"/>
      <c r="D285" s="152"/>
      <c r="E285" s="152"/>
      <c r="F285" s="152"/>
      <c r="G285" s="152"/>
      <c r="H285" s="152"/>
      <c r="I285" s="152"/>
      <c r="J285" s="152"/>
      <c r="K285" s="152"/>
      <c r="L285" s="152"/>
      <c r="M285" s="152"/>
      <c r="N285" s="152"/>
      <c r="O285" s="152"/>
      <c r="P285" s="152"/>
      <c r="Q285" s="152"/>
      <c r="R285" s="152"/>
      <c r="S285" s="152"/>
      <c r="T285" s="152"/>
      <c r="U285" s="152"/>
      <c r="V285" s="152"/>
      <c r="W285" s="152"/>
      <c r="X285" s="152"/>
      <c r="Y285" s="152"/>
      <c r="Z285" s="152"/>
    </row>
    <row r="286" ht="12.8" customHeight="1" spans="1:26">
      <c r="A286" s="176"/>
      <c r="B286" s="176"/>
      <c r="C286" s="176"/>
      <c r="D286" s="152"/>
      <c r="E286" s="152"/>
      <c r="F286" s="152"/>
      <c r="G286" s="152"/>
      <c r="H286" s="152"/>
      <c r="I286" s="152"/>
      <c r="J286" s="152"/>
      <c r="K286" s="152"/>
      <c r="L286" s="152"/>
      <c r="M286" s="152"/>
      <c r="N286" s="152"/>
      <c r="O286" s="152"/>
      <c r="P286" s="152"/>
      <c r="Q286" s="152"/>
      <c r="R286" s="152"/>
      <c r="S286" s="152"/>
      <c r="T286" s="152"/>
      <c r="U286" s="152"/>
      <c r="V286" s="152"/>
      <c r="W286" s="152"/>
      <c r="X286" s="152"/>
      <c r="Y286" s="152"/>
      <c r="Z286" s="152"/>
    </row>
    <row r="287" ht="12.8" customHeight="1" spans="1:26">
      <c r="A287" s="176"/>
      <c r="B287" s="176"/>
      <c r="C287" s="176"/>
      <c r="D287" s="152"/>
      <c r="E287" s="152"/>
      <c r="F287" s="152"/>
      <c r="G287" s="152"/>
      <c r="H287" s="152"/>
      <c r="I287" s="152"/>
      <c r="J287" s="152"/>
      <c r="K287" s="152"/>
      <c r="L287" s="152"/>
      <c r="M287" s="152"/>
      <c r="N287" s="152"/>
      <c r="O287" s="152"/>
      <c r="P287" s="152"/>
      <c r="Q287" s="152"/>
      <c r="R287" s="152"/>
      <c r="S287" s="152"/>
      <c r="T287" s="152"/>
      <c r="U287" s="152"/>
      <c r="V287" s="152"/>
      <c r="W287" s="152"/>
      <c r="X287" s="152"/>
      <c r="Y287" s="152"/>
      <c r="Z287" s="152"/>
    </row>
    <row r="288" ht="12.8" customHeight="1" spans="1:26">
      <c r="A288" s="176"/>
      <c r="B288" s="176"/>
      <c r="C288" s="176"/>
      <c r="D288" s="152"/>
      <c r="E288" s="152"/>
      <c r="F288" s="152"/>
      <c r="G288" s="152"/>
      <c r="H288" s="152"/>
      <c r="I288" s="152"/>
      <c r="J288" s="152"/>
      <c r="K288" s="152"/>
      <c r="L288" s="152"/>
      <c r="M288" s="152"/>
      <c r="N288" s="152"/>
      <c r="O288" s="152"/>
      <c r="P288" s="152"/>
      <c r="Q288" s="152"/>
      <c r="R288" s="152"/>
      <c r="S288" s="152"/>
      <c r="T288" s="152"/>
      <c r="U288" s="152"/>
      <c r="V288" s="152"/>
      <c r="W288" s="152"/>
      <c r="X288" s="152"/>
      <c r="Y288" s="152"/>
      <c r="Z288" s="152"/>
    </row>
    <row r="289" ht="12.8" customHeight="1" spans="1:26">
      <c r="A289" s="176"/>
      <c r="B289" s="176"/>
      <c r="C289" s="176"/>
      <c r="D289" s="152"/>
      <c r="E289" s="152"/>
      <c r="F289" s="152"/>
      <c r="G289" s="152"/>
      <c r="H289" s="152"/>
      <c r="I289" s="152"/>
      <c r="J289" s="152"/>
      <c r="K289" s="152"/>
      <c r="L289" s="152"/>
      <c r="M289" s="152"/>
      <c r="N289" s="152"/>
      <c r="O289" s="152"/>
      <c r="P289" s="152"/>
      <c r="Q289" s="152"/>
      <c r="R289" s="152"/>
      <c r="S289" s="152"/>
      <c r="T289" s="152"/>
      <c r="U289" s="152"/>
      <c r="V289" s="152"/>
      <c r="W289" s="152"/>
      <c r="X289" s="152"/>
      <c r="Y289" s="152"/>
      <c r="Z289" s="152"/>
    </row>
    <row r="290" ht="12.8" customHeight="1" spans="1:26">
      <c r="A290" s="176"/>
      <c r="B290" s="176"/>
      <c r="C290" s="176"/>
      <c r="D290" s="152"/>
      <c r="E290" s="152"/>
      <c r="F290" s="152"/>
      <c r="G290" s="152"/>
      <c r="H290" s="152"/>
      <c r="I290" s="152"/>
      <c r="J290" s="152"/>
      <c r="K290" s="152"/>
      <c r="L290" s="152"/>
      <c r="M290" s="152"/>
      <c r="N290" s="152"/>
      <c r="O290" s="152"/>
      <c r="P290" s="152"/>
      <c r="Q290" s="152"/>
      <c r="R290" s="152"/>
      <c r="S290" s="152"/>
      <c r="T290" s="152"/>
      <c r="U290" s="152"/>
      <c r="V290" s="152"/>
      <c r="W290" s="152"/>
      <c r="X290" s="152"/>
      <c r="Y290" s="152"/>
      <c r="Z290" s="152"/>
    </row>
    <row r="291" ht="12.8" customHeight="1" spans="1:26">
      <c r="A291" s="176"/>
      <c r="B291" s="176"/>
      <c r="C291" s="176"/>
      <c r="D291" s="152"/>
      <c r="E291" s="152"/>
      <c r="F291" s="152"/>
      <c r="G291" s="152"/>
      <c r="H291" s="152"/>
      <c r="I291" s="152"/>
      <c r="J291" s="152"/>
      <c r="K291" s="152"/>
      <c r="L291" s="152"/>
      <c r="M291" s="152"/>
      <c r="N291" s="152"/>
      <c r="O291" s="152"/>
      <c r="P291" s="152"/>
      <c r="Q291" s="152"/>
      <c r="R291" s="152"/>
      <c r="S291" s="152"/>
      <c r="T291" s="152"/>
      <c r="U291" s="152"/>
      <c r="V291" s="152"/>
      <c r="W291" s="152"/>
      <c r="X291" s="152"/>
      <c r="Y291" s="152"/>
      <c r="Z291" s="152"/>
    </row>
    <row r="292" ht="12.8" customHeight="1" spans="1:26">
      <c r="A292" s="176"/>
      <c r="B292" s="176"/>
      <c r="C292" s="176"/>
      <c r="D292" s="152"/>
      <c r="E292" s="152"/>
      <c r="F292" s="152"/>
      <c r="G292" s="152"/>
      <c r="H292" s="152"/>
      <c r="I292" s="152"/>
      <c r="J292" s="152"/>
      <c r="K292" s="152"/>
      <c r="L292" s="152"/>
      <c r="M292" s="152"/>
      <c r="N292" s="152"/>
      <c r="O292" s="152"/>
      <c r="P292" s="152"/>
      <c r="Q292" s="152"/>
      <c r="R292" s="152"/>
      <c r="S292" s="152"/>
      <c r="T292" s="152"/>
      <c r="U292" s="152"/>
      <c r="V292" s="152"/>
      <c r="W292" s="152"/>
      <c r="X292" s="152"/>
      <c r="Y292" s="152"/>
      <c r="Z292" s="152"/>
    </row>
    <row r="293" ht="12.8" customHeight="1" spans="1:26">
      <c r="A293" s="176"/>
      <c r="B293" s="176"/>
      <c r="C293" s="176"/>
      <c r="D293" s="152"/>
      <c r="E293" s="152"/>
      <c r="F293" s="152"/>
      <c r="G293" s="152"/>
      <c r="H293" s="152"/>
      <c r="I293" s="152"/>
      <c r="J293" s="152"/>
      <c r="K293" s="152"/>
      <c r="L293" s="152"/>
      <c r="M293" s="152"/>
      <c r="N293" s="152"/>
      <c r="O293" s="152"/>
      <c r="P293" s="152"/>
      <c r="Q293" s="152"/>
      <c r="R293" s="152"/>
      <c r="S293" s="152"/>
      <c r="T293" s="152"/>
      <c r="U293" s="152"/>
      <c r="V293" s="152"/>
      <c r="W293" s="152"/>
      <c r="X293" s="152"/>
      <c r="Y293" s="152"/>
      <c r="Z293" s="152"/>
    </row>
    <row r="294" ht="12.8" customHeight="1" spans="1:26">
      <c r="A294" s="176"/>
      <c r="B294" s="176"/>
      <c r="C294" s="176"/>
      <c r="D294" s="152"/>
      <c r="E294" s="152"/>
      <c r="F294" s="152"/>
      <c r="G294" s="152"/>
      <c r="H294" s="152"/>
      <c r="I294" s="152"/>
      <c r="J294" s="152"/>
      <c r="K294" s="152"/>
      <c r="L294" s="152"/>
      <c r="M294" s="152"/>
      <c r="N294" s="152"/>
      <c r="O294" s="152"/>
      <c r="P294" s="152"/>
      <c r="Q294" s="152"/>
      <c r="R294" s="152"/>
      <c r="S294" s="152"/>
      <c r="T294" s="152"/>
      <c r="U294" s="152"/>
      <c r="V294" s="152"/>
      <c r="W294" s="152"/>
      <c r="X294" s="152"/>
      <c r="Y294" s="152"/>
      <c r="Z294" s="152"/>
    </row>
    <row r="295" ht="12.8" customHeight="1" spans="1:26">
      <c r="A295" s="176"/>
      <c r="B295" s="176"/>
      <c r="C295" s="176"/>
      <c r="D295" s="152"/>
      <c r="E295" s="152"/>
      <c r="F295" s="152"/>
      <c r="G295" s="152"/>
      <c r="H295" s="152"/>
      <c r="I295" s="152"/>
      <c r="J295" s="152"/>
      <c r="K295" s="152"/>
      <c r="L295" s="152"/>
      <c r="M295" s="152"/>
      <c r="N295" s="152"/>
      <c r="O295" s="152"/>
      <c r="P295" s="152"/>
      <c r="Q295" s="152"/>
      <c r="R295" s="152"/>
      <c r="S295" s="152"/>
      <c r="T295" s="152"/>
      <c r="U295" s="152"/>
      <c r="V295" s="152"/>
      <c r="W295" s="152"/>
      <c r="X295" s="152"/>
      <c r="Y295" s="152"/>
      <c r="Z295" s="152"/>
    </row>
    <row r="296" ht="12.8" customHeight="1" spans="1:26">
      <c r="A296" s="176"/>
      <c r="B296" s="176"/>
      <c r="C296" s="176"/>
      <c r="D296" s="152"/>
      <c r="E296" s="152"/>
      <c r="F296" s="152"/>
      <c r="G296" s="152"/>
      <c r="H296" s="152"/>
      <c r="I296" s="152"/>
      <c r="J296" s="152"/>
      <c r="K296" s="152"/>
      <c r="L296" s="152"/>
      <c r="M296" s="152"/>
      <c r="N296" s="152"/>
      <c r="O296" s="152"/>
      <c r="P296" s="152"/>
      <c r="Q296" s="152"/>
      <c r="R296" s="152"/>
      <c r="S296" s="152"/>
      <c r="T296" s="152"/>
      <c r="U296" s="152"/>
      <c r="V296" s="152"/>
      <c r="W296" s="152"/>
      <c r="X296" s="152"/>
      <c r="Y296" s="152"/>
      <c r="Z296" s="152"/>
    </row>
    <row r="297" ht="12.8" customHeight="1" spans="1:26">
      <c r="A297" s="176"/>
      <c r="B297" s="176"/>
      <c r="C297" s="176"/>
      <c r="D297" s="152"/>
      <c r="E297" s="152"/>
      <c r="F297" s="152"/>
      <c r="G297" s="152"/>
      <c r="H297" s="152"/>
      <c r="I297" s="152"/>
      <c r="J297" s="152"/>
      <c r="K297" s="152"/>
      <c r="L297" s="152"/>
      <c r="M297" s="152"/>
      <c r="N297" s="152"/>
      <c r="O297" s="152"/>
      <c r="P297" s="152"/>
      <c r="Q297" s="152"/>
      <c r="R297" s="152"/>
      <c r="S297" s="152"/>
      <c r="T297" s="152"/>
      <c r="U297" s="152"/>
      <c r="V297" s="152"/>
      <c r="W297" s="152"/>
      <c r="X297" s="152"/>
      <c r="Y297" s="152"/>
      <c r="Z297" s="152"/>
    </row>
    <row r="298" ht="12.8" customHeight="1" spans="1:26">
      <c r="A298" s="176"/>
      <c r="B298" s="176"/>
      <c r="C298" s="176"/>
      <c r="D298" s="152"/>
      <c r="E298" s="152"/>
      <c r="F298" s="152"/>
      <c r="G298" s="152"/>
      <c r="H298" s="152"/>
      <c r="I298" s="152"/>
      <c r="J298" s="152"/>
      <c r="K298" s="152"/>
      <c r="L298" s="152"/>
      <c r="M298" s="152"/>
      <c r="N298" s="152"/>
      <c r="O298" s="152"/>
      <c r="P298" s="152"/>
      <c r="Q298" s="152"/>
      <c r="R298" s="152"/>
      <c r="S298" s="152"/>
      <c r="T298" s="152"/>
      <c r="U298" s="152"/>
      <c r="V298" s="152"/>
      <c r="W298" s="152"/>
      <c r="X298" s="152"/>
      <c r="Y298" s="152"/>
      <c r="Z298" s="152"/>
    </row>
    <row r="299" ht="12.8" customHeight="1" spans="1:26">
      <c r="A299" s="176"/>
      <c r="B299" s="176"/>
      <c r="C299" s="176"/>
      <c r="D299" s="152"/>
      <c r="E299" s="152"/>
      <c r="F299" s="152"/>
      <c r="G299" s="152"/>
      <c r="H299" s="152"/>
      <c r="I299" s="152"/>
      <c r="J299" s="152"/>
      <c r="K299" s="152"/>
      <c r="L299" s="152"/>
      <c r="M299" s="152"/>
      <c r="N299" s="152"/>
      <c r="O299" s="152"/>
      <c r="P299" s="152"/>
      <c r="Q299" s="152"/>
      <c r="R299" s="152"/>
      <c r="S299" s="152"/>
      <c r="T299" s="152"/>
      <c r="U299" s="152"/>
      <c r="V299" s="152"/>
      <c r="W299" s="152"/>
      <c r="X299" s="152"/>
      <c r="Y299" s="152"/>
      <c r="Z299" s="152"/>
    </row>
    <row r="300" ht="12.8" customHeight="1" spans="1:26">
      <c r="A300" s="176"/>
      <c r="B300" s="176"/>
      <c r="C300" s="176"/>
      <c r="D300" s="152"/>
      <c r="E300" s="152"/>
      <c r="F300" s="152"/>
      <c r="G300" s="152"/>
      <c r="H300" s="152"/>
      <c r="I300" s="152"/>
      <c r="J300" s="152"/>
      <c r="K300" s="152"/>
      <c r="L300" s="152"/>
      <c r="M300" s="152"/>
      <c r="N300" s="152"/>
      <c r="O300" s="152"/>
      <c r="P300" s="152"/>
      <c r="Q300" s="152"/>
      <c r="R300" s="152"/>
      <c r="S300" s="152"/>
      <c r="T300" s="152"/>
      <c r="U300" s="152"/>
      <c r="V300" s="152"/>
      <c r="W300" s="152"/>
      <c r="X300" s="152"/>
      <c r="Y300" s="152"/>
      <c r="Z300" s="152"/>
    </row>
    <row r="301" ht="12.8" customHeight="1" spans="1:26">
      <c r="A301" s="176"/>
      <c r="B301" s="176"/>
      <c r="C301" s="176"/>
      <c r="D301" s="152"/>
      <c r="E301" s="152"/>
      <c r="F301" s="152"/>
      <c r="G301" s="152"/>
      <c r="H301" s="152"/>
      <c r="I301" s="152"/>
      <c r="J301" s="152"/>
      <c r="K301" s="152"/>
      <c r="L301" s="152"/>
      <c r="M301" s="152"/>
      <c r="N301" s="152"/>
      <c r="O301" s="152"/>
      <c r="P301" s="152"/>
      <c r="Q301" s="152"/>
      <c r="R301" s="152"/>
      <c r="S301" s="152"/>
      <c r="T301" s="152"/>
      <c r="U301" s="152"/>
      <c r="V301" s="152"/>
      <c r="W301" s="152"/>
      <c r="X301" s="152"/>
      <c r="Y301" s="152"/>
      <c r="Z301" s="152"/>
    </row>
    <row r="302" ht="12.8" customHeight="1" spans="1:26">
      <c r="A302" s="176"/>
      <c r="B302" s="176"/>
      <c r="C302" s="176"/>
      <c r="D302" s="152"/>
      <c r="E302" s="152"/>
      <c r="F302" s="152"/>
      <c r="G302" s="152"/>
      <c r="H302" s="152"/>
      <c r="I302" s="152"/>
      <c r="J302" s="152"/>
      <c r="K302" s="152"/>
      <c r="L302" s="152"/>
      <c r="M302" s="152"/>
      <c r="N302" s="152"/>
      <c r="O302" s="152"/>
      <c r="P302" s="152"/>
      <c r="Q302" s="152"/>
      <c r="R302" s="152"/>
      <c r="S302" s="152"/>
      <c r="T302" s="152"/>
      <c r="U302" s="152"/>
      <c r="V302" s="152"/>
      <c r="W302" s="152"/>
      <c r="X302" s="152"/>
      <c r="Y302" s="152"/>
      <c r="Z302" s="152"/>
    </row>
    <row r="303" ht="12.8" customHeight="1" spans="1:26">
      <c r="A303" s="176"/>
      <c r="B303" s="176"/>
      <c r="C303" s="176"/>
      <c r="D303" s="152"/>
      <c r="E303" s="152"/>
      <c r="F303" s="152"/>
      <c r="G303" s="152"/>
      <c r="H303" s="152"/>
      <c r="I303" s="152"/>
      <c r="J303" s="152"/>
      <c r="K303" s="152"/>
      <c r="L303" s="152"/>
      <c r="M303" s="152"/>
      <c r="N303" s="152"/>
      <c r="O303" s="152"/>
      <c r="P303" s="152"/>
      <c r="Q303" s="152"/>
      <c r="R303" s="152"/>
      <c r="S303" s="152"/>
      <c r="T303" s="152"/>
      <c r="U303" s="152"/>
      <c r="V303" s="152"/>
      <c r="W303" s="152"/>
      <c r="X303" s="152"/>
      <c r="Y303" s="152"/>
      <c r="Z303" s="152"/>
    </row>
    <row r="304" ht="12.8" customHeight="1" spans="1:26">
      <c r="A304" s="176"/>
      <c r="B304" s="176"/>
      <c r="C304" s="176"/>
      <c r="D304" s="152"/>
      <c r="E304" s="152"/>
      <c r="F304" s="152"/>
      <c r="G304" s="152"/>
      <c r="H304" s="152"/>
      <c r="I304" s="152"/>
      <c r="J304" s="152"/>
      <c r="K304" s="152"/>
      <c r="L304" s="152"/>
      <c r="M304" s="152"/>
      <c r="N304" s="152"/>
      <c r="O304" s="152"/>
      <c r="P304" s="152"/>
      <c r="Q304" s="152"/>
      <c r="R304" s="152"/>
      <c r="S304" s="152"/>
      <c r="T304" s="152"/>
      <c r="U304" s="152"/>
      <c r="V304" s="152"/>
      <c r="W304" s="152"/>
      <c r="X304" s="152"/>
      <c r="Y304" s="152"/>
      <c r="Z304" s="152"/>
    </row>
    <row r="305" ht="12.8" customHeight="1" spans="1:26">
      <c r="A305" s="176"/>
      <c r="B305" s="176"/>
      <c r="C305" s="176"/>
      <c r="D305" s="152"/>
      <c r="E305" s="152"/>
      <c r="F305" s="152"/>
      <c r="G305" s="152"/>
      <c r="H305" s="152"/>
      <c r="I305" s="152"/>
      <c r="J305" s="152"/>
      <c r="K305" s="152"/>
      <c r="L305" s="152"/>
      <c r="M305" s="152"/>
      <c r="N305" s="152"/>
      <c r="O305" s="152"/>
      <c r="P305" s="152"/>
      <c r="Q305" s="152"/>
      <c r="R305" s="152"/>
      <c r="S305" s="152"/>
      <c r="T305" s="152"/>
      <c r="U305" s="152"/>
      <c r="V305" s="152"/>
      <c r="W305" s="152"/>
      <c r="X305" s="152"/>
      <c r="Y305" s="152"/>
      <c r="Z305" s="152"/>
    </row>
    <row r="306" ht="12.8" customHeight="1" spans="1:26">
      <c r="A306" s="176"/>
      <c r="B306" s="176"/>
      <c r="C306" s="176"/>
      <c r="D306" s="152"/>
      <c r="E306" s="152"/>
      <c r="F306" s="152"/>
      <c r="G306" s="152"/>
      <c r="H306" s="152"/>
      <c r="I306" s="152"/>
      <c r="J306" s="152"/>
      <c r="K306" s="152"/>
      <c r="L306" s="152"/>
      <c r="M306" s="152"/>
      <c r="N306" s="152"/>
      <c r="O306" s="152"/>
      <c r="P306" s="152"/>
      <c r="Q306" s="152"/>
      <c r="R306" s="152"/>
      <c r="S306" s="152"/>
      <c r="T306" s="152"/>
      <c r="U306" s="152"/>
      <c r="V306" s="152"/>
      <c r="W306" s="152"/>
      <c r="X306" s="152"/>
      <c r="Y306" s="152"/>
      <c r="Z306" s="152"/>
    </row>
    <row r="307" ht="12.8" customHeight="1" spans="1:26">
      <c r="A307" s="176"/>
      <c r="B307" s="176"/>
      <c r="C307" s="176"/>
      <c r="D307" s="152"/>
      <c r="E307" s="152"/>
      <c r="F307" s="152"/>
      <c r="G307" s="152"/>
      <c r="H307" s="152"/>
      <c r="I307" s="152"/>
      <c r="J307" s="152"/>
      <c r="K307" s="152"/>
      <c r="L307" s="152"/>
      <c r="M307" s="152"/>
      <c r="N307" s="152"/>
      <c r="O307" s="152"/>
      <c r="P307" s="152"/>
      <c r="Q307" s="152"/>
      <c r="R307" s="152"/>
      <c r="S307" s="152"/>
      <c r="T307" s="152"/>
      <c r="U307" s="152"/>
      <c r="V307" s="152"/>
      <c r="W307" s="152"/>
      <c r="X307" s="152"/>
      <c r="Y307" s="152"/>
      <c r="Z307" s="152"/>
    </row>
    <row r="308" ht="12.8" customHeight="1" spans="1:26">
      <c r="A308" s="176"/>
      <c r="B308" s="176"/>
      <c r="C308" s="176"/>
      <c r="D308" s="152"/>
      <c r="E308" s="152"/>
      <c r="F308" s="152"/>
      <c r="G308" s="152"/>
      <c r="H308" s="152"/>
      <c r="I308" s="152"/>
      <c r="J308" s="152"/>
      <c r="K308" s="152"/>
      <c r="L308" s="152"/>
      <c r="M308" s="152"/>
      <c r="N308" s="152"/>
      <c r="O308" s="152"/>
      <c r="P308" s="152"/>
      <c r="Q308" s="152"/>
      <c r="R308" s="152"/>
      <c r="S308" s="152"/>
      <c r="T308" s="152"/>
      <c r="U308" s="152"/>
      <c r="V308" s="152"/>
      <c r="W308" s="152"/>
      <c r="X308" s="152"/>
      <c r="Y308" s="152"/>
      <c r="Z308" s="152"/>
    </row>
    <row r="309" ht="12.8" customHeight="1" spans="1:26">
      <c r="A309" s="176"/>
      <c r="B309" s="176"/>
      <c r="C309" s="176"/>
      <c r="D309" s="152"/>
      <c r="E309" s="152"/>
      <c r="F309" s="152"/>
      <c r="G309" s="152"/>
      <c r="H309" s="152"/>
      <c r="I309" s="152"/>
      <c r="J309" s="152"/>
      <c r="K309" s="152"/>
      <c r="L309" s="152"/>
      <c r="M309" s="152"/>
      <c r="N309" s="152"/>
      <c r="O309" s="152"/>
      <c r="P309" s="152"/>
      <c r="Q309" s="152"/>
      <c r="R309" s="152"/>
      <c r="S309" s="152"/>
      <c r="T309" s="152"/>
      <c r="U309" s="152"/>
      <c r="V309" s="152"/>
      <c r="W309" s="152"/>
      <c r="X309" s="152"/>
      <c r="Y309" s="152"/>
      <c r="Z309" s="152"/>
    </row>
    <row r="310" ht="12.8" customHeight="1" spans="1:26">
      <c r="A310" s="176"/>
      <c r="B310" s="176"/>
      <c r="C310" s="176"/>
      <c r="D310" s="152"/>
      <c r="E310" s="152"/>
      <c r="F310" s="152"/>
      <c r="G310" s="152"/>
      <c r="H310" s="152"/>
      <c r="I310" s="152"/>
      <c r="J310" s="152"/>
      <c r="K310" s="152"/>
      <c r="L310" s="152"/>
      <c r="M310" s="152"/>
      <c r="N310" s="152"/>
      <c r="O310" s="152"/>
      <c r="P310" s="152"/>
      <c r="Q310" s="152"/>
      <c r="R310" s="152"/>
      <c r="S310" s="152"/>
      <c r="T310" s="152"/>
      <c r="U310" s="152"/>
      <c r="V310" s="152"/>
      <c r="W310" s="152"/>
      <c r="X310" s="152"/>
      <c r="Y310" s="152"/>
      <c r="Z310" s="152"/>
    </row>
    <row r="311" ht="12.8" customHeight="1" spans="1:26">
      <c r="A311" s="176"/>
      <c r="B311" s="176"/>
      <c r="C311" s="176"/>
      <c r="D311" s="152"/>
      <c r="E311" s="152"/>
      <c r="F311" s="152"/>
      <c r="G311" s="152"/>
      <c r="H311" s="152"/>
      <c r="I311" s="152"/>
      <c r="J311" s="152"/>
      <c r="K311" s="152"/>
      <c r="L311" s="152"/>
      <c r="M311" s="152"/>
      <c r="N311" s="152"/>
      <c r="O311" s="152"/>
      <c r="P311" s="152"/>
      <c r="Q311" s="152"/>
      <c r="R311" s="152"/>
      <c r="S311" s="152"/>
      <c r="T311" s="152"/>
      <c r="U311" s="152"/>
      <c r="V311" s="152"/>
      <c r="W311" s="152"/>
      <c r="X311" s="152"/>
      <c r="Y311" s="152"/>
      <c r="Z311" s="152"/>
    </row>
    <row r="312" ht="12.8" customHeight="1" spans="1:26">
      <c r="A312" s="176"/>
      <c r="B312" s="176"/>
      <c r="C312" s="176"/>
      <c r="D312" s="152"/>
      <c r="E312" s="152"/>
      <c r="F312" s="152"/>
      <c r="G312" s="152"/>
      <c r="H312" s="152"/>
      <c r="I312" s="152"/>
      <c r="J312" s="152"/>
      <c r="K312" s="152"/>
      <c r="L312" s="152"/>
      <c r="M312" s="152"/>
      <c r="N312" s="152"/>
      <c r="O312" s="152"/>
      <c r="P312" s="152"/>
      <c r="Q312" s="152"/>
      <c r="R312" s="152"/>
      <c r="S312" s="152"/>
      <c r="T312" s="152"/>
      <c r="U312" s="152"/>
      <c r="V312" s="152"/>
      <c r="W312" s="152"/>
      <c r="X312" s="152"/>
      <c r="Y312" s="152"/>
      <c r="Z312" s="152"/>
    </row>
    <row r="313" ht="12.8" customHeight="1" spans="1:26">
      <c r="A313" s="176"/>
      <c r="B313" s="176"/>
      <c r="C313" s="176"/>
      <c r="D313" s="152"/>
      <c r="E313" s="152"/>
      <c r="F313" s="152"/>
      <c r="G313" s="152"/>
      <c r="H313" s="152"/>
      <c r="I313" s="152"/>
      <c r="J313" s="152"/>
      <c r="K313" s="152"/>
      <c r="L313" s="152"/>
      <c r="M313" s="152"/>
      <c r="N313" s="152"/>
      <c r="O313" s="152"/>
      <c r="P313" s="152"/>
      <c r="Q313" s="152"/>
      <c r="R313" s="152"/>
      <c r="S313" s="152"/>
      <c r="T313" s="152"/>
      <c r="U313" s="152"/>
      <c r="V313" s="152"/>
      <c r="W313" s="152"/>
      <c r="X313" s="152"/>
      <c r="Y313" s="152"/>
      <c r="Z313" s="152"/>
    </row>
    <row r="314" ht="12.8" customHeight="1" spans="1:26">
      <c r="A314" s="176"/>
      <c r="B314" s="176"/>
      <c r="C314" s="176"/>
      <c r="D314" s="152"/>
      <c r="E314" s="152"/>
      <c r="F314" s="152"/>
      <c r="G314" s="152"/>
      <c r="H314" s="152"/>
      <c r="I314" s="152"/>
      <c r="J314" s="152"/>
      <c r="K314" s="152"/>
      <c r="L314" s="152"/>
      <c r="M314" s="152"/>
      <c r="N314" s="152"/>
      <c r="O314" s="152"/>
      <c r="P314" s="152"/>
      <c r="Q314" s="152"/>
      <c r="R314" s="152"/>
      <c r="S314" s="152"/>
      <c r="T314" s="152"/>
      <c r="U314" s="152"/>
      <c r="V314" s="152"/>
      <c r="W314" s="152"/>
      <c r="X314" s="152"/>
      <c r="Y314" s="152"/>
      <c r="Z314" s="152"/>
    </row>
    <row r="315" ht="12.8" customHeight="1" spans="1:26">
      <c r="A315" s="176"/>
      <c r="B315" s="176"/>
      <c r="C315" s="176"/>
      <c r="D315" s="152"/>
      <c r="E315" s="152"/>
      <c r="F315" s="152"/>
      <c r="G315" s="152"/>
      <c r="H315" s="152"/>
      <c r="I315" s="152"/>
      <c r="J315" s="152"/>
      <c r="K315" s="152"/>
      <c r="L315" s="152"/>
      <c r="M315" s="152"/>
      <c r="N315" s="152"/>
      <c r="O315" s="152"/>
      <c r="P315" s="152"/>
      <c r="Q315" s="152"/>
      <c r="R315" s="152"/>
      <c r="S315" s="152"/>
      <c r="T315" s="152"/>
      <c r="U315" s="152"/>
      <c r="V315" s="152"/>
      <c r="W315" s="152"/>
      <c r="X315" s="152"/>
      <c r="Y315" s="152"/>
      <c r="Z315" s="152"/>
    </row>
    <row r="316" ht="12.8" customHeight="1" spans="1:26">
      <c r="A316" s="176"/>
      <c r="B316" s="176"/>
      <c r="C316" s="176"/>
      <c r="D316" s="152"/>
      <c r="E316" s="152"/>
      <c r="F316" s="152"/>
      <c r="G316" s="152"/>
      <c r="H316" s="152"/>
      <c r="I316" s="152"/>
      <c r="J316" s="152"/>
      <c r="K316" s="152"/>
      <c r="L316" s="152"/>
      <c r="M316" s="152"/>
      <c r="N316" s="152"/>
      <c r="O316" s="152"/>
      <c r="P316" s="152"/>
      <c r="Q316" s="152"/>
      <c r="R316" s="152"/>
      <c r="S316" s="152"/>
      <c r="T316" s="152"/>
      <c r="U316" s="152"/>
      <c r="V316" s="152"/>
      <c r="W316" s="152"/>
      <c r="X316" s="152"/>
      <c r="Y316" s="152"/>
      <c r="Z316" s="152"/>
    </row>
    <row r="317" ht="12.8" customHeight="1" spans="1:26">
      <c r="A317" s="176"/>
      <c r="B317" s="176"/>
      <c r="C317" s="176"/>
      <c r="D317" s="152"/>
      <c r="E317" s="152"/>
      <c r="F317" s="152"/>
      <c r="G317" s="152"/>
      <c r="H317" s="152"/>
      <c r="I317" s="152"/>
      <c r="J317" s="152"/>
      <c r="K317" s="152"/>
      <c r="L317" s="152"/>
      <c r="M317" s="152"/>
      <c r="N317" s="152"/>
      <c r="O317" s="152"/>
      <c r="P317" s="152"/>
      <c r="Q317" s="152"/>
      <c r="R317" s="152"/>
      <c r="S317" s="152"/>
      <c r="T317" s="152"/>
      <c r="U317" s="152"/>
      <c r="V317" s="152"/>
      <c r="W317" s="152"/>
      <c r="X317" s="152"/>
      <c r="Y317" s="152"/>
      <c r="Z317" s="152"/>
    </row>
    <row r="318" ht="12.8" customHeight="1" spans="1:26">
      <c r="A318" s="176"/>
      <c r="B318" s="176"/>
      <c r="C318" s="176"/>
      <c r="D318" s="152"/>
      <c r="E318" s="152"/>
      <c r="F318" s="152"/>
      <c r="G318" s="152"/>
      <c r="H318" s="152"/>
      <c r="I318" s="152"/>
      <c r="J318" s="152"/>
      <c r="K318" s="152"/>
      <c r="L318" s="152"/>
      <c r="M318" s="152"/>
      <c r="N318" s="152"/>
      <c r="O318" s="152"/>
      <c r="P318" s="152"/>
      <c r="Q318" s="152"/>
      <c r="R318" s="152"/>
      <c r="S318" s="152"/>
      <c r="T318" s="152"/>
      <c r="U318" s="152"/>
      <c r="V318" s="152"/>
      <c r="W318" s="152"/>
      <c r="X318" s="152"/>
      <c r="Y318" s="152"/>
      <c r="Z318" s="152"/>
    </row>
    <row r="319" ht="12.8" customHeight="1" spans="1:26">
      <c r="A319" s="176"/>
      <c r="B319" s="176"/>
      <c r="C319" s="176"/>
      <c r="D319" s="152"/>
      <c r="E319" s="152"/>
      <c r="F319" s="152"/>
      <c r="G319" s="152"/>
      <c r="H319" s="152"/>
      <c r="I319" s="152"/>
      <c r="J319" s="152"/>
      <c r="K319" s="152"/>
      <c r="L319" s="152"/>
      <c r="M319" s="152"/>
      <c r="N319" s="152"/>
      <c r="O319" s="152"/>
      <c r="P319" s="152"/>
      <c r="Q319" s="152"/>
      <c r="R319" s="152"/>
      <c r="S319" s="152"/>
      <c r="T319" s="152"/>
      <c r="U319" s="152"/>
      <c r="V319" s="152"/>
      <c r="W319" s="152"/>
      <c r="X319" s="152"/>
      <c r="Y319" s="152"/>
      <c r="Z319" s="152"/>
    </row>
    <row r="320" ht="12.8" customHeight="1" spans="1:26">
      <c r="A320" s="176"/>
      <c r="B320" s="176"/>
      <c r="C320" s="176"/>
      <c r="D320" s="152"/>
      <c r="E320" s="152"/>
      <c r="F320" s="152"/>
      <c r="G320" s="152"/>
      <c r="H320" s="152"/>
      <c r="I320" s="152"/>
      <c r="J320" s="152"/>
      <c r="K320" s="152"/>
      <c r="L320" s="152"/>
      <c r="M320" s="152"/>
      <c r="N320" s="152"/>
      <c r="O320" s="152"/>
      <c r="P320" s="152"/>
      <c r="Q320" s="152"/>
      <c r="R320" s="152"/>
      <c r="S320" s="152"/>
      <c r="T320" s="152"/>
      <c r="U320" s="152"/>
      <c r="V320" s="152"/>
      <c r="W320" s="152"/>
      <c r="X320" s="152"/>
      <c r="Y320" s="152"/>
      <c r="Z320" s="152"/>
    </row>
    <row r="321" ht="12.8" customHeight="1" spans="1:26">
      <c r="A321" s="176"/>
      <c r="B321" s="176"/>
      <c r="C321" s="176"/>
      <c r="D321" s="152"/>
      <c r="E321" s="152"/>
      <c r="F321" s="152"/>
      <c r="G321" s="152"/>
      <c r="H321" s="152"/>
      <c r="I321" s="152"/>
      <c r="J321" s="152"/>
      <c r="K321" s="152"/>
      <c r="L321" s="152"/>
      <c r="M321" s="152"/>
      <c r="N321" s="152"/>
      <c r="O321" s="152"/>
      <c r="P321" s="152"/>
      <c r="Q321" s="152"/>
      <c r="R321" s="152"/>
      <c r="S321" s="152"/>
      <c r="T321" s="152"/>
      <c r="U321" s="152"/>
      <c r="V321" s="152"/>
      <c r="W321" s="152"/>
      <c r="X321" s="152"/>
      <c r="Y321" s="152"/>
      <c r="Z321" s="152"/>
    </row>
    <row r="322" ht="12.8" customHeight="1" spans="1:26">
      <c r="A322" s="176"/>
      <c r="B322" s="176"/>
      <c r="C322" s="176"/>
      <c r="D322" s="152"/>
      <c r="E322" s="152"/>
      <c r="F322" s="152"/>
      <c r="G322" s="152"/>
      <c r="H322" s="152"/>
      <c r="I322" s="152"/>
      <c r="J322" s="152"/>
      <c r="K322" s="152"/>
      <c r="L322" s="152"/>
      <c r="M322" s="152"/>
      <c r="N322" s="152"/>
      <c r="O322" s="152"/>
      <c r="P322" s="152"/>
      <c r="Q322" s="152"/>
      <c r="R322" s="152"/>
      <c r="S322" s="152"/>
      <c r="T322" s="152"/>
      <c r="U322" s="152"/>
      <c r="V322" s="152"/>
      <c r="W322" s="152"/>
      <c r="X322" s="152"/>
      <c r="Y322" s="152"/>
      <c r="Z322" s="152"/>
    </row>
    <row r="323" ht="12.8" customHeight="1" spans="1:26">
      <c r="A323" s="176"/>
      <c r="B323" s="176"/>
      <c r="C323" s="176"/>
      <c r="D323" s="152"/>
      <c r="E323" s="152"/>
      <c r="F323" s="152"/>
      <c r="G323" s="152"/>
      <c r="H323" s="152"/>
      <c r="I323" s="152"/>
      <c r="J323" s="152"/>
      <c r="K323" s="152"/>
      <c r="L323" s="152"/>
      <c r="M323" s="152"/>
      <c r="N323" s="152"/>
      <c r="O323" s="152"/>
      <c r="P323" s="152"/>
      <c r="Q323" s="152"/>
      <c r="R323" s="152"/>
      <c r="S323" s="152"/>
      <c r="T323" s="152"/>
      <c r="U323" s="152"/>
      <c r="V323" s="152"/>
      <c r="W323" s="152"/>
      <c r="X323" s="152"/>
      <c r="Y323" s="152"/>
      <c r="Z323" s="152"/>
    </row>
    <row r="324" ht="12.8" customHeight="1" spans="1:26">
      <c r="A324" s="176"/>
      <c r="B324" s="176"/>
      <c r="C324" s="176"/>
      <c r="D324" s="152"/>
      <c r="E324" s="152"/>
      <c r="F324" s="152"/>
      <c r="G324" s="152"/>
      <c r="H324" s="152"/>
      <c r="I324" s="152"/>
      <c r="J324" s="152"/>
      <c r="K324" s="152"/>
      <c r="L324" s="152"/>
      <c r="M324" s="152"/>
      <c r="N324" s="152"/>
      <c r="O324" s="152"/>
      <c r="P324" s="152"/>
      <c r="Q324" s="152"/>
      <c r="R324" s="152"/>
      <c r="S324" s="152"/>
      <c r="T324" s="152"/>
      <c r="U324" s="152"/>
      <c r="V324" s="152"/>
      <c r="W324" s="152"/>
      <c r="X324" s="152"/>
      <c r="Y324" s="152"/>
      <c r="Z324" s="152"/>
    </row>
    <row r="325" ht="12.8" customHeight="1" spans="1:26">
      <c r="A325" s="176"/>
      <c r="B325" s="176"/>
      <c r="C325" s="176"/>
      <c r="D325" s="152"/>
      <c r="E325" s="152"/>
      <c r="F325" s="152"/>
      <c r="G325" s="152"/>
      <c r="H325" s="152"/>
      <c r="I325" s="152"/>
      <c r="J325" s="152"/>
      <c r="K325" s="152"/>
      <c r="L325" s="152"/>
      <c r="M325" s="152"/>
      <c r="N325" s="152"/>
      <c r="O325" s="152"/>
      <c r="P325" s="152"/>
      <c r="Q325" s="152"/>
      <c r="R325" s="152"/>
      <c r="S325" s="152"/>
      <c r="T325" s="152"/>
      <c r="U325" s="152"/>
      <c r="V325" s="152"/>
      <c r="W325" s="152"/>
      <c r="X325" s="152"/>
      <c r="Y325" s="152"/>
      <c r="Z325" s="152"/>
    </row>
    <row r="326" ht="12.8" customHeight="1" spans="1:26">
      <c r="A326" s="176"/>
      <c r="B326" s="176"/>
      <c r="C326" s="176"/>
      <c r="D326" s="152"/>
      <c r="E326" s="152"/>
      <c r="F326" s="152"/>
      <c r="G326" s="152"/>
      <c r="H326" s="152"/>
      <c r="I326" s="152"/>
      <c r="J326" s="152"/>
      <c r="K326" s="152"/>
      <c r="L326" s="152"/>
      <c r="M326" s="152"/>
      <c r="N326" s="152"/>
      <c r="O326" s="152"/>
      <c r="P326" s="152"/>
      <c r="Q326" s="152"/>
      <c r="R326" s="152"/>
      <c r="S326" s="152"/>
      <c r="T326" s="152"/>
      <c r="U326" s="152"/>
      <c r="V326" s="152"/>
      <c r="W326" s="152"/>
      <c r="X326" s="152"/>
      <c r="Y326" s="152"/>
      <c r="Z326" s="152"/>
    </row>
    <row r="327" ht="12.8" customHeight="1" spans="1:26">
      <c r="A327" s="176"/>
      <c r="B327" s="176"/>
      <c r="C327" s="176"/>
      <c r="D327" s="152"/>
      <c r="E327" s="152"/>
      <c r="F327" s="152"/>
      <c r="G327" s="152"/>
      <c r="H327" s="152"/>
      <c r="I327" s="152"/>
      <c r="J327" s="152"/>
      <c r="K327" s="152"/>
      <c r="L327" s="152"/>
      <c r="M327" s="152"/>
      <c r="N327" s="152"/>
      <c r="O327" s="152"/>
      <c r="P327" s="152"/>
      <c r="Q327" s="152"/>
      <c r="R327" s="152"/>
      <c r="S327" s="152"/>
      <c r="T327" s="152"/>
      <c r="U327" s="152"/>
      <c r="V327" s="152"/>
      <c r="W327" s="152"/>
      <c r="X327" s="152"/>
      <c r="Y327" s="152"/>
      <c r="Z327" s="152"/>
    </row>
    <row r="328" ht="12.8" customHeight="1" spans="1:26">
      <c r="A328" s="176"/>
      <c r="B328" s="176"/>
      <c r="C328" s="176"/>
      <c r="D328" s="152"/>
      <c r="E328" s="152"/>
      <c r="F328" s="152"/>
      <c r="G328" s="152"/>
      <c r="H328" s="152"/>
      <c r="I328" s="152"/>
      <c r="J328" s="152"/>
      <c r="K328" s="152"/>
      <c r="L328" s="152"/>
      <c r="M328" s="152"/>
      <c r="N328" s="152"/>
      <c r="O328" s="152"/>
      <c r="P328" s="152"/>
      <c r="Q328" s="152"/>
      <c r="R328" s="152"/>
      <c r="S328" s="152"/>
      <c r="T328" s="152"/>
      <c r="U328" s="152"/>
      <c r="V328" s="152"/>
      <c r="W328" s="152"/>
      <c r="X328" s="152"/>
      <c r="Y328" s="152"/>
      <c r="Z328" s="152"/>
    </row>
    <row r="329" ht="12.8" customHeight="1" spans="1:26">
      <c r="A329" s="176"/>
      <c r="B329" s="176"/>
      <c r="C329" s="176"/>
      <c r="D329" s="152"/>
      <c r="E329" s="152"/>
      <c r="F329" s="152"/>
      <c r="G329" s="152"/>
      <c r="H329" s="152"/>
      <c r="I329" s="152"/>
      <c r="J329" s="152"/>
      <c r="K329" s="152"/>
      <c r="L329" s="152"/>
      <c r="M329" s="152"/>
      <c r="N329" s="152"/>
      <c r="O329" s="152"/>
      <c r="P329" s="152"/>
      <c r="Q329" s="152"/>
      <c r="R329" s="152"/>
      <c r="S329" s="152"/>
      <c r="T329" s="152"/>
      <c r="U329" s="152"/>
      <c r="V329" s="152"/>
      <c r="W329" s="152"/>
      <c r="X329" s="152"/>
      <c r="Y329" s="152"/>
      <c r="Z329" s="152"/>
    </row>
    <row r="330" ht="12.8" customHeight="1" spans="1:26">
      <c r="A330" s="176"/>
      <c r="B330" s="176"/>
      <c r="C330" s="176"/>
      <c r="D330" s="152"/>
      <c r="E330" s="152"/>
      <c r="F330" s="152"/>
      <c r="G330" s="152"/>
      <c r="H330" s="152"/>
      <c r="I330" s="152"/>
      <c r="J330" s="152"/>
      <c r="K330" s="152"/>
      <c r="L330" s="152"/>
      <c r="M330" s="152"/>
      <c r="N330" s="152"/>
      <c r="O330" s="152"/>
      <c r="P330" s="152"/>
      <c r="Q330" s="152"/>
      <c r="R330" s="152"/>
      <c r="S330" s="152"/>
      <c r="T330" s="152"/>
      <c r="U330" s="152"/>
      <c r="V330" s="152"/>
      <c r="W330" s="152"/>
      <c r="X330" s="152"/>
      <c r="Y330" s="152"/>
      <c r="Z330" s="152"/>
    </row>
    <row r="331" ht="12.8" customHeight="1" spans="1:26">
      <c r="A331" s="176"/>
      <c r="B331" s="176"/>
      <c r="C331" s="176"/>
      <c r="D331" s="152"/>
      <c r="E331" s="152"/>
      <c r="F331" s="152"/>
      <c r="G331" s="152"/>
      <c r="H331" s="152"/>
      <c r="I331" s="152"/>
      <c r="J331" s="152"/>
      <c r="K331" s="152"/>
      <c r="L331" s="152"/>
      <c r="M331" s="152"/>
      <c r="N331" s="152"/>
      <c r="O331" s="152"/>
      <c r="P331" s="152"/>
      <c r="Q331" s="152"/>
      <c r="R331" s="152"/>
      <c r="S331" s="152"/>
      <c r="T331" s="152"/>
      <c r="U331" s="152"/>
      <c r="V331" s="152"/>
      <c r="W331" s="152"/>
      <c r="X331" s="152"/>
      <c r="Y331" s="152"/>
      <c r="Z331" s="152"/>
    </row>
    <row r="332" ht="12.8" customHeight="1" spans="1:26">
      <c r="A332" s="176"/>
      <c r="B332" s="176"/>
      <c r="C332" s="176"/>
      <c r="D332" s="152"/>
      <c r="E332" s="152"/>
      <c r="F332" s="152"/>
      <c r="G332" s="152"/>
      <c r="H332" s="152"/>
      <c r="I332" s="152"/>
      <c r="J332" s="152"/>
      <c r="K332" s="152"/>
      <c r="L332" s="152"/>
      <c r="M332" s="152"/>
      <c r="N332" s="152"/>
      <c r="O332" s="152"/>
      <c r="P332" s="152"/>
      <c r="Q332" s="152"/>
      <c r="R332" s="152"/>
      <c r="S332" s="152"/>
      <c r="T332" s="152"/>
      <c r="U332" s="152"/>
      <c r="V332" s="152"/>
      <c r="W332" s="152"/>
      <c r="X332" s="152"/>
      <c r="Y332" s="152"/>
      <c r="Z332" s="152"/>
    </row>
    <row r="333" ht="12.8" customHeight="1" spans="1:26">
      <c r="A333" s="176"/>
      <c r="B333" s="176"/>
      <c r="C333" s="176"/>
      <c r="D333" s="152"/>
      <c r="E333" s="152"/>
      <c r="F333" s="152"/>
      <c r="G333" s="152"/>
      <c r="H333" s="152"/>
      <c r="I333" s="152"/>
      <c r="J333" s="152"/>
      <c r="K333" s="152"/>
      <c r="L333" s="152"/>
      <c r="M333" s="152"/>
      <c r="N333" s="152"/>
      <c r="O333" s="152"/>
      <c r="P333" s="152"/>
      <c r="Q333" s="152"/>
      <c r="R333" s="152"/>
      <c r="S333" s="152"/>
      <c r="T333" s="152"/>
      <c r="U333" s="152"/>
      <c r="V333" s="152"/>
      <c r="W333" s="152"/>
      <c r="X333" s="152"/>
      <c r="Y333" s="152"/>
      <c r="Z333" s="152"/>
    </row>
    <row r="334" ht="12.8" customHeight="1" spans="1:26">
      <c r="A334" s="176"/>
      <c r="B334" s="176"/>
      <c r="C334" s="176"/>
      <c r="D334" s="152"/>
      <c r="E334" s="152"/>
      <c r="F334" s="152"/>
      <c r="G334" s="152"/>
      <c r="H334" s="152"/>
      <c r="I334" s="152"/>
      <c r="J334" s="152"/>
      <c r="K334" s="152"/>
      <c r="L334" s="152"/>
      <c r="M334" s="152"/>
      <c r="N334" s="152"/>
      <c r="O334" s="152"/>
      <c r="P334" s="152"/>
      <c r="Q334" s="152"/>
      <c r="R334" s="152"/>
      <c r="S334" s="152"/>
      <c r="T334" s="152"/>
      <c r="U334" s="152"/>
      <c r="V334" s="152"/>
      <c r="W334" s="152"/>
      <c r="X334" s="152"/>
      <c r="Y334" s="152"/>
      <c r="Z334" s="152"/>
    </row>
    <row r="335" ht="12.8" customHeight="1" spans="1:26">
      <c r="A335" s="176"/>
      <c r="B335" s="176"/>
      <c r="C335" s="176"/>
      <c r="D335" s="152"/>
      <c r="E335" s="152"/>
      <c r="F335" s="152"/>
      <c r="G335" s="152"/>
      <c r="H335" s="152"/>
      <c r="I335" s="152"/>
      <c r="J335" s="152"/>
      <c r="K335" s="152"/>
      <c r="L335" s="152"/>
      <c r="M335" s="152"/>
      <c r="N335" s="152"/>
      <c r="O335" s="152"/>
      <c r="P335" s="152"/>
      <c r="Q335" s="152"/>
      <c r="R335" s="152"/>
      <c r="S335" s="152"/>
      <c r="T335" s="152"/>
      <c r="U335" s="152"/>
      <c r="V335" s="152"/>
      <c r="W335" s="152"/>
      <c r="X335" s="152"/>
      <c r="Y335" s="152"/>
      <c r="Z335" s="152"/>
    </row>
    <row r="336" ht="12.8" customHeight="1" spans="1:26">
      <c r="A336" s="176"/>
      <c r="B336" s="176"/>
      <c r="C336" s="176"/>
      <c r="D336" s="152"/>
      <c r="E336" s="152"/>
      <c r="F336" s="152"/>
      <c r="G336" s="152"/>
      <c r="H336" s="152"/>
      <c r="I336" s="152"/>
      <c r="J336" s="152"/>
      <c r="K336" s="152"/>
      <c r="L336" s="152"/>
      <c r="M336" s="152"/>
      <c r="N336" s="152"/>
      <c r="O336" s="152"/>
      <c r="P336" s="152"/>
      <c r="Q336" s="152"/>
      <c r="R336" s="152"/>
      <c r="S336" s="152"/>
      <c r="T336" s="152"/>
      <c r="U336" s="152"/>
      <c r="V336" s="152"/>
      <c r="W336" s="152"/>
      <c r="X336" s="152"/>
      <c r="Y336" s="152"/>
      <c r="Z336" s="152"/>
    </row>
    <row r="337" ht="12.8" customHeight="1" spans="1:26">
      <c r="A337" s="176"/>
      <c r="B337" s="176"/>
      <c r="C337" s="176"/>
      <c r="D337" s="152"/>
      <c r="E337" s="152"/>
      <c r="F337" s="152"/>
      <c r="G337" s="152"/>
      <c r="H337" s="152"/>
      <c r="I337" s="152"/>
      <c r="J337" s="152"/>
      <c r="K337" s="152"/>
      <c r="L337" s="152"/>
      <c r="M337" s="152"/>
      <c r="N337" s="152"/>
      <c r="O337" s="152"/>
      <c r="P337" s="152"/>
      <c r="Q337" s="152"/>
      <c r="R337" s="152"/>
      <c r="S337" s="152"/>
      <c r="T337" s="152"/>
      <c r="U337" s="152"/>
      <c r="V337" s="152"/>
      <c r="W337" s="152"/>
      <c r="X337" s="152"/>
      <c r="Y337" s="152"/>
      <c r="Z337" s="152"/>
    </row>
    <row r="338" ht="12.8" customHeight="1" spans="1:26">
      <c r="A338" s="176"/>
      <c r="B338" s="176"/>
      <c r="C338" s="176"/>
      <c r="D338" s="152"/>
      <c r="E338" s="152"/>
      <c r="F338" s="152"/>
      <c r="G338" s="152"/>
      <c r="H338" s="152"/>
      <c r="I338" s="152"/>
      <c r="J338" s="152"/>
      <c r="K338" s="152"/>
      <c r="L338" s="152"/>
      <c r="M338" s="152"/>
      <c r="N338" s="152"/>
      <c r="O338" s="152"/>
      <c r="P338" s="152"/>
      <c r="Q338" s="152"/>
      <c r="R338" s="152"/>
      <c r="S338" s="152"/>
      <c r="T338" s="152"/>
      <c r="U338" s="152"/>
      <c r="V338" s="152"/>
      <c r="W338" s="152"/>
      <c r="X338" s="152"/>
      <c r="Y338" s="152"/>
      <c r="Z338" s="152"/>
    </row>
    <row r="339" ht="12.8" customHeight="1" spans="1:26">
      <c r="A339" s="176"/>
      <c r="B339" s="176"/>
      <c r="C339" s="176"/>
      <c r="D339" s="152"/>
      <c r="E339" s="152"/>
      <c r="F339" s="152"/>
      <c r="G339" s="152"/>
      <c r="H339" s="152"/>
      <c r="I339" s="152"/>
      <c r="J339" s="152"/>
      <c r="K339" s="152"/>
      <c r="L339" s="152"/>
      <c r="M339" s="152"/>
      <c r="N339" s="152"/>
      <c r="O339" s="152"/>
      <c r="P339" s="152"/>
      <c r="Q339" s="152"/>
      <c r="R339" s="152"/>
      <c r="S339" s="152"/>
      <c r="T339" s="152"/>
      <c r="U339" s="152"/>
      <c r="V339" s="152"/>
      <c r="W339" s="152"/>
      <c r="X339" s="152"/>
      <c r="Y339" s="152"/>
      <c r="Z339" s="152"/>
    </row>
    <row r="340" ht="12.8" customHeight="1" spans="1:26">
      <c r="A340" s="176"/>
      <c r="B340" s="176"/>
      <c r="C340" s="176"/>
      <c r="D340" s="152"/>
      <c r="E340" s="152"/>
      <c r="F340" s="152"/>
      <c r="G340" s="152"/>
      <c r="H340" s="152"/>
      <c r="I340" s="152"/>
      <c r="J340" s="152"/>
      <c r="K340" s="152"/>
      <c r="L340" s="152"/>
      <c r="M340" s="152"/>
      <c r="N340" s="152"/>
      <c r="O340" s="152"/>
      <c r="P340" s="152"/>
      <c r="Q340" s="152"/>
      <c r="R340" s="152"/>
      <c r="S340" s="152"/>
      <c r="T340" s="152"/>
      <c r="U340" s="152"/>
      <c r="V340" s="152"/>
      <c r="W340" s="152"/>
      <c r="X340" s="152"/>
      <c r="Y340" s="152"/>
      <c r="Z340" s="152"/>
    </row>
    <row r="341" ht="12.8" customHeight="1" spans="1:26">
      <c r="A341" s="176"/>
      <c r="B341" s="176"/>
      <c r="C341" s="176"/>
      <c r="D341" s="152"/>
      <c r="E341" s="152"/>
      <c r="F341" s="152"/>
      <c r="G341" s="152"/>
      <c r="H341" s="152"/>
      <c r="I341" s="152"/>
      <c r="J341" s="152"/>
      <c r="K341" s="152"/>
      <c r="L341" s="152"/>
      <c r="M341" s="152"/>
      <c r="N341" s="152"/>
      <c r="O341" s="152"/>
      <c r="P341" s="152"/>
      <c r="Q341" s="152"/>
      <c r="R341" s="152"/>
      <c r="S341" s="152"/>
      <c r="T341" s="152"/>
      <c r="U341" s="152"/>
      <c r="V341" s="152"/>
      <c r="W341" s="152"/>
      <c r="X341" s="152"/>
      <c r="Y341" s="152"/>
      <c r="Z341" s="152"/>
    </row>
    <row r="342" ht="12.8" customHeight="1" spans="1:26">
      <c r="A342" s="176"/>
      <c r="B342" s="176"/>
      <c r="C342" s="176"/>
      <c r="D342" s="152"/>
      <c r="E342" s="152"/>
      <c r="F342" s="152"/>
      <c r="G342" s="152"/>
      <c r="H342" s="152"/>
      <c r="I342" s="152"/>
      <c r="J342" s="152"/>
      <c r="K342" s="152"/>
      <c r="L342" s="152"/>
      <c r="M342" s="152"/>
      <c r="N342" s="152"/>
      <c r="O342" s="152"/>
      <c r="P342" s="152"/>
      <c r="Q342" s="152"/>
      <c r="R342" s="152"/>
      <c r="S342" s="152"/>
      <c r="T342" s="152"/>
      <c r="U342" s="152"/>
      <c r="V342" s="152"/>
      <c r="W342" s="152"/>
      <c r="X342" s="152"/>
      <c r="Y342" s="152"/>
      <c r="Z342" s="152"/>
    </row>
    <row r="343" ht="12.8" customHeight="1" spans="1:26">
      <c r="A343" s="176"/>
      <c r="B343" s="176"/>
      <c r="C343" s="176"/>
      <c r="D343" s="152"/>
      <c r="E343" s="152"/>
      <c r="F343" s="152"/>
      <c r="G343" s="152"/>
      <c r="H343" s="152"/>
      <c r="I343" s="152"/>
      <c r="J343" s="152"/>
      <c r="K343" s="152"/>
      <c r="L343" s="152"/>
      <c r="M343" s="152"/>
      <c r="N343" s="152"/>
      <c r="O343" s="152"/>
      <c r="P343" s="152"/>
      <c r="Q343" s="152"/>
      <c r="R343" s="152"/>
      <c r="S343" s="152"/>
      <c r="T343" s="152"/>
      <c r="U343" s="152"/>
      <c r="V343" s="152"/>
      <c r="W343" s="152"/>
      <c r="X343" s="152"/>
      <c r="Y343" s="152"/>
      <c r="Z343" s="152"/>
    </row>
    <row r="344" ht="12.8" customHeight="1" spans="1:26">
      <c r="A344" s="176"/>
      <c r="B344" s="176"/>
      <c r="C344" s="176"/>
      <c r="D344" s="152"/>
      <c r="E344" s="152"/>
      <c r="F344" s="152"/>
      <c r="G344" s="152"/>
      <c r="H344" s="152"/>
      <c r="I344" s="152"/>
      <c r="J344" s="152"/>
      <c r="K344" s="152"/>
      <c r="L344" s="152"/>
      <c r="M344" s="152"/>
      <c r="N344" s="152"/>
      <c r="O344" s="152"/>
      <c r="P344" s="152"/>
      <c r="Q344" s="152"/>
      <c r="R344" s="152"/>
      <c r="S344" s="152"/>
      <c r="T344" s="152"/>
      <c r="U344" s="152"/>
      <c r="V344" s="152"/>
      <c r="W344" s="152"/>
      <c r="X344" s="152"/>
      <c r="Y344" s="152"/>
      <c r="Z344" s="152"/>
    </row>
    <row r="345" ht="12.8" customHeight="1" spans="1:26">
      <c r="A345" s="176"/>
      <c r="B345" s="176"/>
      <c r="C345" s="176"/>
      <c r="D345" s="152"/>
      <c r="E345" s="152"/>
      <c r="F345" s="152"/>
      <c r="G345" s="152"/>
      <c r="H345" s="152"/>
      <c r="I345" s="152"/>
      <c r="J345" s="152"/>
      <c r="K345" s="152"/>
      <c r="L345" s="152"/>
      <c r="M345" s="152"/>
      <c r="N345" s="152"/>
      <c r="O345" s="152"/>
      <c r="P345" s="152"/>
      <c r="Q345" s="152"/>
      <c r="R345" s="152"/>
      <c r="S345" s="152"/>
      <c r="T345" s="152"/>
      <c r="U345" s="152"/>
      <c r="V345" s="152"/>
      <c r="W345" s="152"/>
      <c r="X345" s="152"/>
      <c r="Y345" s="152"/>
      <c r="Z345" s="152"/>
    </row>
    <row r="346" ht="12.8" customHeight="1" spans="1:26">
      <c r="A346" s="176"/>
      <c r="B346" s="176"/>
      <c r="C346" s="176"/>
      <c r="D346" s="152"/>
      <c r="E346" s="152"/>
      <c r="F346" s="152"/>
      <c r="G346" s="152"/>
      <c r="H346" s="152"/>
      <c r="I346" s="152"/>
      <c r="J346" s="152"/>
      <c r="K346" s="152"/>
      <c r="L346" s="152"/>
      <c r="M346" s="152"/>
      <c r="N346" s="152"/>
      <c r="O346" s="152"/>
      <c r="P346" s="152"/>
      <c r="Q346" s="152"/>
      <c r="R346" s="152"/>
      <c r="S346" s="152"/>
      <c r="T346" s="152"/>
      <c r="U346" s="152"/>
      <c r="V346" s="152"/>
      <c r="W346" s="152"/>
      <c r="X346" s="152"/>
      <c r="Y346" s="152"/>
      <c r="Z346" s="152"/>
    </row>
    <row r="347" ht="12.8" customHeight="1" spans="1:26">
      <c r="A347" s="176"/>
      <c r="B347" s="176"/>
      <c r="C347" s="176"/>
      <c r="D347" s="152"/>
      <c r="E347" s="152"/>
      <c r="F347" s="152"/>
      <c r="G347" s="152"/>
      <c r="H347" s="152"/>
      <c r="I347" s="152"/>
      <c r="J347" s="152"/>
      <c r="K347" s="152"/>
      <c r="L347" s="152"/>
      <c r="M347" s="152"/>
      <c r="N347" s="152"/>
      <c r="O347" s="152"/>
      <c r="P347" s="152"/>
      <c r="Q347" s="152"/>
      <c r="R347" s="152"/>
      <c r="S347" s="152"/>
      <c r="T347" s="152"/>
      <c r="U347" s="152"/>
      <c r="V347" s="152"/>
      <c r="W347" s="152"/>
      <c r="X347" s="152"/>
      <c r="Y347" s="152"/>
      <c r="Z347" s="152"/>
    </row>
    <row r="348" ht="12.8" customHeight="1" spans="1:26">
      <c r="A348" s="176"/>
      <c r="B348" s="176"/>
      <c r="C348" s="176"/>
      <c r="D348" s="152"/>
      <c r="E348" s="152"/>
      <c r="F348" s="152"/>
      <c r="G348" s="152"/>
      <c r="H348" s="152"/>
      <c r="I348" s="152"/>
      <c r="J348" s="152"/>
      <c r="K348" s="152"/>
      <c r="L348" s="152"/>
      <c r="M348" s="152"/>
      <c r="N348" s="152"/>
      <c r="O348" s="152"/>
      <c r="P348" s="152"/>
      <c r="Q348" s="152"/>
      <c r="R348" s="152"/>
      <c r="S348" s="152"/>
      <c r="T348" s="152"/>
      <c r="U348" s="152"/>
      <c r="V348" s="152"/>
      <c r="W348" s="152"/>
      <c r="X348" s="152"/>
      <c r="Y348" s="152"/>
      <c r="Z348" s="152"/>
    </row>
    <row r="349" ht="12.8" customHeight="1" spans="1:26">
      <c r="A349" s="176"/>
      <c r="B349" s="176"/>
      <c r="C349" s="176"/>
      <c r="D349" s="152"/>
      <c r="E349" s="152"/>
      <c r="F349" s="152"/>
      <c r="G349" s="152"/>
      <c r="H349" s="152"/>
      <c r="I349" s="152"/>
      <c r="J349" s="152"/>
      <c r="K349" s="152"/>
      <c r="L349" s="152"/>
      <c r="M349" s="152"/>
      <c r="N349" s="152"/>
      <c r="O349" s="152"/>
      <c r="P349" s="152"/>
      <c r="Q349" s="152"/>
      <c r="R349" s="152"/>
      <c r="S349" s="152"/>
      <c r="T349" s="152"/>
      <c r="U349" s="152"/>
      <c r="V349" s="152"/>
      <c r="W349" s="152"/>
      <c r="X349" s="152"/>
      <c r="Y349" s="152"/>
      <c r="Z349" s="152"/>
    </row>
    <row r="350" ht="12.8" customHeight="1" spans="1:26">
      <c r="A350" s="176"/>
      <c r="B350" s="176"/>
      <c r="C350" s="176"/>
      <c r="D350" s="152"/>
      <c r="E350" s="152"/>
      <c r="F350" s="152"/>
      <c r="G350" s="152"/>
      <c r="H350" s="152"/>
      <c r="I350" s="152"/>
      <c r="J350" s="152"/>
      <c r="K350" s="152"/>
      <c r="L350" s="152"/>
      <c r="M350" s="152"/>
      <c r="N350" s="152"/>
      <c r="O350" s="152"/>
      <c r="P350" s="152"/>
      <c r="Q350" s="152"/>
      <c r="R350" s="152"/>
      <c r="S350" s="152"/>
      <c r="T350" s="152"/>
      <c r="U350" s="152"/>
      <c r="V350" s="152"/>
      <c r="W350" s="152"/>
      <c r="X350" s="152"/>
      <c r="Y350" s="152"/>
      <c r="Z350" s="152"/>
    </row>
    <row r="351" ht="12.8" customHeight="1" spans="1:26">
      <c r="A351" s="176"/>
      <c r="B351" s="176"/>
      <c r="C351" s="176"/>
      <c r="D351" s="152"/>
      <c r="E351" s="152"/>
      <c r="F351" s="152"/>
      <c r="G351" s="152"/>
      <c r="H351" s="152"/>
      <c r="I351" s="152"/>
      <c r="J351" s="152"/>
      <c r="K351" s="152"/>
      <c r="L351" s="152"/>
      <c r="M351" s="152"/>
      <c r="N351" s="152"/>
      <c r="O351" s="152"/>
      <c r="P351" s="152"/>
      <c r="Q351" s="152"/>
      <c r="R351" s="152"/>
      <c r="S351" s="152"/>
      <c r="T351" s="152"/>
      <c r="U351" s="152"/>
      <c r="V351" s="152"/>
      <c r="W351" s="152"/>
      <c r="X351" s="152"/>
      <c r="Y351" s="152"/>
      <c r="Z351" s="152"/>
    </row>
    <row r="352" ht="12.8" customHeight="1" spans="1:26">
      <c r="A352" s="176"/>
      <c r="B352" s="176"/>
      <c r="C352" s="176"/>
      <c r="D352" s="152"/>
      <c r="E352" s="152"/>
      <c r="F352" s="152"/>
      <c r="G352" s="152"/>
      <c r="H352" s="152"/>
      <c r="I352" s="152"/>
      <c r="J352" s="152"/>
      <c r="K352" s="152"/>
      <c r="L352" s="152"/>
      <c r="M352" s="152"/>
      <c r="N352" s="152"/>
      <c r="O352" s="152"/>
      <c r="P352" s="152"/>
      <c r="Q352" s="152"/>
      <c r="R352" s="152"/>
      <c r="S352" s="152"/>
      <c r="T352" s="152"/>
      <c r="U352" s="152"/>
      <c r="V352" s="152"/>
      <c r="W352" s="152"/>
      <c r="X352" s="152"/>
      <c r="Y352" s="152"/>
      <c r="Z352" s="152"/>
    </row>
    <row r="353" ht="12.8" customHeight="1" spans="1:26">
      <c r="A353" s="176"/>
      <c r="B353" s="176"/>
      <c r="C353" s="176"/>
      <c r="D353" s="152"/>
      <c r="E353" s="152"/>
      <c r="F353" s="152"/>
      <c r="G353" s="152"/>
      <c r="H353" s="152"/>
      <c r="I353" s="152"/>
      <c r="J353" s="152"/>
      <c r="K353" s="152"/>
      <c r="L353" s="152"/>
      <c r="M353" s="152"/>
      <c r="N353" s="152"/>
      <c r="O353" s="152"/>
      <c r="P353" s="152"/>
      <c r="Q353" s="152"/>
      <c r="R353" s="152"/>
      <c r="S353" s="152"/>
      <c r="T353" s="152"/>
      <c r="U353" s="152"/>
      <c r="V353" s="152"/>
      <c r="W353" s="152"/>
      <c r="X353" s="152"/>
      <c r="Y353" s="152"/>
      <c r="Z353" s="152"/>
    </row>
    <row r="354" ht="12.8" customHeight="1" spans="1:26">
      <c r="A354" s="176"/>
      <c r="B354" s="176"/>
      <c r="C354" s="176"/>
      <c r="D354" s="152"/>
      <c r="E354" s="152"/>
      <c r="F354" s="152"/>
      <c r="G354" s="152"/>
      <c r="H354" s="152"/>
      <c r="I354" s="152"/>
      <c r="J354" s="152"/>
      <c r="K354" s="152"/>
      <c r="L354" s="152"/>
      <c r="M354" s="152"/>
      <c r="N354" s="152"/>
      <c r="O354" s="152"/>
      <c r="P354" s="152"/>
      <c r="Q354" s="152"/>
      <c r="R354" s="152"/>
      <c r="S354" s="152"/>
      <c r="T354" s="152"/>
      <c r="U354" s="152"/>
      <c r="V354" s="152"/>
      <c r="W354" s="152"/>
      <c r="X354" s="152"/>
      <c r="Y354" s="152"/>
      <c r="Z354" s="152"/>
    </row>
    <row r="355" ht="12.8" customHeight="1" spans="1:26">
      <c r="A355" s="176"/>
      <c r="B355" s="176"/>
      <c r="C355" s="176"/>
      <c r="D355" s="152"/>
      <c r="E355" s="152"/>
      <c r="F355" s="152"/>
      <c r="G355" s="152"/>
      <c r="H355" s="152"/>
      <c r="I355" s="152"/>
      <c r="J355" s="152"/>
      <c r="K355" s="152"/>
      <c r="L355" s="152"/>
      <c r="M355" s="152"/>
      <c r="N355" s="152"/>
      <c r="O355" s="152"/>
      <c r="P355" s="152"/>
      <c r="Q355" s="152"/>
      <c r="R355" s="152"/>
      <c r="S355" s="152"/>
      <c r="T355" s="152"/>
      <c r="U355" s="152"/>
      <c r="V355" s="152"/>
      <c r="W355" s="152"/>
      <c r="X355" s="152"/>
      <c r="Y355" s="152"/>
      <c r="Z355" s="152"/>
    </row>
    <row r="356" ht="12.8" customHeight="1" spans="1:26">
      <c r="A356" s="176"/>
      <c r="B356" s="176"/>
      <c r="C356" s="176"/>
      <c r="D356" s="152"/>
      <c r="E356" s="152"/>
      <c r="F356" s="152"/>
      <c r="G356" s="152"/>
      <c r="H356" s="152"/>
      <c r="I356" s="152"/>
      <c r="J356" s="152"/>
      <c r="K356" s="152"/>
      <c r="L356" s="152"/>
      <c r="M356" s="152"/>
      <c r="N356" s="152"/>
      <c r="O356" s="152"/>
      <c r="P356" s="152"/>
      <c r="Q356" s="152"/>
      <c r="R356" s="152"/>
      <c r="S356" s="152"/>
      <c r="T356" s="152"/>
      <c r="U356" s="152"/>
      <c r="V356" s="152"/>
      <c r="W356" s="152"/>
      <c r="X356" s="152"/>
      <c r="Y356" s="152"/>
      <c r="Z356" s="152"/>
    </row>
    <row r="357" ht="12.8" customHeight="1" spans="1:26">
      <c r="A357" s="176"/>
      <c r="B357" s="176"/>
      <c r="C357" s="176"/>
      <c r="D357" s="152"/>
      <c r="E357" s="152"/>
      <c r="F357" s="152"/>
      <c r="G357" s="152"/>
      <c r="H357" s="152"/>
      <c r="I357" s="152"/>
      <c r="J357" s="152"/>
      <c r="K357" s="152"/>
      <c r="L357" s="152"/>
      <c r="M357" s="152"/>
      <c r="N357" s="152"/>
      <c r="O357" s="152"/>
      <c r="P357" s="152"/>
      <c r="Q357" s="152"/>
      <c r="R357" s="152"/>
      <c r="S357" s="152"/>
      <c r="T357" s="152"/>
      <c r="U357" s="152"/>
      <c r="V357" s="152"/>
      <c r="W357" s="152"/>
      <c r="X357" s="152"/>
      <c r="Y357" s="152"/>
      <c r="Z357" s="152"/>
    </row>
    <row r="358" ht="12.8" customHeight="1" spans="1:26">
      <c r="A358" s="176"/>
      <c r="B358" s="176"/>
      <c r="C358" s="176"/>
      <c r="D358" s="152"/>
      <c r="E358" s="152"/>
      <c r="F358" s="152"/>
      <c r="G358" s="152"/>
      <c r="H358" s="152"/>
      <c r="I358" s="152"/>
      <c r="J358" s="152"/>
      <c r="K358" s="152"/>
      <c r="L358" s="152"/>
      <c r="M358" s="152"/>
      <c r="N358" s="152"/>
      <c r="O358" s="152"/>
      <c r="P358" s="152"/>
      <c r="Q358" s="152"/>
      <c r="R358" s="152"/>
      <c r="S358" s="152"/>
      <c r="T358" s="152"/>
      <c r="U358" s="152"/>
      <c r="V358" s="152"/>
      <c r="W358" s="152"/>
      <c r="X358" s="152"/>
      <c r="Y358" s="152"/>
      <c r="Z358" s="152"/>
    </row>
    <row r="359" ht="12.8" customHeight="1" spans="1:26">
      <c r="A359" s="176"/>
      <c r="B359" s="176"/>
      <c r="C359" s="176"/>
      <c r="D359" s="152"/>
      <c r="E359" s="152"/>
      <c r="F359" s="152"/>
      <c r="G359" s="152"/>
      <c r="H359" s="152"/>
      <c r="I359" s="152"/>
      <c r="J359" s="152"/>
      <c r="K359" s="152"/>
      <c r="L359" s="152"/>
      <c r="M359" s="152"/>
      <c r="N359" s="152"/>
      <c r="O359" s="152"/>
      <c r="P359" s="152"/>
      <c r="Q359" s="152"/>
      <c r="R359" s="152"/>
      <c r="S359" s="152"/>
      <c r="T359" s="152"/>
      <c r="U359" s="152"/>
      <c r="V359" s="152"/>
      <c r="W359" s="152"/>
      <c r="X359" s="152"/>
      <c r="Y359" s="152"/>
      <c r="Z359" s="152"/>
    </row>
    <row r="360" ht="12.8" customHeight="1" spans="1:26">
      <c r="A360" s="176"/>
      <c r="B360" s="176"/>
      <c r="C360" s="176"/>
      <c r="D360" s="152"/>
      <c r="E360" s="152"/>
      <c r="F360" s="152"/>
      <c r="G360" s="152"/>
      <c r="H360" s="152"/>
      <c r="I360" s="152"/>
      <c r="J360" s="152"/>
      <c r="K360" s="152"/>
      <c r="L360" s="152"/>
      <c r="M360" s="152"/>
      <c r="N360" s="152"/>
      <c r="O360" s="152"/>
      <c r="P360" s="152"/>
      <c r="Q360" s="152"/>
      <c r="R360" s="152"/>
      <c r="S360" s="152"/>
      <c r="T360" s="152"/>
      <c r="U360" s="152"/>
      <c r="V360" s="152"/>
      <c r="W360" s="152"/>
      <c r="X360" s="152"/>
      <c r="Y360" s="152"/>
      <c r="Z360" s="152"/>
    </row>
    <row r="361" ht="12.8" customHeight="1" spans="1:26">
      <c r="A361" s="176"/>
      <c r="B361" s="176"/>
      <c r="C361" s="176"/>
      <c r="D361" s="152"/>
      <c r="E361" s="152"/>
      <c r="F361" s="152"/>
      <c r="G361" s="152"/>
      <c r="H361" s="152"/>
      <c r="I361" s="152"/>
      <c r="J361" s="152"/>
      <c r="K361" s="152"/>
      <c r="L361" s="152"/>
      <c r="M361" s="152"/>
      <c r="N361" s="152"/>
      <c r="O361" s="152"/>
      <c r="P361" s="152"/>
      <c r="Q361" s="152"/>
      <c r="R361" s="152"/>
      <c r="S361" s="152"/>
      <c r="T361" s="152"/>
      <c r="U361" s="152"/>
      <c r="V361" s="152"/>
      <c r="W361" s="152"/>
      <c r="X361" s="152"/>
      <c r="Y361" s="152"/>
      <c r="Z361" s="152"/>
    </row>
    <row r="362" ht="12.8" customHeight="1" spans="1:26">
      <c r="A362" s="176"/>
      <c r="B362" s="176"/>
      <c r="C362" s="176"/>
      <c r="D362" s="152"/>
      <c r="E362" s="152"/>
      <c r="F362" s="152"/>
      <c r="G362" s="152"/>
      <c r="H362" s="152"/>
      <c r="I362" s="152"/>
      <c r="J362" s="152"/>
      <c r="K362" s="152"/>
      <c r="L362" s="152"/>
      <c r="M362" s="152"/>
      <c r="N362" s="152"/>
      <c r="O362" s="152"/>
      <c r="P362" s="152"/>
      <c r="Q362" s="152"/>
      <c r="R362" s="152"/>
      <c r="S362" s="152"/>
      <c r="T362" s="152"/>
      <c r="U362" s="152"/>
      <c r="V362" s="152"/>
      <c r="W362" s="152"/>
      <c r="X362" s="152"/>
      <c r="Y362" s="152"/>
      <c r="Z362" s="152"/>
    </row>
    <row r="363" ht="12.8" customHeight="1" spans="1:26">
      <c r="A363" s="176"/>
      <c r="B363" s="176"/>
      <c r="C363" s="176"/>
      <c r="D363" s="152"/>
      <c r="E363" s="152"/>
      <c r="F363" s="152"/>
      <c r="G363" s="152"/>
      <c r="H363" s="152"/>
      <c r="I363" s="152"/>
      <c r="J363" s="152"/>
      <c r="K363" s="152"/>
      <c r="L363" s="152"/>
      <c r="M363" s="152"/>
      <c r="N363" s="152"/>
      <c r="O363" s="152"/>
      <c r="P363" s="152"/>
      <c r="Q363" s="152"/>
      <c r="R363" s="152"/>
      <c r="S363" s="152"/>
      <c r="T363" s="152"/>
      <c r="U363" s="152"/>
      <c r="V363" s="152"/>
      <c r="W363" s="152"/>
      <c r="X363" s="152"/>
      <c r="Y363" s="152"/>
      <c r="Z363" s="152"/>
    </row>
    <row r="364" ht="12.8" customHeight="1" spans="1:26">
      <c r="A364" s="176"/>
      <c r="B364" s="176"/>
      <c r="C364" s="176"/>
      <c r="D364" s="152"/>
      <c r="E364" s="152"/>
      <c r="F364" s="152"/>
      <c r="G364" s="152"/>
      <c r="H364" s="152"/>
      <c r="I364" s="152"/>
      <c r="J364" s="152"/>
      <c r="K364" s="152"/>
      <c r="L364" s="152"/>
      <c r="M364" s="152"/>
      <c r="N364" s="152"/>
      <c r="O364" s="152"/>
      <c r="P364" s="152"/>
      <c r="Q364" s="152"/>
      <c r="R364" s="152"/>
      <c r="S364" s="152"/>
      <c r="T364" s="152"/>
      <c r="U364" s="152"/>
      <c r="V364" s="152"/>
      <c r="W364" s="152"/>
      <c r="X364" s="152"/>
      <c r="Y364" s="152"/>
      <c r="Z364" s="152"/>
    </row>
    <row r="365" ht="12.8" customHeight="1" spans="1:26">
      <c r="A365" s="176"/>
      <c r="B365" s="176"/>
      <c r="C365" s="176"/>
      <c r="D365" s="152"/>
      <c r="E365" s="152"/>
      <c r="F365" s="152"/>
      <c r="G365" s="152"/>
      <c r="H365" s="152"/>
      <c r="I365" s="152"/>
      <c r="J365" s="152"/>
      <c r="K365" s="152"/>
      <c r="L365" s="152"/>
      <c r="M365" s="152"/>
      <c r="N365" s="152"/>
      <c r="O365" s="152"/>
      <c r="P365" s="152"/>
      <c r="Q365" s="152"/>
      <c r="R365" s="152"/>
      <c r="S365" s="152"/>
      <c r="T365" s="152"/>
      <c r="U365" s="152"/>
      <c r="V365" s="152"/>
      <c r="W365" s="152"/>
      <c r="X365" s="152"/>
      <c r="Y365" s="152"/>
      <c r="Z365" s="152"/>
    </row>
    <row r="366" ht="12.8" customHeight="1" spans="1:26">
      <c r="A366" s="176"/>
      <c r="B366" s="176"/>
      <c r="C366" s="176"/>
      <c r="D366" s="152"/>
      <c r="E366" s="152"/>
      <c r="F366" s="152"/>
      <c r="G366" s="152"/>
      <c r="H366" s="152"/>
      <c r="I366" s="152"/>
      <c r="J366" s="152"/>
      <c r="K366" s="152"/>
      <c r="L366" s="152"/>
      <c r="M366" s="152"/>
      <c r="N366" s="152"/>
      <c r="O366" s="152"/>
      <c r="P366" s="152"/>
      <c r="Q366" s="152"/>
      <c r="R366" s="152"/>
      <c r="S366" s="152"/>
      <c r="T366" s="152"/>
      <c r="U366" s="152"/>
      <c r="V366" s="152"/>
      <c r="W366" s="152"/>
      <c r="X366" s="152"/>
      <c r="Y366" s="152"/>
      <c r="Z366" s="152"/>
    </row>
    <row r="367" ht="12.8" customHeight="1" spans="1:26">
      <c r="A367" s="176"/>
      <c r="B367" s="176"/>
      <c r="C367" s="176"/>
      <c r="D367" s="152"/>
      <c r="E367" s="152"/>
      <c r="F367" s="152"/>
      <c r="G367" s="152"/>
      <c r="H367" s="152"/>
      <c r="I367" s="152"/>
      <c r="J367" s="152"/>
      <c r="K367" s="152"/>
      <c r="L367" s="152"/>
      <c r="M367" s="152"/>
      <c r="N367" s="152"/>
      <c r="O367" s="152"/>
      <c r="P367" s="152"/>
      <c r="Q367" s="152"/>
      <c r="R367" s="152"/>
      <c r="S367" s="152"/>
      <c r="T367" s="152"/>
      <c r="U367" s="152"/>
      <c r="V367" s="152"/>
      <c r="W367" s="152"/>
      <c r="X367" s="152"/>
      <c r="Y367" s="152"/>
      <c r="Z367" s="152"/>
    </row>
    <row r="368" ht="12.8" customHeight="1" spans="1:26">
      <c r="A368" s="176"/>
      <c r="B368" s="176"/>
      <c r="C368" s="176"/>
      <c r="D368" s="152"/>
      <c r="E368" s="152"/>
      <c r="F368" s="152"/>
      <c r="G368" s="152"/>
      <c r="H368" s="152"/>
      <c r="I368" s="152"/>
      <c r="J368" s="152"/>
      <c r="K368" s="152"/>
      <c r="L368" s="152"/>
      <c r="M368" s="152"/>
      <c r="N368" s="152"/>
      <c r="O368" s="152"/>
      <c r="P368" s="152"/>
      <c r="Q368" s="152"/>
      <c r="R368" s="152"/>
      <c r="S368" s="152"/>
      <c r="T368" s="152"/>
      <c r="U368" s="152"/>
      <c r="V368" s="152"/>
      <c r="W368" s="152"/>
      <c r="X368" s="152"/>
      <c r="Y368" s="152"/>
      <c r="Z368" s="152"/>
    </row>
    <row r="369" ht="12.8" customHeight="1" spans="1:26">
      <c r="A369" s="176"/>
      <c r="B369" s="176"/>
      <c r="C369" s="176"/>
      <c r="D369" s="152"/>
      <c r="E369" s="152"/>
      <c r="F369" s="152"/>
      <c r="G369" s="152"/>
      <c r="H369" s="152"/>
      <c r="I369" s="152"/>
      <c r="J369" s="152"/>
      <c r="K369" s="152"/>
      <c r="L369" s="152"/>
      <c r="M369" s="152"/>
      <c r="N369" s="152"/>
      <c r="O369" s="152"/>
      <c r="P369" s="152"/>
      <c r="Q369" s="152"/>
      <c r="R369" s="152"/>
      <c r="S369" s="152"/>
      <c r="T369" s="152"/>
      <c r="U369" s="152"/>
      <c r="V369" s="152"/>
      <c r="W369" s="152"/>
      <c r="X369" s="152"/>
      <c r="Y369" s="152"/>
      <c r="Z369" s="152"/>
    </row>
    <row r="370" ht="12.8" customHeight="1" spans="1:26">
      <c r="A370" s="176"/>
      <c r="B370" s="176"/>
      <c r="C370" s="176"/>
      <c r="D370" s="152"/>
      <c r="E370" s="152"/>
      <c r="F370" s="152"/>
      <c r="G370" s="152"/>
      <c r="H370" s="152"/>
      <c r="I370" s="152"/>
      <c r="J370" s="152"/>
      <c r="K370" s="152"/>
      <c r="L370" s="152"/>
      <c r="M370" s="152"/>
      <c r="N370" s="152"/>
      <c r="O370" s="152"/>
      <c r="P370" s="152"/>
      <c r="Q370" s="152"/>
      <c r="R370" s="152"/>
      <c r="S370" s="152"/>
      <c r="T370" s="152"/>
      <c r="U370" s="152"/>
      <c r="V370" s="152"/>
      <c r="W370" s="152"/>
      <c r="X370" s="152"/>
      <c r="Y370" s="152"/>
      <c r="Z370" s="152"/>
    </row>
    <row r="371" ht="12.8" customHeight="1" spans="1:26">
      <c r="A371" s="176"/>
      <c r="B371" s="176"/>
      <c r="C371" s="176"/>
      <c r="D371" s="152"/>
      <c r="E371" s="152"/>
      <c r="F371" s="152"/>
      <c r="G371" s="152"/>
      <c r="H371" s="152"/>
      <c r="I371" s="152"/>
      <c r="J371" s="152"/>
      <c r="K371" s="152"/>
      <c r="L371" s="152"/>
      <c r="M371" s="152"/>
      <c r="N371" s="152"/>
      <c r="O371" s="152"/>
      <c r="P371" s="152"/>
      <c r="Q371" s="152"/>
      <c r="R371" s="152"/>
      <c r="S371" s="152"/>
      <c r="T371" s="152"/>
      <c r="U371" s="152"/>
      <c r="V371" s="152"/>
      <c r="W371" s="152"/>
      <c r="X371" s="152"/>
      <c r="Y371" s="152"/>
      <c r="Z371" s="152"/>
    </row>
    <row r="372" ht="12.8" customHeight="1" spans="1:26">
      <c r="A372" s="176"/>
      <c r="B372" s="176"/>
      <c r="C372" s="176"/>
      <c r="D372" s="152"/>
      <c r="E372" s="152"/>
      <c r="F372" s="152"/>
      <c r="G372" s="152"/>
      <c r="H372" s="152"/>
      <c r="I372" s="152"/>
      <c r="J372" s="152"/>
      <c r="K372" s="152"/>
      <c r="L372" s="152"/>
      <c r="M372" s="152"/>
      <c r="N372" s="152"/>
      <c r="O372" s="152"/>
      <c r="P372" s="152"/>
      <c r="Q372" s="152"/>
      <c r="R372" s="152"/>
      <c r="S372" s="152"/>
      <c r="T372" s="152"/>
      <c r="U372" s="152"/>
      <c r="V372" s="152"/>
      <c r="W372" s="152"/>
      <c r="X372" s="152"/>
      <c r="Y372" s="152"/>
      <c r="Z372" s="152"/>
    </row>
    <row r="373" ht="12.8" customHeight="1" spans="1:26">
      <c r="A373" s="176"/>
      <c r="B373" s="176"/>
      <c r="C373" s="176"/>
      <c r="D373" s="152"/>
      <c r="E373" s="152"/>
      <c r="F373" s="152"/>
      <c r="G373" s="152"/>
      <c r="H373" s="152"/>
      <c r="I373" s="152"/>
      <c r="J373" s="152"/>
      <c r="K373" s="152"/>
      <c r="L373" s="152"/>
      <c r="M373" s="152"/>
      <c r="N373" s="152"/>
      <c r="O373" s="152"/>
      <c r="P373" s="152"/>
      <c r="Q373" s="152"/>
      <c r="R373" s="152"/>
      <c r="S373" s="152"/>
      <c r="T373" s="152"/>
      <c r="U373" s="152"/>
      <c r="V373" s="152"/>
      <c r="W373" s="152"/>
      <c r="X373" s="152"/>
      <c r="Y373" s="152"/>
      <c r="Z373" s="152"/>
    </row>
    <row r="374" ht="12.8" customHeight="1" spans="1:26">
      <c r="A374" s="176"/>
      <c r="B374" s="176"/>
      <c r="C374" s="176"/>
      <c r="D374" s="152"/>
      <c r="E374" s="152"/>
      <c r="F374" s="152"/>
      <c r="G374" s="152"/>
      <c r="H374" s="152"/>
      <c r="I374" s="152"/>
      <c r="J374" s="152"/>
      <c r="K374" s="152"/>
      <c r="L374" s="152"/>
      <c r="M374" s="152"/>
      <c r="N374" s="152"/>
      <c r="O374" s="152"/>
      <c r="P374" s="152"/>
      <c r="Q374" s="152"/>
      <c r="R374" s="152"/>
      <c r="S374" s="152"/>
      <c r="T374" s="152"/>
      <c r="U374" s="152"/>
      <c r="V374" s="152"/>
      <c r="W374" s="152"/>
      <c r="X374" s="152"/>
      <c r="Y374" s="152"/>
      <c r="Z374" s="152"/>
    </row>
    <row r="375" ht="12.8" customHeight="1" spans="1:26">
      <c r="A375" s="176"/>
      <c r="B375" s="176"/>
      <c r="C375" s="176"/>
      <c r="D375" s="152"/>
      <c r="E375" s="152"/>
      <c r="F375" s="152"/>
      <c r="G375" s="152"/>
      <c r="H375" s="152"/>
      <c r="I375" s="152"/>
      <c r="J375" s="152"/>
      <c r="K375" s="152"/>
      <c r="L375" s="152"/>
      <c r="M375" s="152"/>
      <c r="N375" s="152"/>
      <c r="O375" s="152"/>
      <c r="P375" s="152"/>
      <c r="Q375" s="152"/>
      <c r="R375" s="152"/>
      <c r="S375" s="152"/>
      <c r="T375" s="152"/>
      <c r="U375" s="152"/>
      <c r="V375" s="152"/>
      <c r="W375" s="152"/>
      <c r="X375" s="152"/>
      <c r="Y375" s="152"/>
      <c r="Z375" s="152"/>
    </row>
    <row r="376" ht="12.8" customHeight="1" spans="1:26">
      <c r="A376" s="176"/>
      <c r="B376" s="176"/>
      <c r="C376" s="176"/>
      <c r="D376" s="152"/>
      <c r="E376" s="152"/>
      <c r="F376" s="152"/>
      <c r="G376" s="152"/>
      <c r="H376" s="152"/>
      <c r="I376" s="152"/>
      <c r="J376" s="152"/>
      <c r="K376" s="152"/>
      <c r="L376" s="152"/>
      <c r="M376" s="152"/>
      <c r="N376" s="152"/>
      <c r="O376" s="152"/>
      <c r="P376" s="152"/>
      <c r="Q376" s="152"/>
      <c r="R376" s="152"/>
      <c r="S376" s="152"/>
      <c r="T376" s="152"/>
      <c r="U376" s="152"/>
      <c r="V376" s="152"/>
      <c r="W376" s="152"/>
      <c r="X376" s="152"/>
      <c r="Y376" s="152"/>
      <c r="Z376" s="152"/>
    </row>
    <row r="377" ht="12.8" customHeight="1" spans="1:26">
      <c r="A377" s="176"/>
      <c r="B377" s="176"/>
      <c r="C377" s="176"/>
      <c r="D377" s="152"/>
      <c r="E377" s="152"/>
      <c r="F377" s="152"/>
      <c r="G377" s="152"/>
      <c r="H377" s="152"/>
      <c r="I377" s="152"/>
      <c r="J377" s="152"/>
      <c r="K377" s="152"/>
      <c r="L377" s="152"/>
      <c r="M377" s="152"/>
      <c r="N377" s="152"/>
      <c r="O377" s="152"/>
      <c r="P377" s="152"/>
      <c r="Q377" s="152"/>
      <c r="R377" s="152"/>
      <c r="S377" s="152"/>
      <c r="T377" s="152"/>
      <c r="U377" s="152"/>
      <c r="V377" s="152"/>
      <c r="W377" s="152"/>
      <c r="X377" s="152"/>
      <c r="Y377" s="152"/>
      <c r="Z377" s="152"/>
    </row>
    <row r="378" ht="12.8" customHeight="1" spans="1:26">
      <c r="A378" s="176"/>
      <c r="B378" s="176"/>
      <c r="C378" s="176"/>
      <c r="D378" s="152"/>
      <c r="E378" s="152"/>
      <c r="F378" s="152"/>
      <c r="G378" s="152"/>
      <c r="H378" s="152"/>
      <c r="I378" s="152"/>
      <c r="J378" s="152"/>
      <c r="K378" s="152"/>
      <c r="L378" s="152"/>
      <c r="M378" s="152"/>
      <c r="N378" s="152"/>
      <c r="O378" s="152"/>
      <c r="P378" s="152"/>
      <c r="Q378" s="152"/>
      <c r="R378" s="152"/>
      <c r="S378" s="152"/>
      <c r="T378" s="152"/>
      <c r="U378" s="152"/>
      <c r="V378" s="152"/>
      <c r="W378" s="152"/>
      <c r="X378" s="152"/>
      <c r="Y378" s="152"/>
      <c r="Z378" s="152"/>
    </row>
    <row r="379" ht="12.8" customHeight="1" spans="1:26">
      <c r="A379" s="176"/>
      <c r="B379" s="176"/>
      <c r="C379" s="176"/>
      <c r="D379" s="152"/>
      <c r="E379" s="152"/>
      <c r="F379" s="152"/>
      <c r="G379" s="152"/>
      <c r="H379" s="152"/>
      <c r="I379" s="152"/>
      <c r="J379" s="152"/>
      <c r="K379" s="152"/>
      <c r="L379" s="152"/>
      <c r="M379" s="152"/>
      <c r="N379" s="152"/>
      <c r="O379" s="152"/>
      <c r="P379" s="152"/>
      <c r="Q379" s="152"/>
      <c r="R379" s="152"/>
      <c r="S379" s="152"/>
      <c r="T379" s="152"/>
      <c r="U379" s="152"/>
      <c r="V379" s="152"/>
      <c r="W379" s="152"/>
      <c r="X379" s="152"/>
      <c r="Y379" s="152"/>
      <c r="Z379" s="152"/>
    </row>
    <row r="380" ht="12.8" customHeight="1" spans="1:26">
      <c r="A380" s="176"/>
      <c r="B380" s="176"/>
      <c r="C380" s="176"/>
      <c r="D380" s="152"/>
      <c r="E380" s="152"/>
      <c r="F380" s="152"/>
      <c r="G380" s="152"/>
      <c r="H380" s="152"/>
      <c r="I380" s="152"/>
      <c r="J380" s="152"/>
      <c r="K380" s="152"/>
      <c r="L380" s="152"/>
      <c r="M380" s="152"/>
      <c r="N380" s="152"/>
      <c r="O380" s="152"/>
      <c r="P380" s="152"/>
      <c r="Q380" s="152"/>
      <c r="R380" s="152"/>
      <c r="S380" s="152"/>
      <c r="T380" s="152"/>
      <c r="U380" s="152"/>
      <c r="V380" s="152"/>
      <c r="W380" s="152"/>
      <c r="X380" s="152"/>
      <c r="Y380" s="152"/>
      <c r="Z380" s="152"/>
    </row>
    <row r="381" ht="12.8" customHeight="1" spans="1:26">
      <c r="A381" s="176"/>
      <c r="B381" s="176"/>
      <c r="C381" s="176"/>
      <c r="D381" s="152"/>
      <c r="E381" s="152"/>
      <c r="F381" s="152"/>
      <c r="G381" s="152"/>
      <c r="H381" s="152"/>
      <c r="I381" s="152"/>
      <c r="J381" s="152"/>
      <c r="K381" s="152"/>
      <c r="L381" s="152"/>
      <c r="M381" s="152"/>
      <c r="N381" s="152"/>
      <c r="O381" s="152"/>
      <c r="P381" s="152"/>
      <c r="Q381" s="152"/>
      <c r="R381" s="152"/>
      <c r="S381" s="152"/>
      <c r="T381" s="152"/>
      <c r="U381" s="152"/>
      <c r="V381" s="152"/>
      <c r="W381" s="152"/>
      <c r="X381" s="152"/>
      <c r="Y381" s="152"/>
      <c r="Z381" s="152"/>
    </row>
    <row r="382" ht="12.8" customHeight="1" spans="1:26">
      <c r="A382" s="176"/>
      <c r="B382" s="176"/>
      <c r="C382" s="176"/>
      <c r="D382" s="152"/>
      <c r="E382" s="152"/>
      <c r="F382" s="152"/>
      <c r="G382" s="152"/>
      <c r="H382" s="152"/>
      <c r="I382" s="152"/>
      <c r="J382" s="152"/>
      <c r="K382" s="152"/>
      <c r="L382" s="152"/>
      <c r="M382" s="152"/>
      <c r="N382" s="152"/>
      <c r="O382" s="152"/>
      <c r="P382" s="152"/>
      <c r="Q382" s="152"/>
      <c r="R382" s="152"/>
      <c r="S382" s="152"/>
      <c r="T382" s="152"/>
      <c r="U382" s="152"/>
      <c r="V382" s="152"/>
      <c r="W382" s="152"/>
      <c r="X382" s="152"/>
      <c r="Y382" s="152"/>
      <c r="Z382" s="152"/>
    </row>
    <row r="383" ht="12.8" customHeight="1" spans="1:26">
      <c r="A383" s="176"/>
      <c r="B383" s="176"/>
      <c r="C383" s="176"/>
      <c r="D383" s="152"/>
      <c r="E383" s="152"/>
      <c r="F383" s="152"/>
      <c r="G383" s="152"/>
      <c r="H383" s="152"/>
      <c r="I383" s="152"/>
      <c r="J383" s="152"/>
      <c r="K383" s="152"/>
      <c r="L383" s="152"/>
      <c r="M383" s="152"/>
      <c r="N383" s="152"/>
      <c r="O383" s="152"/>
      <c r="P383" s="152"/>
      <c r="Q383" s="152"/>
      <c r="R383" s="152"/>
      <c r="S383" s="152"/>
      <c r="T383" s="152"/>
      <c r="U383" s="152"/>
      <c r="V383" s="152"/>
      <c r="W383" s="152"/>
      <c r="X383" s="152"/>
      <c r="Y383" s="152"/>
      <c r="Z383" s="152"/>
    </row>
    <row r="384" ht="12.8" customHeight="1" spans="1:26">
      <c r="A384" s="176"/>
      <c r="B384" s="176"/>
      <c r="C384" s="176"/>
      <c r="D384" s="152"/>
      <c r="E384" s="152"/>
      <c r="F384" s="152"/>
      <c r="G384" s="152"/>
      <c r="H384" s="152"/>
      <c r="I384" s="152"/>
      <c r="J384" s="152"/>
      <c r="K384" s="152"/>
      <c r="L384" s="152"/>
      <c r="M384" s="152"/>
      <c r="N384" s="152"/>
      <c r="O384" s="152"/>
      <c r="P384" s="152"/>
      <c r="Q384" s="152"/>
      <c r="R384" s="152"/>
      <c r="S384" s="152"/>
      <c r="T384" s="152"/>
      <c r="U384" s="152"/>
      <c r="V384" s="152"/>
      <c r="W384" s="152"/>
      <c r="X384" s="152"/>
      <c r="Y384" s="152"/>
      <c r="Z384" s="152"/>
    </row>
    <row r="385" ht="12.8" customHeight="1" spans="1:26">
      <c r="A385" s="176"/>
      <c r="B385" s="176"/>
      <c r="C385" s="176"/>
      <c r="D385" s="152"/>
      <c r="E385" s="152"/>
      <c r="F385" s="152"/>
      <c r="G385" s="152"/>
      <c r="H385" s="152"/>
      <c r="I385" s="152"/>
      <c r="J385" s="152"/>
      <c r="K385" s="152"/>
      <c r="L385" s="152"/>
      <c r="M385" s="152"/>
      <c r="N385" s="152"/>
      <c r="O385" s="152"/>
      <c r="P385" s="152"/>
      <c r="Q385" s="152"/>
      <c r="R385" s="152"/>
      <c r="S385" s="152"/>
      <c r="T385" s="152"/>
      <c r="U385" s="152"/>
      <c r="V385" s="152"/>
      <c r="W385" s="152"/>
      <c r="X385" s="152"/>
      <c r="Y385" s="152"/>
      <c r="Z385" s="152"/>
    </row>
    <row r="386" ht="12.8" customHeight="1" spans="1:26">
      <c r="A386" s="176"/>
      <c r="B386" s="176"/>
      <c r="C386" s="176"/>
      <c r="D386" s="152"/>
      <c r="E386" s="152"/>
      <c r="F386" s="152"/>
      <c r="G386" s="152"/>
      <c r="H386" s="152"/>
      <c r="I386" s="152"/>
      <c r="J386" s="152"/>
      <c r="K386" s="152"/>
      <c r="L386" s="152"/>
      <c r="M386" s="152"/>
      <c r="N386" s="152"/>
      <c r="O386" s="152"/>
      <c r="P386" s="152"/>
      <c r="Q386" s="152"/>
      <c r="R386" s="152"/>
      <c r="S386" s="152"/>
      <c r="T386" s="152"/>
      <c r="U386" s="152"/>
      <c r="V386" s="152"/>
      <c r="W386" s="152"/>
      <c r="X386" s="152"/>
      <c r="Y386" s="152"/>
      <c r="Z386" s="152"/>
    </row>
    <row r="387" ht="12.8" customHeight="1" spans="1:26">
      <c r="A387" s="176"/>
      <c r="B387" s="176"/>
      <c r="C387" s="176"/>
      <c r="D387" s="152"/>
      <c r="E387" s="152"/>
      <c r="F387" s="152"/>
      <c r="G387" s="152"/>
      <c r="H387" s="152"/>
      <c r="I387" s="152"/>
      <c r="J387" s="152"/>
      <c r="K387" s="152"/>
      <c r="L387" s="152"/>
      <c r="M387" s="152"/>
      <c r="N387" s="152"/>
      <c r="O387" s="152"/>
      <c r="P387" s="152"/>
      <c r="Q387" s="152"/>
      <c r="R387" s="152"/>
      <c r="S387" s="152"/>
      <c r="T387" s="152"/>
      <c r="U387" s="152"/>
      <c r="V387" s="152"/>
      <c r="W387" s="152"/>
      <c r="X387" s="152"/>
      <c r="Y387" s="152"/>
      <c r="Z387" s="152"/>
    </row>
    <row r="388" ht="12.8" customHeight="1" spans="1:26">
      <c r="A388" s="176"/>
      <c r="B388" s="176"/>
      <c r="C388" s="176"/>
      <c r="D388" s="152"/>
      <c r="E388" s="152"/>
      <c r="F388" s="152"/>
      <c r="G388" s="152"/>
      <c r="H388" s="152"/>
      <c r="I388" s="152"/>
      <c r="J388" s="152"/>
      <c r="K388" s="152"/>
      <c r="L388" s="152"/>
      <c r="M388" s="152"/>
      <c r="N388" s="152"/>
      <c r="O388" s="152"/>
      <c r="P388" s="152"/>
      <c r="Q388" s="152"/>
      <c r="R388" s="152"/>
      <c r="S388" s="152"/>
      <c r="T388" s="152"/>
      <c r="U388" s="152"/>
      <c r="V388" s="152"/>
      <c r="W388" s="152"/>
      <c r="X388" s="152"/>
      <c r="Y388" s="152"/>
      <c r="Z388" s="152"/>
    </row>
    <row r="389" ht="12.8" customHeight="1" spans="1:26">
      <c r="A389" s="176"/>
      <c r="B389" s="176"/>
      <c r="C389" s="176"/>
      <c r="D389" s="152"/>
      <c r="E389" s="152"/>
      <c r="F389" s="152"/>
      <c r="G389" s="152"/>
      <c r="H389" s="152"/>
      <c r="I389" s="152"/>
      <c r="J389" s="152"/>
      <c r="K389" s="152"/>
      <c r="L389" s="152"/>
      <c r="M389" s="152"/>
      <c r="N389" s="152"/>
      <c r="O389" s="152"/>
      <c r="P389" s="152"/>
      <c r="Q389" s="152"/>
      <c r="R389" s="152"/>
      <c r="S389" s="152"/>
      <c r="T389" s="152"/>
      <c r="U389" s="152"/>
      <c r="V389" s="152"/>
      <c r="W389" s="152"/>
      <c r="X389" s="152"/>
      <c r="Y389" s="152"/>
      <c r="Z389" s="152"/>
    </row>
    <row r="390" ht="12.8" customHeight="1" spans="1:26">
      <c r="A390" s="176"/>
      <c r="B390" s="176"/>
      <c r="C390" s="176"/>
      <c r="D390" s="152"/>
      <c r="E390" s="152"/>
      <c r="F390" s="152"/>
      <c r="G390" s="152"/>
      <c r="H390" s="152"/>
      <c r="I390" s="152"/>
      <c r="J390" s="152"/>
      <c r="K390" s="152"/>
      <c r="L390" s="152"/>
      <c r="M390" s="152"/>
      <c r="N390" s="152"/>
      <c r="O390" s="152"/>
      <c r="P390" s="152"/>
      <c r="Q390" s="152"/>
      <c r="R390" s="152"/>
      <c r="S390" s="152"/>
      <c r="T390" s="152"/>
      <c r="U390" s="152"/>
      <c r="V390" s="152"/>
      <c r="W390" s="152"/>
      <c r="X390" s="152"/>
      <c r="Y390" s="152"/>
      <c r="Z390" s="152"/>
    </row>
    <row r="391" ht="12.8" customHeight="1" spans="1:26">
      <c r="A391" s="176"/>
      <c r="B391" s="176"/>
      <c r="C391" s="176"/>
      <c r="D391" s="152"/>
      <c r="E391" s="152"/>
      <c r="F391" s="152"/>
      <c r="G391" s="152"/>
      <c r="H391" s="152"/>
      <c r="I391" s="152"/>
      <c r="J391" s="152"/>
      <c r="K391" s="152"/>
      <c r="L391" s="152"/>
      <c r="M391" s="152"/>
      <c r="N391" s="152"/>
      <c r="O391" s="152"/>
      <c r="P391" s="152"/>
      <c r="Q391" s="152"/>
      <c r="R391" s="152"/>
      <c r="S391" s="152"/>
      <c r="T391" s="152"/>
      <c r="U391" s="152"/>
      <c r="V391" s="152"/>
      <c r="W391" s="152"/>
      <c r="X391" s="152"/>
      <c r="Y391" s="152"/>
      <c r="Z391" s="152"/>
    </row>
    <row r="392" ht="12.8" customHeight="1" spans="1:26">
      <c r="A392" s="176"/>
      <c r="B392" s="176"/>
      <c r="C392" s="176"/>
      <c r="D392" s="152"/>
      <c r="E392" s="152"/>
      <c r="F392" s="152"/>
      <c r="G392" s="152"/>
      <c r="H392" s="152"/>
      <c r="I392" s="152"/>
      <c r="J392" s="152"/>
      <c r="K392" s="152"/>
      <c r="L392" s="152"/>
      <c r="M392" s="152"/>
      <c r="N392" s="152"/>
      <c r="O392" s="152"/>
      <c r="P392" s="152"/>
      <c r="Q392" s="152"/>
      <c r="R392" s="152"/>
      <c r="S392" s="152"/>
      <c r="T392" s="152"/>
      <c r="U392" s="152"/>
      <c r="V392" s="152"/>
      <c r="W392" s="152"/>
      <c r="X392" s="152"/>
      <c r="Y392" s="152"/>
      <c r="Z392" s="152"/>
    </row>
    <row r="393" ht="12.8" customHeight="1" spans="1:26">
      <c r="A393" s="176"/>
      <c r="B393" s="176"/>
      <c r="C393" s="176"/>
      <c r="D393" s="152"/>
      <c r="E393" s="152"/>
      <c r="F393" s="152"/>
      <c r="G393" s="152"/>
      <c r="H393" s="152"/>
      <c r="I393" s="152"/>
      <c r="J393" s="152"/>
      <c r="K393" s="152"/>
      <c r="L393" s="152"/>
      <c r="M393" s="152"/>
      <c r="N393" s="152"/>
      <c r="O393" s="152"/>
      <c r="P393" s="152"/>
      <c r="Q393" s="152"/>
      <c r="R393" s="152"/>
      <c r="S393" s="152"/>
      <c r="T393" s="152"/>
      <c r="U393" s="152"/>
      <c r="V393" s="152"/>
      <c r="W393" s="152"/>
      <c r="X393" s="152"/>
      <c r="Y393" s="152"/>
      <c r="Z393" s="152"/>
    </row>
    <row r="394" ht="12.8" customHeight="1" spans="1:26">
      <c r="A394" s="176"/>
      <c r="B394" s="176"/>
      <c r="C394" s="176"/>
      <c r="D394" s="152"/>
      <c r="E394" s="152"/>
      <c r="F394" s="152"/>
      <c r="G394" s="152"/>
      <c r="H394" s="152"/>
      <c r="I394" s="152"/>
      <c r="J394" s="152"/>
      <c r="K394" s="152"/>
      <c r="L394" s="152"/>
      <c r="M394" s="152"/>
      <c r="N394" s="152"/>
      <c r="O394" s="152"/>
      <c r="P394" s="152"/>
      <c r="Q394" s="152"/>
      <c r="R394" s="152"/>
      <c r="S394" s="152"/>
      <c r="T394" s="152"/>
      <c r="U394" s="152"/>
      <c r="V394" s="152"/>
      <c r="W394" s="152"/>
      <c r="X394" s="152"/>
      <c r="Y394" s="152"/>
      <c r="Z394" s="152"/>
    </row>
    <row r="395" ht="12.8" customHeight="1" spans="1:26">
      <c r="A395" s="176"/>
      <c r="B395" s="176"/>
      <c r="C395" s="176"/>
      <c r="D395" s="152"/>
      <c r="E395" s="152"/>
      <c r="F395" s="152"/>
      <c r="G395" s="152"/>
      <c r="H395" s="152"/>
      <c r="I395" s="152"/>
      <c r="J395" s="152"/>
      <c r="K395" s="152"/>
      <c r="L395" s="152"/>
      <c r="M395" s="152"/>
      <c r="N395" s="152"/>
      <c r="O395" s="152"/>
      <c r="P395" s="152"/>
      <c r="Q395" s="152"/>
      <c r="R395" s="152"/>
      <c r="S395" s="152"/>
      <c r="T395" s="152"/>
      <c r="U395" s="152"/>
      <c r="V395" s="152"/>
      <c r="W395" s="152"/>
      <c r="X395" s="152"/>
      <c r="Y395" s="152"/>
      <c r="Z395" s="152"/>
    </row>
    <row r="396" ht="12.8" customHeight="1" spans="1:26">
      <c r="A396" s="176"/>
      <c r="B396" s="176"/>
      <c r="C396" s="176"/>
      <c r="D396" s="152"/>
      <c r="E396" s="152"/>
      <c r="F396" s="152"/>
      <c r="G396" s="152"/>
      <c r="H396" s="152"/>
      <c r="I396" s="152"/>
      <c r="J396" s="152"/>
      <c r="K396" s="152"/>
      <c r="L396" s="152"/>
      <c r="M396" s="152"/>
      <c r="N396" s="152"/>
      <c r="O396" s="152"/>
      <c r="P396" s="152"/>
      <c r="Q396" s="152"/>
      <c r="R396" s="152"/>
      <c r="S396" s="152"/>
      <c r="T396" s="152"/>
      <c r="U396" s="152"/>
      <c r="V396" s="152"/>
      <c r="W396" s="152"/>
      <c r="X396" s="152"/>
      <c r="Y396" s="152"/>
      <c r="Z396" s="152"/>
    </row>
    <row r="397" ht="12.8" customHeight="1" spans="1:26">
      <c r="A397" s="176"/>
      <c r="B397" s="176"/>
      <c r="C397" s="176"/>
      <c r="D397" s="152"/>
      <c r="E397" s="152"/>
      <c r="F397" s="152"/>
      <c r="G397" s="152"/>
      <c r="H397" s="152"/>
      <c r="I397" s="152"/>
      <c r="J397" s="152"/>
      <c r="K397" s="152"/>
      <c r="L397" s="152"/>
      <c r="M397" s="152"/>
      <c r="N397" s="152"/>
      <c r="O397" s="152"/>
      <c r="P397" s="152"/>
      <c r="Q397" s="152"/>
      <c r="R397" s="152"/>
      <c r="S397" s="152"/>
      <c r="T397" s="152"/>
      <c r="U397" s="152"/>
      <c r="V397" s="152"/>
      <c r="W397" s="152"/>
      <c r="X397" s="152"/>
      <c r="Y397" s="152"/>
      <c r="Z397" s="152"/>
    </row>
    <row r="398" ht="12.8" customHeight="1" spans="1:26">
      <c r="A398" s="176"/>
      <c r="B398" s="176"/>
      <c r="C398" s="176"/>
      <c r="D398" s="152"/>
      <c r="E398" s="152"/>
      <c r="F398" s="152"/>
      <c r="G398" s="152"/>
      <c r="H398" s="152"/>
      <c r="I398" s="152"/>
      <c r="J398" s="152"/>
      <c r="K398" s="152"/>
      <c r="L398" s="152"/>
      <c r="M398" s="152"/>
      <c r="N398" s="152"/>
      <c r="O398" s="152"/>
      <c r="P398" s="152"/>
      <c r="Q398" s="152"/>
      <c r="R398" s="152"/>
      <c r="S398" s="152"/>
      <c r="T398" s="152"/>
      <c r="U398" s="152"/>
      <c r="V398" s="152"/>
      <c r="W398" s="152"/>
      <c r="X398" s="152"/>
      <c r="Y398" s="152"/>
      <c r="Z398" s="152"/>
    </row>
    <row r="399" ht="12.8" customHeight="1" spans="1:26">
      <c r="A399" s="176"/>
      <c r="B399" s="176"/>
      <c r="C399" s="176"/>
      <c r="D399" s="152"/>
      <c r="E399" s="152"/>
      <c r="F399" s="152"/>
      <c r="G399" s="152"/>
      <c r="H399" s="152"/>
      <c r="I399" s="152"/>
      <c r="J399" s="152"/>
      <c r="K399" s="152"/>
      <c r="L399" s="152"/>
      <c r="M399" s="152"/>
      <c r="N399" s="152"/>
      <c r="O399" s="152"/>
      <c r="P399" s="152"/>
      <c r="Q399" s="152"/>
      <c r="R399" s="152"/>
      <c r="S399" s="152"/>
      <c r="T399" s="152"/>
      <c r="U399" s="152"/>
      <c r="V399" s="152"/>
      <c r="W399" s="152"/>
      <c r="X399" s="152"/>
      <c r="Y399" s="152"/>
      <c r="Z399" s="152"/>
    </row>
    <row r="400" ht="12.8" customHeight="1" spans="1:26">
      <c r="A400" s="176"/>
      <c r="B400" s="176"/>
      <c r="C400" s="176"/>
      <c r="D400" s="152"/>
      <c r="E400" s="152"/>
      <c r="F400" s="152"/>
      <c r="G400" s="152"/>
      <c r="H400" s="152"/>
      <c r="I400" s="152"/>
      <c r="J400" s="152"/>
      <c r="K400" s="152"/>
      <c r="L400" s="152"/>
      <c r="M400" s="152"/>
      <c r="N400" s="152"/>
      <c r="O400" s="152"/>
      <c r="P400" s="152"/>
      <c r="Q400" s="152"/>
      <c r="R400" s="152"/>
      <c r="S400" s="152"/>
      <c r="T400" s="152"/>
      <c r="U400" s="152"/>
      <c r="V400" s="152"/>
      <c r="W400" s="152"/>
      <c r="X400" s="152"/>
      <c r="Y400" s="152"/>
      <c r="Z400" s="152"/>
    </row>
    <row r="401" ht="12.8" customHeight="1" spans="1:26">
      <c r="A401" s="176"/>
      <c r="B401" s="176"/>
      <c r="C401" s="176"/>
      <c r="D401" s="152"/>
      <c r="E401" s="152"/>
      <c r="F401" s="152"/>
      <c r="G401" s="152"/>
      <c r="H401" s="152"/>
      <c r="I401" s="152"/>
      <c r="J401" s="152"/>
      <c r="K401" s="152"/>
      <c r="L401" s="152"/>
      <c r="M401" s="152"/>
      <c r="N401" s="152"/>
      <c r="O401" s="152"/>
      <c r="P401" s="152"/>
      <c r="Q401" s="152"/>
      <c r="R401" s="152"/>
      <c r="S401" s="152"/>
      <c r="T401" s="152"/>
      <c r="U401" s="152"/>
      <c r="V401" s="152"/>
      <c r="W401" s="152"/>
      <c r="X401" s="152"/>
      <c r="Y401" s="152"/>
      <c r="Z401" s="152"/>
    </row>
    <row r="402" ht="12.8" customHeight="1" spans="1:26">
      <c r="A402" s="176"/>
      <c r="B402" s="176"/>
      <c r="C402" s="176"/>
      <c r="D402" s="152"/>
      <c r="E402" s="152"/>
      <c r="F402" s="152"/>
      <c r="G402" s="152"/>
      <c r="H402" s="152"/>
      <c r="I402" s="152"/>
      <c r="J402" s="152"/>
      <c r="K402" s="152"/>
      <c r="L402" s="152"/>
      <c r="M402" s="152"/>
      <c r="N402" s="152"/>
      <c r="O402" s="152"/>
      <c r="P402" s="152"/>
      <c r="Q402" s="152"/>
      <c r="R402" s="152"/>
      <c r="S402" s="152"/>
      <c r="T402" s="152"/>
      <c r="U402" s="152"/>
      <c r="V402" s="152"/>
      <c r="W402" s="152"/>
      <c r="X402" s="152"/>
      <c r="Y402" s="152"/>
      <c r="Z402" s="152"/>
    </row>
    <row r="403" ht="12.8" customHeight="1" spans="1:26">
      <c r="A403" s="176"/>
      <c r="B403" s="176"/>
      <c r="C403" s="176"/>
      <c r="D403" s="152"/>
      <c r="E403" s="152"/>
      <c r="F403" s="152"/>
      <c r="G403" s="152"/>
      <c r="H403" s="152"/>
      <c r="I403" s="152"/>
      <c r="J403" s="152"/>
      <c r="K403" s="152"/>
      <c r="L403" s="152"/>
      <c r="M403" s="152"/>
      <c r="N403" s="152"/>
      <c r="O403" s="152"/>
      <c r="P403" s="152"/>
      <c r="Q403" s="152"/>
      <c r="R403" s="152"/>
      <c r="S403" s="152"/>
      <c r="T403" s="152"/>
      <c r="U403" s="152"/>
      <c r="V403" s="152"/>
      <c r="W403" s="152"/>
      <c r="X403" s="152"/>
      <c r="Y403" s="152"/>
      <c r="Z403" s="152"/>
    </row>
    <row r="404" ht="12.8" customHeight="1" spans="1:26">
      <c r="A404" s="176"/>
      <c r="B404" s="176"/>
      <c r="C404" s="176"/>
      <c r="D404" s="152"/>
      <c r="E404" s="152"/>
      <c r="F404" s="152"/>
      <c r="G404" s="152"/>
      <c r="H404" s="152"/>
      <c r="I404" s="152"/>
      <c r="J404" s="152"/>
      <c r="K404" s="152"/>
      <c r="L404" s="152"/>
      <c r="M404" s="152"/>
      <c r="N404" s="152"/>
      <c r="O404" s="152"/>
      <c r="P404" s="152"/>
      <c r="Q404" s="152"/>
      <c r="R404" s="152"/>
      <c r="S404" s="152"/>
      <c r="T404" s="152"/>
      <c r="U404" s="152"/>
      <c r="V404" s="152"/>
      <c r="W404" s="152"/>
      <c r="X404" s="152"/>
      <c r="Y404" s="152"/>
      <c r="Z404" s="152"/>
    </row>
    <row r="405" ht="12.8" customHeight="1" spans="1:26">
      <c r="A405" s="176"/>
      <c r="B405" s="176"/>
      <c r="C405" s="176"/>
      <c r="D405" s="152"/>
      <c r="E405" s="152"/>
      <c r="F405" s="152"/>
      <c r="G405" s="152"/>
      <c r="H405" s="152"/>
      <c r="I405" s="152"/>
      <c r="J405" s="152"/>
      <c r="K405" s="152"/>
      <c r="L405" s="152"/>
      <c r="M405" s="152"/>
      <c r="N405" s="152"/>
      <c r="O405" s="152"/>
      <c r="P405" s="152"/>
      <c r="Q405" s="152"/>
      <c r="R405" s="152"/>
      <c r="S405" s="152"/>
      <c r="T405" s="152"/>
      <c r="U405" s="152"/>
      <c r="V405" s="152"/>
      <c r="W405" s="152"/>
      <c r="X405" s="152"/>
      <c r="Y405" s="152"/>
      <c r="Z405" s="152"/>
    </row>
    <row r="406" ht="12.8" customHeight="1" spans="1:26">
      <c r="A406" s="176"/>
      <c r="B406" s="176"/>
      <c r="C406" s="176"/>
      <c r="D406" s="152"/>
      <c r="E406" s="152"/>
      <c r="F406" s="152"/>
      <c r="G406" s="152"/>
      <c r="H406" s="152"/>
      <c r="I406" s="152"/>
      <c r="J406" s="152"/>
      <c r="K406" s="152"/>
      <c r="L406" s="152"/>
      <c r="M406" s="152"/>
      <c r="N406" s="152"/>
      <c r="O406" s="152"/>
      <c r="P406" s="152"/>
      <c r="Q406" s="152"/>
      <c r="R406" s="152"/>
      <c r="S406" s="152"/>
      <c r="T406" s="152"/>
      <c r="U406" s="152"/>
      <c r="V406" s="152"/>
      <c r="W406" s="152"/>
      <c r="X406" s="152"/>
      <c r="Y406" s="152"/>
      <c r="Z406" s="152"/>
    </row>
    <row r="407" ht="12.8" customHeight="1" spans="1:26">
      <c r="A407" s="176"/>
      <c r="B407" s="176"/>
      <c r="C407" s="176"/>
      <c r="D407" s="152"/>
      <c r="E407" s="152"/>
      <c r="F407" s="152"/>
      <c r="G407" s="152"/>
      <c r="H407" s="152"/>
      <c r="I407" s="152"/>
      <c r="J407" s="152"/>
      <c r="K407" s="152"/>
      <c r="L407" s="152"/>
      <c r="M407" s="152"/>
      <c r="N407" s="152"/>
      <c r="O407" s="152"/>
      <c r="P407" s="152"/>
      <c r="Q407" s="152"/>
      <c r="R407" s="152"/>
      <c r="S407" s="152"/>
      <c r="T407" s="152"/>
      <c r="U407" s="152"/>
      <c r="V407" s="152"/>
      <c r="W407" s="152"/>
      <c r="X407" s="152"/>
      <c r="Y407" s="152"/>
      <c r="Z407" s="152"/>
    </row>
    <row r="408" ht="12.8" customHeight="1" spans="1:26">
      <c r="A408" s="176"/>
      <c r="B408" s="176"/>
      <c r="C408" s="176"/>
      <c r="D408" s="152"/>
      <c r="E408" s="152"/>
      <c r="F408" s="152"/>
      <c r="G408" s="152"/>
      <c r="H408" s="152"/>
      <c r="I408" s="152"/>
      <c r="J408" s="152"/>
      <c r="K408" s="152"/>
      <c r="L408" s="152"/>
      <c r="M408" s="152"/>
      <c r="N408" s="152"/>
      <c r="O408" s="152"/>
      <c r="P408" s="152"/>
      <c r="Q408" s="152"/>
      <c r="R408" s="152"/>
      <c r="S408" s="152"/>
      <c r="T408" s="152"/>
      <c r="U408" s="152"/>
      <c r="V408" s="152"/>
      <c r="W408" s="152"/>
      <c r="X408" s="152"/>
      <c r="Y408" s="152"/>
      <c r="Z408" s="152"/>
    </row>
    <row r="409" ht="12.8" customHeight="1" spans="1:26">
      <c r="A409" s="176"/>
      <c r="B409" s="176"/>
      <c r="C409" s="176"/>
      <c r="D409" s="152"/>
      <c r="E409" s="152"/>
      <c r="F409" s="152"/>
      <c r="G409" s="152"/>
      <c r="H409" s="152"/>
      <c r="I409" s="152"/>
      <c r="J409" s="152"/>
      <c r="K409" s="152"/>
      <c r="L409" s="152"/>
      <c r="M409" s="152"/>
      <c r="N409" s="152"/>
      <c r="O409" s="152"/>
      <c r="P409" s="152"/>
      <c r="Q409" s="152"/>
      <c r="R409" s="152"/>
      <c r="S409" s="152"/>
      <c r="T409" s="152"/>
      <c r="U409" s="152"/>
      <c r="V409" s="152"/>
      <c r="W409" s="152"/>
      <c r="X409" s="152"/>
      <c r="Y409" s="152"/>
      <c r="Z409" s="152"/>
    </row>
    <row r="410" ht="12.8" customHeight="1" spans="1:26">
      <c r="A410" s="176"/>
      <c r="B410" s="176"/>
      <c r="C410" s="176"/>
      <c r="D410" s="152"/>
      <c r="E410" s="152"/>
      <c r="F410" s="152"/>
      <c r="G410" s="152"/>
      <c r="H410" s="152"/>
      <c r="I410" s="152"/>
      <c r="J410" s="152"/>
      <c r="K410" s="152"/>
      <c r="L410" s="152"/>
      <c r="M410" s="152"/>
      <c r="N410" s="152"/>
      <c r="O410" s="152"/>
      <c r="P410" s="152"/>
      <c r="Q410" s="152"/>
      <c r="R410" s="152"/>
      <c r="S410" s="152"/>
      <c r="T410" s="152"/>
      <c r="U410" s="152"/>
      <c r="V410" s="152"/>
      <c r="W410" s="152"/>
      <c r="X410" s="152"/>
      <c r="Y410" s="152"/>
      <c r="Z410" s="152"/>
    </row>
    <row r="411" ht="12.8" customHeight="1" spans="1:26">
      <c r="A411" s="176"/>
      <c r="B411" s="176"/>
      <c r="C411" s="176"/>
      <c r="D411" s="152"/>
      <c r="E411" s="152"/>
      <c r="F411" s="152"/>
      <c r="G411" s="152"/>
      <c r="H411" s="152"/>
      <c r="I411" s="152"/>
      <c r="J411" s="152"/>
      <c r="K411" s="152"/>
      <c r="L411" s="152"/>
      <c r="M411" s="152"/>
      <c r="N411" s="152"/>
      <c r="O411" s="152"/>
      <c r="P411" s="152"/>
      <c r="Q411" s="152"/>
      <c r="R411" s="152"/>
      <c r="S411" s="152"/>
      <c r="T411" s="152"/>
      <c r="U411" s="152"/>
      <c r="V411" s="152"/>
      <c r="W411" s="152"/>
      <c r="X411" s="152"/>
      <c r="Y411" s="152"/>
      <c r="Z411" s="152"/>
    </row>
    <row r="412" ht="12.8" customHeight="1" spans="1:26">
      <c r="A412" s="176"/>
      <c r="B412" s="176"/>
      <c r="C412" s="176"/>
      <c r="D412" s="152"/>
      <c r="E412" s="152"/>
      <c r="F412" s="152"/>
      <c r="G412" s="152"/>
      <c r="H412" s="152"/>
      <c r="I412" s="152"/>
      <c r="J412" s="152"/>
      <c r="K412" s="152"/>
      <c r="L412" s="152"/>
      <c r="M412" s="152"/>
      <c r="N412" s="152"/>
      <c r="O412" s="152"/>
      <c r="P412" s="152"/>
      <c r="Q412" s="152"/>
      <c r="R412" s="152"/>
      <c r="S412" s="152"/>
      <c r="T412" s="152"/>
      <c r="U412" s="152"/>
      <c r="V412" s="152"/>
      <c r="W412" s="152"/>
      <c r="X412" s="152"/>
      <c r="Y412" s="152"/>
      <c r="Z412" s="152"/>
    </row>
    <row r="413" ht="12.8" customHeight="1" spans="1:26">
      <c r="A413" s="176"/>
      <c r="B413" s="176"/>
      <c r="C413" s="176"/>
      <c r="D413" s="152"/>
      <c r="E413" s="152"/>
      <c r="F413" s="152"/>
      <c r="G413" s="152"/>
      <c r="H413" s="152"/>
      <c r="I413" s="152"/>
      <c r="J413" s="152"/>
      <c r="K413" s="152"/>
      <c r="L413" s="152"/>
      <c r="M413" s="152"/>
      <c r="N413" s="152"/>
      <c r="O413" s="152"/>
      <c r="P413" s="152"/>
      <c r="Q413" s="152"/>
      <c r="R413" s="152"/>
      <c r="S413" s="152"/>
      <c r="T413" s="152"/>
      <c r="U413" s="152"/>
      <c r="V413" s="152"/>
      <c r="W413" s="152"/>
      <c r="X413" s="152"/>
      <c r="Y413" s="152"/>
      <c r="Z413" s="152"/>
    </row>
    <row r="414" ht="12.8" customHeight="1" spans="1:26">
      <c r="A414" s="176"/>
      <c r="B414" s="176"/>
      <c r="C414" s="176"/>
      <c r="D414" s="152"/>
      <c r="E414" s="152"/>
      <c r="F414" s="152"/>
      <c r="G414" s="152"/>
      <c r="H414" s="152"/>
      <c r="I414" s="152"/>
      <c r="J414" s="152"/>
      <c r="K414" s="152"/>
      <c r="L414" s="152"/>
      <c r="M414" s="152"/>
      <c r="N414" s="152"/>
      <c r="O414" s="152"/>
      <c r="P414" s="152"/>
      <c r="Q414" s="152"/>
      <c r="R414" s="152"/>
      <c r="S414" s="152"/>
      <c r="T414" s="152"/>
      <c r="U414" s="152"/>
      <c r="V414" s="152"/>
      <c r="W414" s="152"/>
      <c r="X414" s="152"/>
      <c r="Y414" s="152"/>
      <c r="Z414" s="152"/>
    </row>
    <row r="415" ht="12.8" customHeight="1" spans="1:26">
      <c r="A415" s="176"/>
      <c r="B415" s="176"/>
      <c r="C415" s="176"/>
      <c r="D415" s="152"/>
      <c r="E415" s="152"/>
      <c r="F415" s="152"/>
      <c r="G415" s="152"/>
      <c r="H415" s="152"/>
      <c r="I415" s="152"/>
      <c r="J415" s="152"/>
      <c r="K415" s="152"/>
      <c r="L415" s="152"/>
      <c r="M415" s="152"/>
      <c r="N415" s="152"/>
      <c r="O415" s="152"/>
      <c r="P415" s="152"/>
      <c r="Q415" s="152"/>
      <c r="R415" s="152"/>
      <c r="S415" s="152"/>
      <c r="T415" s="152"/>
      <c r="U415" s="152"/>
      <c r="V415" s="152"/>
      <c r="W415" s="152"/>
      <c r="X415" s="152"/>
      <c r="Y415" s="152"/>
      <c r="Z415" s="152"/>
    </row>
    <row r="416" ht="12.8" customHeight="1" spans="1:26">
      <c r="A416" s="176"/>
      <c r="B416" s="176"/>
      <c r="C416" s="176"/>
      <c r="D416" s="152"/>
      <c r="E416" s="152"/>
      <c r="F416" s="152"/>
      <c r="G416" s="152"/>
      <c r="H416" s="152"/>
      <c r="I416" s="152"/>
      <c r="J416" s="152"/>
      <c r="K416" s="152"/>
      <c r="L416" s="152"/>
      <c r="M416" s="152"/>
      <c r="N416" s="152"/>
      <c r="O416" s="152"/>
      <c r="P416" s="152"/>
      <c r="Q416" s="152"/>
      <c r="R416" s="152"/>
      <c r="S416" s="152"/>
      <c r="T416" s="152"/>
      <c r="U416" s="152"/>
      <c r="V416" s="152"/>
      <c r="W416" s="152"/>
      <c r="X416" s="152"/>
      <c r="Y416" s="152"/>
      <c r="Z416" s="152"/>
    </row>
    <row r="417" ht="12.8" customHeight="1" spans="1:26">
      <c r="A417" s="176"/>
      <c r="B417" s="176"/>
      <c r="C417" s="176"/>
      <c r="D417" s="152"/>
      <c r="E417" s="152"/>
      <c r="F417" s="152"/>
      <c r="G417" s="152"/>
      <c r="H417" s="152"/>
      <c r="I417" s="152"/>
      <c r="J417" s="152"/>
      <c r="K417" s="152"/>
      <c r="L417" s="152"/>
      <c r="M417" s="152"/>
      <c r="N417" s="152"/>
      <c r="O417" s="152"/>
      <c r="P417" s="152"/>
      <c r="Q417" s="152"/>
      <c r="R417" s="152"/>
      <c r="S417" s="152"/>
      <c r="T417" s="152"/>
      <c r="U417" s="152"/>
      <c r="V417" s="152"/>
      <c r="W417" s="152"/>
      <c r="X417" s="152"/>
      <c r="Y417" s="152"/>
      <c r="Z417" s="152"/>
    </row>
    <row r="418" ht="12.8" customHeight="1" spans="1:26">
      <c r="A418" s="176"/>
      <c r="B418" s="176"/>
      <c r="C418" s="176"/>
      <c r="D418" s="152"/>
      <c r="E418" s="152"/>
      <c r="F418" s="152"/>
      <c r="G418" s="152"/>
      <c r="H418" s="152"/>
      <c r="I418" s="152"/>
      <c r="J418" s="152"/>
      <c r="K418" s="152"/>
      <c r="L418" s="152"/>
      <c r="M418" s="152"/>
      <c r="N418" s="152"/>
      <c r="O418" s="152"/>
      <c r="P418" s="152"/>
      <c r="Q418" s="152"/>
      <c r="R418" s="152"/>
      <c r="S418" s="152"/>
      <c r="T418" s="152"/>
      <c r="U418" s="152"/>
      <c r="V418" s="152"/>
      <c r="W418" s="152"/>
      <c r="X418" s="152"/>
      <c r="Y418" s="152"/>
      <c r="Z418" s="152"/>
    </row>
    <row r="419" ht="12.8" customHeight="1" spans="1:26">
      <c r="A419" s="176"/>
      <c r="B419" s="176"/>
      <c r="C419" s="176"/>
      <c r="D419" s="152"/>
      <c r="E419" s="152"/>
      <c r="F419" s="152"/>
      <c r="G419" s="152"/>
      <c r="H419" s="152"/>
      <c r="I419" s="152"/>
      <c r="J419" s="152"/>
      <c r="K419" s="152"/>
      <c r="L419" s="152"/>
      <c r="M419" s="152"/>
      <c r="N419" s="152"/>
      <c r="O419" s="152"/>
      <c r="P419" s="152"/>
      <c r="Q419" s="152"/>
      <c r="R419" s="152"/>
      <c r="S419" s="152"/>
      <c r="T419" s="152"/>
      <c r="U419" s="152"/>
      <c r="V419" s="152"/>
      <c r="W419" s="152"/>
      <c r="X419" s="152"/>
      <c r="Y419" s="152"/>
      <c r="Z419" s="152"/>
    </row>
    <row r="420" ht="12.8" customHeight="1" spans="1:26">
      <c r="A420" s="176"/>
      <c r="B420" s="176"/>
      <c r="C420" s="176"/>
      <c r="D420" s="152"/>
      <c r="E420" s="152"/>
      <c r="F420" s="152"/>
      <c r="G420" s="152"/>
      <c r="H420" s="152"/>
      <c r="I420" s="152"/>
      <c r="J420" s="152"/>
      <c r="K420" s="152"/>
      <c r="L420" s="152"/>
      <c r="M420" s="152"/>
      <c r="N420" s="152"/>
      <c r="O420" s="152"/>
      <c r="P420" s="152"/>
      <c r="Q420" s="152"/>
      <c r="R420" s="152"/>
      <c r="S420" s="152"/>
      <c r="T420" s="152"/>
      <c r="U420" s="152"/>
      <c r="V420" s="152"/>
      <c r="W420" s="152"/>
      <c r="X420" s="152"/>
      <c r="Y420" s="152"/>
      <c r="Z420" s="152"/>
    </row>
    <row r="421" ht="12.8" customHeight="1" spans="1:26">
      <c r="A421" s="176"/>
      <c r="B421" s="176"/>
      <c r="C421" s="176"/>
      <c r="D421" s="152"/>
      <c r="E421" s="152"/>
      <c r="F421" s="152"/>
      <c r="G421" s="152"/>
      <c r="H421" s="152"/>
      <c r="I421" s="152"/>
      <c r="J421" s="152"/>
      <c r="K421" s="152"/>
      <c r="L421" s="152"/>
      <c r="M421" s="152"/>
      <c r="N421" s="152"/>
      <c r="O421" s="152"/>
      <c r="P421" s="152"/>
      <c r="Q421" s="152"/>
      <c r="R421" s="152"/>
      <c r="S421" s="152"/>
      <c r="T421" s="152"/>
      <c r="U421" s="152"/>
      <c r="V421" s="152"/>
      <c r="W421" s="152"/>
      <c r="X421" s="152"/>
      <c r="Y421" s="152"/>
      <c r="Z421" s="152"/>
    </row>
    <row r="422" ht="12.8" customHeight="1" spans="1:26">
      <c r="A422" s="176"/>
      <c r="B422" s="176"/>
      <c r="C422" s="176"/>
      <c r="D422" s="152"/>
      <c r="E422" s="152"/>
      <c r="F422" s="152"/>
      <c r="G422" s="152"/>
      <c r="H422" s="152"/>
      <c r="I422" s="152"/>
      <c r="J422" s="152"/>
      <c r="K422" s="152"/>
      <c r="L422" s="152"/>
      <c r="M422" s="152"/>
      <c r="N422" s="152"/>
      <c r="O422" s="152"/>
      <c r="P422" s="152"/>
      <c r="Q422" s="152"/>
      <c r="R422" s="152"/>
      <c r="S422" s="152"/>
      <c r="T422" s="152"/>
      <c r="U422" s="152"/>
      <c r="V422" s="152"/>
      <c r="W422" s="152"/>
      <c r="X422" s="152"/>
      <c r="Y422" s="152"/>
      <c r="Z422" s="152"/>
    </row>
    <row r="423" ht="12.8" customHeight="1" spans="1:26">
      <c r="A423" s="176"/>
      <c r="B423" s="176"/>
      <c r="C423" s="176"/>
      <c r="D423" s="152"/>
      <c r="E423" s="152"/>
      <c r="F423" s="152"/>
      <c r="G423" s="152"/>
      <c r="H423" s="152"/>
      <c r="I423" s="152"/>
      <c r="J423" s="152"/>
      <c r="K423" s="152"/>
      <c r="L423" s="152"/>
      <c r="M423" s="152"/>
      <c r="N423" s="152"/>
      <c r="O423" s="152"/>
      <c r="P423" s="152"/>
      <c r="Q423" s="152"/>
      <c r="R423" s="152"/>
      <c r="S423" s="152"/>
      <c r="T423" s="152"/>
      <c r="U423" s="152"/>
      <c r="V423" s="152"/>
      <c r="W423" s="152"/>
      <c r="X423" s="152"/>
      <c r="Y423" s="152"/>
      <c r="Z423" s="152"/>
    </row>
    <row r="424" ht="12.8" customHeight="1" spans="1:26">
      <c r="A424" s="176"/>
      <c r="B424" s="176"/>
      <c r="C424" s="176"/>
      <c r="D424" s="152"/>
      <c r="E424" s="152"/>
      <c r="F424" s="152"/>
      <c r="G424" s="152"/>
      <c r="H424" s="152"/>
      <c r="I424" s="152"/>
      <c r="J424" s="152"/>
      <c r="K424" s="152"/>
      <c r="L424" s="152"/>
      <c r="M424" s="152"/>
      <c r="N424" s="152"/>
      <c r="O424" s="152"/>
      <c r="P424" s="152"/>
      <c r="Q424" s="152"/>
      <c r="R424" s="152"/>
      <c r="S424" s="152"/>
      <c r="T424" s="152"/>
      <c r="U424" s="152"/>
      <c r="V424" s="152"/>
      <c r="W424" s="152"/>
      <c r="X424" s="152"/>
      <c r="Y424" s="152"/>
      <c r="Z424" s="152"/>
    </row>
    <row r="425" ht="12.8" customHeight="1" spans="1:26">
      <c r="A425" s="176"/>
      <c r="B425" s="176"/>
      <c r="C425" s="176"/>
      <c r="D425" s="152"/>
      <c r="E425" s="152"/>
      <c r="F425" s="152"/>
      <c r="G425" s="152"/>
      <c r="H425" s="152"/>
      <c r="I425" s="152"/>
      <c r="J425" s="152"/>
      <c r="K425" s="152"/>
      <c r="L425" s="152"/>
      <c r="M425" s="152"/>
      <c r="N425" s="152"/>
      <c r="O425" s="152"/>
      <c r="P425" s="152"/>
      <c r="Q425" s="152"/>
      <c r="R425" s="152"/>
      <c r="S425" s="152"/>
      <c r="T425" s="152"/>
      <c r="U425" s="152"/>
      <c r="V425" s="152"/>
      <c r="W425" s="152"/>
      <c r="X425" s="152"/>
      <c r="Y425" s="152"/>
      <c r="Z425" s="152"/>
    </row>
    <row r="426" ht="12.8" customHeight="1" spans="1:26">
      <c r="A426" s="176"/>
      <c r="B426" s="176"/>
      <c r="C426" s="176"/>
      <c r="D426" s="152"/>
      <c r="E426" s="152"/>
      <c r="F426" s="152"/>
      <c r="G426" s="152"/>
      <c r="H426" s="152"/>
      <c r="I426" s="152"/>
      <c r="J426" s="152"/>
      <c r="K426" s="152"/>
      <c r="L426" s="152"/>
      <c r="M426" s="152"/>
      <c r="N426" s="152"/>
      <c r="O426" s="152"/>
      <c r="P426" s="152"/>
      <c r="Q426" s="152"/>
      <c r="R426" s="152"/>
      <c r="S426" s="152"/>
      <c r="T426" s="152"/>
      <c r="U426" s="152"/>
      <c r="V426" s="152"/>
      <c r="W426" s="152"/>
      <c r="X426" s="152"/>
      <c r="Y426" s="152"/>
      <c r="Z426" s="152"/>
    </row>
    <row r="427" ht="12.8" customHeight="1" spans="1:26">
      <c r="A427" s="176"/>
      <c r="B427" s="176"/>
      <c r="C427" s="176"/>
      <c r="D427" s="152"/>
      <c r="E427" s="152"/>
      <c r="F427" s="152"/>
      <c r="G427" s="152"/>
      <c r="H427" s="152"/>
      <c r="I427" s="152"/>
      <c r="J427" s="152"/>
      <c r="K427" s="152"/>
      <c r="L427" s="152"/>
      <c r="M427" s="152"/>
      <c r="N427" s="152"/>
      <c r="O427" s="152"/>
      <c r="P427" s="152"/>
      <c r="Q427" s="152"/>
      <c r="R427" s="152"/>
      <c r="S427" s="152"/>
      <c r="T427" s="152"/>
      <c r="U427" s="152"/>
      <c r="V427" s="152"/>
      <c r="W427" s="152"/>
      <c r="X427" s="152"/>
      <c r="Y427" s="152"/>
      <c r="Z427" s="152"/>
    </row>
    <row r="428" ht="12.8" customHeight="1" spans="1:26">
      <c r="A428" s="176"/>
      <c r="B428" s="176"/>
      <c r="C428" s="176"/>
      <c r="D428" s="152"/>
      <c r="E428" s="152"/>
      <c r="F428" s="152"/>
      <c r="G428" s="152"/>
      <c r="H428" s="152"/>
      <c r="I428" s="152"/>
      <c r="J428" s="152"/>
      <c r="K428" s="152"/>
      <c r="L428" s="152"/>
      <c r="M428" s="152"/>
      <c r="N428" s="152"/>
      <c r="O428" s="152"/>
      <c r="P428" s="152"/>
      <c r="Q428" s="152"/>
      <c r="R428" s="152"/>
      <c r="S428" s="152"/>
      <c r="T428" s="152"/>
      <c r="U428" s="152"/>
      <c r="V428" s="152"/>
      <c r="W428" s="152"/>
      <c r="X428" s="152"/>
      <c r="Y428" s="152"/>
      <c r="Z428" s="152"/>
    </row>
    <row r="429" ht="12.8" customHeight="1" spans="1:26">
      <c r="A429" s="176"/>
      <c r="B429" s="176"/>
      <c r="C429" s="176"/>
      <c r="D429" s="152"/>
      <c r="E429" s="152"/>
      <c r="F429" s="152"/>
      <c r="G429" s="152"/>
      <c r="H429" s="152"/>
      <c r="I429" s="152"/>
      <c r="J429" s="152"/>
      <c r="K429" s="152"/>
      <c r="L429" s="152"/>
      <c r="M429" s="152"/>
      <c r="N429" s="152"/>
      <c r="O429" s="152"/>
      <c r="P429" s="152"/>
      <c r="Q429" s="152"/>
      <c r="R429" s="152"/>
      <c r="S429" s="152"/>
      <c r="T429" s="152"/>
      <c r="U429" s="152"/>
      <c r="V429" s="152"/>
      <c r="W429" s="152"/>
      <c r="X429" s="152"/>
      <c r="Y429" s="152"/>
      <c r="Z429" s="152"/>
    </row>
    <row r="430" ht="12.8" customHeight="1" spans="1:26">
      <c r="A430" s="176"/>
      <c r="B430" s="176"/>
      <c r="C430" s="176"/>
      <c r="D430" s="152"/>
      <c r="E430" s="152"/>
      <c r="F430" s="152"/>
      <c r="G430" s="152"/>
      <c r="H430" s="152"/>
      <c r="I430" s="152"/>
      <c r="J430" s="152"/>
      <c r="K430" s="152"/>
      <c r="L430" s="152"/>
      <c r="M430" s="152"/>
      <c r="N430" s="152"/>
      <c r="O430" s="152"/>
      <c r="P430" s="152"/>
      <c r="Q430" s="152"/>
      <c r="R430" s="152"/>
      <c r="S430" s="152"/>
      <c r="T430" s="152"/>
      <c r="U430" s="152"/>
      <c r="V430" s="152"/>
      <c r="W430" s="152"/>
      <c r="X430" s="152"/>
      <c r="Y430" s="152"/>
      <c r="Z430" s="152"/>
    </row>
    <row r="431" ht="12.8" customHeight="1" spans="1:26">
      <c r="A431" s="176"/>
      <c r="B431" s="176"/>
      <c r="C431" s="176"/>
      <c r="D431" s="152"/>
      <c r="E431" s="152"/>
      <c r="F431" s="152"/>
      <c r="G431" s="152"/>
      <c r="H431" s="152"/>
      <c r="I431" s="152"/>
      <c r="J431" s="152"/>
      <c r="K431" s="152"/>
      <c r="L431" s="152"/>
      <c r="M431" s="152"/>
      <c r="N431" s="152"/>
      <c r="O431" s="152"/>
      <c r="P431" s="152"/>
      <c r="Q431" s="152"/>
      <c r="R431" s="152"/>
      <c r="S431" s="152"/>
      <c r="T431" s="152"/>
      <c r="U431" s="152"/>
      <c r="V431" s="152"/>
      <c r="W431" s="152"/>
      <c r="X431" s="152"/>
      <c r="Y431" s="152"/>
      <c r="Z431" s="152"/>
    </row>
    <row r="432" ht="12.8" customHeight="1" spans="1:26">
      <c r="A432" s="176"/>
      <c r="B432" s="176"/>
      <c r="C432" s="176"/>
      <c r="D432" s="152"/>
      <c r="E432" s="152"/>
      <c r="F432" s="152"/>
      <c r="G432" s="152"/>
      <c r="H432" s="152"/>
      <c r="I432" s="152"/>
      <c r="J432" s="152"/>
      <c r="K432" s="152"/>
      <c r="L432" s="152"/>
      <c r="M432" s="152"/>
      <c r="N432" s="152"/>
      <c r="O432" s="152"/>
      <c r="P432" s="152"/>
      <c r="Q432" s="152"/>
      <c r="R432" s="152"/>
      <c r="S432" s="152"/>
      <c r="T432" s="152"/>
      <c r="U432" s="152"/>
      <c r="V432" s="152"/>
      <c r="W432" s="152"/>
      <c r="X432" s="152"/>
      <c r="Y432" s="152"/>
      <c r="Z432" s="152"/>
    </row>
    <row r="433" ht="12.8" customHeight="1" spans="1:26">
      <c r="A433" s="176"/>
      <c r="B433" s="176"/>
      <c r="C433" s="176"/>
      <c r="D433" s="152"/>
      <c r="E433" s="152"/>
      <c r="F433" s="152"/>
      <c r="G433" s="152"/>
      <c r="H433" s="152"/>
      <c r="I433" s="152"/>
      <c r="J433" s="152"/>
      <c r="K433" s="152"/>
      <c r="L433" s="152"/>
      <c r="M433" s="152"/>
      <c r="N433" s="152"/>
      <c r="O433" s="152"/>
      <c r="P433" s="152"/>
      <c r="Q433" s="152"/>
      <c r="R433" s="152"/>
      <c r="S433" s="152"/>
      <c r="T433" s="152"/>
      <c r="U433" s="152"/>
      <c r="V433" s="152"/>
      <c r="W433" s="152"/>
      <c r="X433" s="152"/>
      <c r="Y433" s="152"/>
      <c r="Z433" s="152"/>
    </row>
    <row r="434" ht="12.8" customHeight="1" spans="1:26">
      <c r="A434" s="176"/>
      <c r="B434" s="176"/>
      <c r="C434" s="176"/>
      <c r="D434" s="152"/>
      <c r="E434" s="152"/>
      <c r="F434" s="152"/>
      <c r="G434" s="152"/>
      <c r="H434" s="152"/>
      <c r="I434" s="152"/>
      <c r="J434" s="152"/>
      <c r="K434" s="152"/>
      <c r="L434" s="152"/>
      <c r="M434" s="152"/>
      <c r="N434" s="152"/>
      <c r="O434" s="152"/>
      <c r="P434" s="152"/>
      <c r="Q434" s="152"/>
      <c r="R434" s="152"/>
      <c r="S434" s="152"/>
      <c r="T434" s="152"/>
      <c r="U434" s="152"/>
      <c r="V434" s="152"/>
      <c r="W434" s="152"/>
      <c r="X434" s="152"/>
      <c r="Y434" s="152"/>
      <c r="Z434" s="152"/>
    </row>
    <row r="435" ht="12.8" customHeight="1" spans="1:26">
      <c r="A435" s="176"/>
      <c r="B435" s="176"/>
      <c r="C435" s="176"/>
      <c r="D435" s="152"/>
      <c r="E435" s="152"/>
      <c r="F435" s="152"/>
      <c r="G435" s="152"/>
      <c r="H435" s="152"/>
      <c r="I435" s="152"/>
      <c r="J435" s="152"/>
      <c r="K435" s="152"/>
      <c r="L435" s="152"/>
      <c r="M435" s="152"/>
      <c r="N435" s="152"/>
      <c r="O435" s="152"/>
      <c r="P435" s="152"/>
      <c r="Q435" s="152"/>
      <c r="R435" s="152"/>
      <c r="S435" s="152"/>
      <c r="T435" s="152"/>
      <c r="U435" s="152"/>
      <c r="V435" s="152"/>
      <c r="W435" s="152"/>
      <c r="X435" s="152"/>
      <c r="Y435" s="152"/>
      <c r="Z435" s="152"/>
    </row>
    <row r="436" ht="12.8" customHeight="1" spans="1:26">
      <c r="A436" s="176"/>
      <c r="B436" s="176"/>
      <c r="C436" s="176"/>
      <c r="D436" s="152"/>
      <c r="E436" s="152"/>
      <c r="F436" s="152"/>
      <c r="G436" s="152"/>
      <c r="H436" s="152"/>
      <c r="I436" s="152"/>
      <c r="J436" s="152"/>
      <c r="K436" s="152"/>
      <c r="L436" s="152"/>
      <c r="M436" s="152"/>
      <c r="N436" s="152"/>
      <c r="O436" s="152"/>
      <c r="P436" s="152"/>
      <c r="Q436" s="152"/>
      <c r="R436" s="152"/>
      <c r="S436" s="152"/>
      <c r="T436" s="152"/>
      <c r="U436" s="152"/>
      <c r="V436" s="152"/>
      <c r="W436" s="152"/>
      <c r="X436" s="152"/>
      <c r="Y436" s="152"/>
      <c r="Z436" s="152"/>
    </row>
    <row r="437" ht="12.8" customHeight="1" spans="1:26">
      <c r="A437" s="176"/>
      <c r="B437" s="176"/>
      <c r="C437" s="176"/>
      <c r="D437" s="152"/>
      <c r="E437" s="152"/>
      <c r="F437" s="152"/>
      <c r="G437" s="152"/>
      <c r="H437" s="152"/>
      <c r="I437" s="152"/>
      <c r="J437" s="152"/>
      <c r="K437" s="152"/>
      <c r="L437" s="152"/>
      <c r="M437" s="152"/>
      <c r="N437" s="152"/>
      <c r="O437" s="152"/>
      <c r="P437" s="152"/>
      <c r="Q437" s="152"/>
      <c r="R437" s="152"/>
      <c r="S437" s="152"/>
      <c r="T437" s="152"/>
      <c r="U437" s="152"/>
      <c r="V437" s="152"/>
      <c r="W437" s="152"/>
      <c r="X437" s="152"/>
      <c r="Y437" s="152"/>
      <c r="Z437" s="152"/>
    </row>
    <row r="438" ht="12.8" customHeight="1" spans="1:26">
      <c r="A438" s="176"/>
      <c r="B438" s="176"/>
      <c r="C438" s="176"/>
      <c r="D438" s="152"/>
      <c r="E438" s="152"/>
      <c r="F438" s="152"/>
      <c r="G438" s="152"/>
      <c r="H438" s="152"/>
      <c r="I438" s="152"/>
      <c r="J438" s="152"/>
      <c r="K438" s="152"/>
      <c r="L438" s="152"/>
      <c r="M438" s="152"/>
      <c r="N438" s="152"/>
      <c r="O438" s="152"/>
      <c r="P438" s="152"/>
      <c r="Q438" s="152"/>
      <c r="R438" s="152"/>
      <c r="S438" s="152"/>
      <c r="T438" s="152"/>
      <c r="U438" s="152"/>
      <c r="V438" s="152"/>
      <c r="W438" s="152"/>
      <c r="X438" s="152"/>
      <c r="Y438" s="152"/>
      <c r="Z438" s="152"/>
    </row>
    <row r="439" ht="12.8" customHeight="1" spans="1:26">
      <c r="A439" s="176"/>
      <c r="B439" s="176"/>
      <c r="C439" s="176"/>
      <c r="D439" s="152"/>
      <c r="E439" s="152"/>
      <c r="F439" s="152"/>
      <c r="G439" s="152"/>
      <c r="H439" s="152"/>
      <c r="I439" s="152"/>
      <c r="J439" s="152"/>
      <c r="K439" s="152"/>
      <c r="L439" s="152"/>
      <c r="M439" s="152"/>
      <c r="N439" s="152"/>
      <c r="O439" s="152"/>
      <c r="P439" s="152"/>
      <c r="Q439" s="152"/>
      <c r="R439" s="152"/>
      <c r="S439" s="152"/>
      <c r="T439" s="152"/>
      <c r="U439" s="152"/>
      <c r="V439" s="152"/>
      <c r="W439" s="152"/>
      <c r="X439" s="152"/>
      <c r="Y439" s="152"/>
      <c r="Z439" s="152"/>
    </row>
    <row r="440" ht="12.8" customHeight="1" spans="1:26">
      <c r="A440" s="176"/>
      <c r="B440" s="176"/>
      <c r="C440" s="176"/>
      <c r="D440" s="152"/>
      <c r="E440" s="152"/>
      <c r="F440" s="152"/>
      <c r="G440" s="152"/>
      <c r="H440" s="152"/>
      <c r="I440" s="152"/>
      <c r="J440" s="152"/>
      <c r="K440" s="152"/>
      <c r="L440" s="152"/>
      <c r="M440" s="152"/>
      <c r="N440" s="152"/>
      <c r="O440" s="152"/>
      <c r="P440" s="152"/>
      <c r="Q440" s="152"/>
      <c r="R440" s="152"/>
      <c r="S440" s="152"/>
      <c r="T440" s="152"/>
      <c r="U440" s="152"/>
      <c r="V440" s="152"/>
      <c r="W440" s="152"/>
      <c r="X440" s="152"/>
      <c r="Y440" s="152"/>
      <c r="Z440" s="152"/>
    </row>
    <row r="441" ht="12.8" customHeight="1" spans="1:26">
      <c r="A441" s="176"/>
      <c r="B441" s="176"/>
      <c r="C441" s="176"/>
      <c r="D441" s="152"/>
      <c r="E441" s="152"/>
      <c r="F441" s="152"/>
      <c r="G441" s="152"/>
      <c r="H441" s="152"/>
      <c r="I441" s="152"/>
      <c r="J441" s="152"/>
      <c r="K441" s="152"/>
      <c r="L441" s="152"/>
      <c r="M441" s="152"/>
      <c r="N441" s="152"/>
      <c r="O441" s="152"/>
      <c r="P441" s="152"/>
      <c r="Q441" s="152"/>
      <c r="R441" s="152"/>
      <c r="S441" s="152"/>
      <c r="T441" s="152"/>
      <c r="U441" s="152"/>
      <c r="V441" s="152"/>
      <c r="W441" s="152"/>
      <c r="X441" s="152"/>
      <c r="Y441" s="152"/>
      <c r="Z441" s="152"/>
    </row>
    <row r="442" ht="12.8" customHeight="1" spans="1:26">
      <c r="A442" s="176"/>
      <c r="B442" s="176"/>
      <c r="C442" s="176"/>
      <c r="D442" s="152"/>
      <c r="E442" s="152"/>
      <c r="F442" s="152"/>
      <c r="G442" s="152"/>
      <c r="H442" s="152"/>
      <c r="I442" s="152"/>
      <c r="J442" s="152"/>
      <c r="K442" s="152"/>
      <c r="L442" s="152"/>
      <c r="M442" s="152"/>
      <c r="N442" s="152"/>
      <c r="O442" s="152"/>
      <c r="P442" s="152"/>
      <c r="Q442" s="152"/>
      <c r="R442" s="152"/>
      <c r="S442" s="152"/>
      <c r="T442" s="152"/>
      <c r="U442" s="152"/>
      <c r="V442" s="152"/>
      <c r="W442" s="152"/>
      <c r="X442" s="152"/>
      <c r="Y442" s="152"/>
      <c r="Z442" s="152"/>
    </row>
    <row r="443" ht="12.8" customHeight="1" spans="1:26">
      <c r="A443" s="176"/>
      <c r="B443" s="176"/>
      <c r="C443" s="176"/>
      <c r="D443" s="152"/>
      <c r="E443" s="152"/>
      <c r="F443" s="152"/>
      <c r="G443" s="152"/>
      <c r="H443" s="152"/>
      <c r="I443" s="152"/>
      <c r="J443" s="152"/>
      <c r="K443" s="152"/>
      <c r="L443" s="152"/>
      <c r="M443" s="152"/>
      <c r="N443" s="152"/>
      <c r="O443" s="152"/>
      <c r="P443" s="152"/>
      <c r="Q443" s="152"/>
      <c r="R443" s="152"/>
      <c r="S443" s="152"/>
      <c r="T443" s="152"/>
      <c r="U443" s="152"/>
      <c r="V443" s="152"/>
      <c r="W443" s="152"/>
      <c r="X443" s="152"/>
      <c r="Y443" s="152"/>
      <c r="Z443" s="152"/>
    </row>
    <row r="444" ht="12.8" customHeight="1" spans="1:26">
      <c r="A444" s="176"/>
      <c r="B444" s="176"/>
      <c r="C444" s="176"/>
      <c r="D444" s="152"/>
      <c r="E444" s="152"/>
      <c r="F444" s="152"/>
      <c r="G444" s="152"/>
      <c r="H444" s="152"/>
      <c r="I444" s="152"/>
      <c r="J444" s="152"/>
      <c r="K444" s="152"/>
      <c r="L444" s="152"/>
      <c r="M444" s="152"/>
      <c r="N444" s="152"/>
      <c r="O444" s="152"/>
      <c r="P444" s="152"/>
      <c r="Q444" s="152"/>
      <c r="R444" s="152"/>
      <c r="S444" s="152"/>
      <c r="T444" s="152"/>
      <c r="U444" s="152"/>
      <c r="V444" s="152"/>
      <c r="W444" s="152"/>
      <c r="X444" s="152"/>
      <c r="Y444" s="152"/>
      <c r="Z444" s="152"/>
    </row>
    <row r="445" ht="12.8" customHeight="1" spans="1:26">
      <c r="A445" s="176"/>
      <c r="B445" s="176"/>
      <c r="C445" s="176"/>
      <c r="D445" s="152"/>
      <c r="E445" s="152"/>
      <c r="F445" s="152"/>
      <c r="G445" s="152"/>
      <c r="H445" s="152"/>
      <c r="I445" s="152"/>
      <c r="J445" s="152"/>
      <c r="K445" s="152"/>
      <c r="L445" s="152"/>
      <c r="M445" s="152"/>
      <c r="N445" s="152"/>
      <c r="O445" s="152"/>
      <c r="P445" s="152"/>
      <c r="Q445" s="152"/>
      <c r="R445" s="152"/>
      <c r="S445" s="152"/>
      <c r="T445" s="152"/>
      <c r="U445" s="152"/>
      <c r="V445" s="152"/>
      <c r="W445" s="152"/>
      <c r="X445" s="152"/>
      <c r="Y445" s="152"/>
      <c r="Z445" s="152"/>
    </row>
    <row r="446" ht="12.8" customHeight="1" spans="1:26">
      <c r="A446" s="176"/>
      <c r="B446" s="176"/>
      <c r="C446" s="176"/>
      <c r="D446" s="152"/>
      <c r="E446" s="152"/>
      <c r="F446" s="152"/>
      <c r="G446" s="152"/>
      <c r="H446" s="152"/>
      <c r="I446" s="152"/>
      <c r="J446" s="152"/>
      <c r="K446" s="152"/>
      <c r="L446" s="152"/>
      <c r="M446" s="152"/>
      <c r="N446" s="152"/>
      <c r="O446" s="152"/>
      <c r="P446" s="152"/>
      <c r="Q446" s="152"/>
      <c r="R446" s="152"/>
      <c r="S446" s="152"/>
      <c r="T446" s="152"/>
      <c r="U446" s="152"/>
      <c r="V446" s="152"/>
      <c r="W446" s="152"/>
      <c r="X446" s="152"/>
      <c r="Y446" s="152"/>
      <c r="Z446" s="152"/>
    </row>
    <row r="447" ht="12.8" customHeight="1" spans="1:26">
      <c r="A447" s="176"/>
      <c r="B447" s="176"/>
      <c r="C447" s="176"/>
      <c r="D447" s="152"/>
      <c r="E447" s="152"/>
      <c r="F447" s="152"/>
      <c r="G447" s="152"/>
      <c r="H447" s="152"/>
      <c r="I447" s="152"/>
      <c r="J447" s="152"/>
      <c r="K447" s="152"/>
      <c r="L447" s="152"/>
      <c r="M447" s="152"/>
      <c r="N447" s="152"/>
      <c r="O447" s="152"/>
      <c r="P447" s="152"/>
      <c r="Q447" s="152"/>
      <c r="R447" s="152"/>
      <c r="S447" s="152"/>
      <c r="T447" s="152"/>
      <c r="U447" s="152"/>
      <c r="V447" s="152"/>
      <c r="W447" s="152"/>
      <c r="X447" s="152"/>
      <c r="Y447" s="152"/>
      <c r="Z447" s="152"/>
    </row>
    <row r="448" ht="12.8" customHeight="1" spans="1:26">
      <c r="A448" s="176"/>
      <c r="B448" s="176"/>
      <c r="C448" s="176"/>
      <c r="D448" s="152"/>
      <c r="E448" s="152"/>
      <c r="F448" s="152"/>
      <c r="G448" s="152"/>
      <c r="H448" s="152"/>
      <c r="I448" s="152"/>
      <c r="J448" s="152"/>
      <c r="K448" s="152"/>
      <c r="L448" s="152"/>
      <c r="M448" s="152"/>
      <c r="N448" s="152"/>
      <c r="O448" s="152"/>
      <c r="P448" s="152"/>
      <c r="Q448" s="152"/>
      <c r="R448" s="152"/>
      <c r="S448" s="152"/>
      <c r="T448" s="152"/>
      <c r="U448" s="152"/>
      <c r="V448" s="152"/>
      <c r="W448" s="152"/>
      <c r="X448" s="152"/>
      <c r="Y448" s="152"/>
      <c r="Z448" s="152"/>
    </row>
    <row r="449" ht="12.8" customHeight="1" spans="1:26">
      <c r="A449" s="176"/>
      <c r="B449" s="176"/>
      <c r="C449" s="176"/>
      <c r="D449" s="152"/>
      <c r="E449" s="152"/>
      <c r="F449" s="152"/>
      <c r="G449" s="152"/>
      <c r="H449" s="152"/>
      <c r="I449" s="152"/>
      <c r="J449" s="152"/>
      <c r="K449" s="152"/>
      <c r="L449" s="152"/>
      <c r="M449" s="152"/>
      <c r="N449" s="152"/>
      <c r="O449" s="152"/>
      <c r="P449" s="152"/>
      <c r="Q449" s="152"/>
      <c r="R449" s="152"/>
      <c r="S449" s="152"/>
      <c r="T449" s="152"/>
      <c r="U449" s="152"/>
      <c r="V449" s="152"/>
      <c r="W449" s="152"/>
      <c r="X449" s="152"/>
      <c r="Y449" s="152"/>
      <c r="Z449" s="152"/>
    </row>
    <row r="450" ht="12.8" customHeight="1" spans="1:26">
      <c r="A450" s="176"/>
      <c r="B450" s="176"/>
      <c r="C450" s="176"/>
      <c r="D450" s="152"/>
      <c r="E450" s="152"/>
      <c r="F450" s="152"/>
      <c r="G450" s="152"/>
      <c r="H450" s="152"/>
      <c r="I450" s="152"/>
      <c r="J450" s="152"/>
      <c r="K450" s="152"/>
      <c r="L450" s="152"/>
      <c r="M450" s="152"/>
      <c r="N450" s="152"/>
      <c r="O450" s="152"/>
      <c r="P450" s="152"/>
      <c r="Q450" s="152"/>
      <c r="R450" s="152"/>
      <c r="S450" s="152"/>
      <c r="T450" s="152"/>
      <c r="U450" s="152"/>
      <c r="V450" s="152"/>
      <c r="W450" s="152"/>
      <c r="X450" s="152"/>
      <c r="Y450" s="152"/>
      <c r="Z450" s="152"/>
    </row>
    <row r="451" ht="12.8" customHeight="1" spans="1:26">
      <c r="A451" s="176"/>
      <c r="B451" s="176"/>
      <c r="C451" s="176"/>
      <c r="D451" s="152"/>
      <c r="E451" s="152"/>
      <c r="F451" s="152"/>
      <c r="G451" s="152"/>
      <c r="H451" s="152"/>
      <c r="I451" s="152"/>
      <c r="J451" s="152"/>
      <c r="K451" s="152"/>
      <c r="L451" s="152"/>
      <c r="M451" s="152"/>
      <c r="N451" s="152"/>
      <c r="O451" s="152"/>
      <c r="P451" s="152"/>
      <c r="Q451" s="152"/>
      <c r="R451" s="152"/>
      <c r="S451" s="152"/>
      <c r="T451" s="152"/>
      <c r="U451" s="152"/>
      <c r="V451" s="152"/>
      <c r="W451" s="152"/>
      <c r="X451" s="152"/>
      <c r="Y451" s="152"/>
      <c r="Z451" s="152"/>
    </row>
    <row r="452" ht="12.8" customHeight="1" spans="1:26">
      <c r="A452" s="176"/>
      <c r="B452" s="176"/>
      <c r="C452" s="176"/>
      <c r="D452" s="152"/>
      <c r="E452" s="152"/>
      <c r="F452" s="152"/>
      <c r="G452" s="152"/>
      <c r="H452" s="152"/>
      <c r="I452" s="152"/>
      <c r="J452" s="152"/>
      <c r="K452" s="152"/>
      <c r="L452" s="152"/>
      <c r="M452" s="152"/>
      <c r="N452" s="152"/>
      <c r="O452" s="152"/>
      <c r="P452" s="152"/>
      <c r="Q452" s="152"/>
      <c r="R452" s="152"/>
      <c r="S452" s="152"/>
      <c r="T452" s="152"/>
      <c r="U452" s="152"/>
      <c r="V452" s="152"/>
      <c r="W452" s="152"/>
      <c r="X452" s="152"/>
      <c r="Y452" s="152"/>
      <c r="Z452" s="152"/>
    </row>
    <row r="453" ht="12.8" customHeight="1" spans="1:26">
      <c r="A453" s="176"/>
      <c r="B453" s="176"/>
      <c r="C453" s="176"/>
      <c r="D453" s="152"/>
      <c r="E453" s="152"/>
      <c r="F453" s="152"/>
      <c r="G453" s="152"/>
      <c r="H453" s="152"/>
      <c r="I453" s="152"/>
      <c r="J453" s="152"/>
      <c r="K453" s="152"/>
      <c r="L453" s="152"/>
      <c r="M453" s="152"/>
      <c r="N453" s="152"/>
      <c r="O453" s="152"/>
      <c r="P453" s="152"/>
      <c r="Q453" s="152"/>
      <c r="R453" s="152"/>
      <c r="S453" s="152"/>
      <c r="T453" s="152"/>
      <c r="U453" s="152"/>
      <c r="V453" s="152"/>
      <c r="W453" s="152"/>
      <c r="X453" s="152"/>
      <c r="Y453" s="152"/>
      <c r="Z453" s="152"/>
    </row>
    <row r="454" ht="12.8" customHeight="1" spans="1:26">
      <c r="A454" s="176"/>
      <c r="B454" s="176"/>
      <c r="C454" s="176"/>
      <c r="D454" s="152"/>
      <c r="E454" s="152"/>
      <c r="F454" s="152"/>
      <c r="G454" s="152"/>
      <c r="H454" s="152"/>
      <c r="I454" s="152"/>
      <c r="J454" s="152"/>
      <c r="K454" s="152"/>
      <c r="L454" s="152"/>
      <c r="M454" s="152"/>
      <c r="N454" s="152"/>
      <c r="O454" s="152"/>
      <c r="P454" s="152"/>
      <c r="Q454" s="152"/>
      <c r="R454" s="152"/>
      <c r="S454" s="152"/>
      <c r="T454" s="152"/>
      <c r="U454" s="152"/>
      <c r="V454" s="152"/>
      <c r="W454" s="152"/>
      <c r="X454" s="152"/>
      <c r="Y454" s="152"/>
      <c r="Z454" s="152"/>
    </row>
    <row r="455" ht="12.8" customHeight="1" spans="1:26">
      <c r="A455" s="176"/>
      <c r="B455" s="176"/>
      <c r="C455" s="176"/>
      <c r="D455" s="152"/>
      <c r="E455" s="152"/>
      <c r="F455" s="152"/>
      <c r="G455" s="152"/>
      <c r="H455" s="152"/>
      <c r="I455" s="152"/>
      <c r="J455" s="152"/>
      <c r="K455" s="152"/>
      <c r="L455" s="152"/>
      <c r="M455" s="152"/>
      <c r="N455" s="152"/>
      <c r="O455" s="152"/>
      <c r="P455" s="152"/>
      <c r="Q455" s="152"/>
      <c r="R455" s="152"/>
      <c r="S455" s="152"/>
      <c r="T455" s="152"/>
      <c r="U455" s="152"/>
      <c r="V455" s="152"/>
      <c r="W455" s="152"/>
      <c r="X455" s="152"/>
      <c r="Y455" s="152"/>
      <c r="Z455" s="152"/>
    </row>
    <row r="456" ht="12.8" customHeight="1" spans="1:26">
      <c r="A456" s="176"/>
      <c r="B456" s="176"/>
      <c r="C456" s="176"/>
      <c r="D456" s="152"/>
      <c r="E456" s="152"/>
      <c r="F456" s="152"/>
      <c r="G456" s="152"/>
      <c r="H456" s="152"/>
      <c r="I456" s="152"/>
      <c r="J456" s="152"/>
      <c r="K456" s="152"/>
      <c r="L456" s="152"/>
      <c r="M456" s="152"/>
      <c r="N456" s="152"/>
      <c r="O456" s="152"/>
      <c r="P456" s="152"/>
      <c r="Q456" s="152"/>
      <c r="R456" s="152"/>
      <c r="S456" s="152"/>
      <c r="T456" s="152"/>
      <c r="U456" s="152"/>
      <c r="V456" s="152"/>
      <c r="W456" s="152"/>
      <c r="X456" s="152"/>
      <c r="Y456" s="152"/>
      <c r="Z456" s="152"/>
    </row>
    <row r="457" ht="12.8" customHeight="1" spans="1:26">
      <c r="A457" s="176"/>
      <c r="B457" s="176"/>
      <c r="C457" s="176"/>
      <c r="D457" s="152"/>
      <c r="E457" s="152"/>
      <c r="F457" s="152"/>
      <c r="G457" s="152"/>
      <c r="H457" s="152"/>
      <c r="I457" s="152"/>
      <c r="J457" s="152"/>
      <c r="K457" s="152"/>
      <c r="L457" s="152"/>
      <c r="M457" s="152"/>
      <c r="N457" s="152"/>
      <c r="O457" s="152"/>
      <c r="P457" s="152"/>
      <c r="Q457" s="152"/>
      <c r="R457" s="152"/>
      <c r="S457" s="152"/>
      <c r="T457" s="152"/>
      <c r="U457" s="152"/>
      <c r="V457" s="152"/>
      <c r="W457" s="152"/>
      <c r="X457" s="152"/>
      <c r="Y457" s="152"/>
      <c r="Z457" s="152"/>
    </row>
    <row r="458" ht="12.8" customHeight="1" spans="1:26">
      <c r="A458" s="176"/>
      <c r="B458" s="176"/>
      <c r="C458" s="176"/>
      <c r="D458" s="152"/>
      <c r="E458" s="152"/>
      <c r="F458" s="152"/>
      <c r="G458" s="152"/>
      <c r="H458" s="152"/>
      <c r="I458" s="152"/>
      <c r="J458" s="152"/>
      <c r="K458" s="152"/>
      <c r="L458" s="152"/>
      <c r="M458" s="152"/>
      <c r="N458" s="152"/>
      <c r="O458" s="152"/>
      <c r="P458" s="152"/>
      <c r="Q458" s="152"/>
      <c r="R458" s="152"/>
      <c r="S458" s="152"/>
      <c r="T458" s="152"/>
      <c r="U458" s="152"/>
      <c r="V458" s="152"/>
      <c r="W458" s="152"/>
      <c r="X458" s="152"/>
      <c r="Y458" s="152"/>
      <c r="Z458" s="152"/>
    </row>
    <row r="459" ht="12.8" customHeight="1" spans="1:26">
      <c r="A459" s="176"/>
      <c r="B459" s="176"/>
      <c r="C459" s="176"/>
      <c r="D459" s="152"/>
      <c r="E459" s="152"/>
      <c r="F459" s="152"/>
      <c r="G459" s="152"/>
      <c r="H459" s="152"/>
      <c r="I459" s="152"/>
      <c r="J459" s="152"/>
      <c r="K459" s="152"/>
      <c r="L459" s="152"/>
      <c r="M459" s="152"/>
      <c r="N459" s="152"/>
      <c r="O459" s="152"/>
      <c r="P459" s="152"/>
      <c r="Q459" s="152"/>
      <c r="R459" s="152"/>
      <c r="S459" s="152"/>
      <c r="T459" s="152"/>
      <c r="U459" s="152"/>
      <c r="V459" s="152"/>
      <c r="W459" s="152"/>
      <c r="X459" s="152"/>
      <c r="Y459" s="152"/>
      <c r="Z459" s="152"/>
    </row>
    <row r="460" ht="12.8" customHeight="1" spans="1:26">
      <c r="A460" s="176"/>
      <c r="B460" s="176"/>
      <c r="C460" s="176"/>
      <c r="D460" s="152"/>
      <c r="E460" s="152"/>
      <c r="F460" s="152"/>
      <c r="G460" s="152"/>
      <c r="H460" s="152"/>
      <c r="I460" s="152"/>
      <c r="J460" s="152"/>
      <c r="K460" s="152"/>
      <c r="L460" s="152"/>
      <c r="M460" s="152"/>
      <c r="N460" s="152"/>
      <c r="O460" s="152"/>
      <c r="P460" s="152"/>
      <c r="Q460" s="152"/>
      <c r="R460" s="152"/>
      <c r="S460" s="152"/>
      <c r="T460" s="152"/>
      <c r="U460" s="152"/>
      <c r="V460" s="152"/>
      <c r="W460" s="152"/>
      <c r="X460" s="152"/>
      <c r="Y460" s="152"/>
      <c r="Z460" s="152"/>
    </row>
    <row r="461" ht="12.8" customHeight="1" spans="1:26">
      <c r="A461" s="176"/>
      <c r="B461" s="176"/>
      <c r="C461" s="176"/>
      <c r="D461" s="152"/>
      <c r="E461" s="152"/>
      <c r="F461" s="152"/>
      <c r="G461" s="152"/>
      <c r="H461" s="152"/>
      <c r="I461" s="152"/>
      <c r="J461" s="152"/>
      <c r="K461" s="152"/>
      <c r="L461" s="152"/>
      <c r="M461" s="152"/>
      <c r="N461" s="152"/>
      <c r="O461" s="152"/>
      <c r="P461" s="152"/>
      <c r="Q461" s="152"/>
      <c r="R461" s="152"/>
      <c r="S461" s="152"/>
      <c r="T461" s="152"/>
      <c r="U461" s="152"/>
      <c r="V461" s="152"/>
      <c r="W461" s="152"/>
      <c r="X461" s="152"/>
      <c r="Y461" s="152"/>
      <c r="Z461" s="152"/>
    </row>
    <row r="462" ht="12.8" customHeight="1" spans="1:26">
      <c r="A462" s="176"/>
      <c r="B462" s="176"/>
      <c r="C462" s="176"/>
      <c r="D462" s="152"/>
      <c r="E462" s="152"/>
      <c r="F462" s="152"/>
      <c r="G462" s="152"/>
      <c r="H462" s="152"/>
      <c r="I462" s="152"/>
      <c r="J462" s="152"/>
      <c r="K462" s="152"/>
      <c r="L462" s="152"/>
      <c r="M462" s="152"/>
      <c r="N462" s="152"/>
      <c r="O462" s="152"/>
      <c r="P462" s="152"/>
      <c r="Q462" s="152"/>
      <c r="R462" s="152"/>
      <c r="S462" s="152"/>
      <c r="T462" s="152"/>
      <c r="U462" s="152"/>
      <c r="V462" s="152"/>
      <c r="W462" s="152"/>
      <c r="X462" s="152"/>
      <c r="Y462" s="152"/>
      <c r="Z462" s="152"/>
    </row>
    <row r="463" ht="12.8" customHeight="1" spans="1:26">
      <c r="A463" s="176"/>
      <c r="B463" s="176"/>
      <c r="C463" s="176"/>
      <c r="D463" s="152"/>
      <c r="E463" s="152"/>
      <c r="F463" s="152"/>
      <c r="G463" s="152"/>
      <c r="H463" s="152"/>
      <c r="I463" s="152"/>
      <c r="J463" s="152"/>
      <c r="K463" s="152"/>
      <c r="L463" s="152"/>
      <c r="M463" s="152"/>
      <c r="N463" s="152"/>
      <c r="O463" s="152"/>
      <c r="P463" s="152"/>
      <c r="Q463" s="152"/>
      <c r="R463" s="152"/>
      <c r="S463" s="152"/>
      <c r="T463" s="152"/>
      <c r="U463" s="152"/>
      <c r="V463" s="152"/>
      <c r="W463" s="152"/>
      <c r="X463" s="152"/>
      <c r="Y463" s="152"/>
      <c r="Z463" s="152"/>
    </row>
    <row r="464" ht="12.8" customHeight="1" spans="1:26">
      <c r="A464" s="176"/>
      <c r="B464" s="176"/>
      <c r="C464" s="176"/>
      <c r="D464" s="152"/>
      <c r="E464" s="152"/>
      <c r="F464" s="152"/>
      <c r="G464" s="152"/>
      <c r="H464" s="152"/>
      <c r="I464" s="152"/>
      <c r="J464" s="152"/>
      <c r="K464" s="152"/>
      <c r="L464" s="152"/>
      <c r="M464" s="152"/>
      <c r="N464" s="152"/>
      <c r="O464" s="152"/>
      <c r="P464" s="152"/>
      <c r="Q464" s="152"/>
      <c r="R464" s="152"/>
      <c r="S464" s="152"/>
      <c r="T464" s="152"/>
      <c r="U464" s="152"/>
      <c r="V464" s="152"/>
      <c r="W464" s="152"/>
      <c r="X464" s="152"/>
      <c r="Y464" s="152"/>
      <c r="Z464" s="152"/>
    </row>
    <row r="465" ht="12.8" customHeight="1" spans="1:26">
      <c r="A465" s="176"/>
      <c r="B465" s="176"/>
      <c r="C465" s="176"/>
      <c r="D465" s="152"/>
      <c r="E465" s="152"/>
      <c r="F465" s="152"/>
      <c r="G465" s="152"/>
      <c r="H465" s="152"/>
      <c r="I465" s="152"/>
      <c r="J465" s="152"/>
      <c r="K465" s="152"/>
      <c r="L465" s="152"/>
      <c r="M465" s="152"/>
      <c r="N465" s="152"/>
      <c r="O465" s="152"/>
      <c r="P465" s="152"/>
      <c r="Q465" s="152"/>
      <c r="R465" s="152"/>
      <c r="S465" s="152"/>
      <c r="T465" s="152"/>
      <c r="U465" s="152"/>
      <c r="V465" s="152"/>
      <c r="W465" s="152"/>
      <c r="X465" s="152"/>
      <c r="Y465" s="152"/>
      <c r="Z465" s="152"/>
    </row>
    <row r="466" ht="12.8" customHeight="1" spans="1:26">
      <c r="A466" s="176"/>
      <c r="B466" s="176"/>
      <c r="C466" s="176"/>
      <c r="D466" s="152"/>
      <c r="E466" s="152"/>
      <c r="F466" s="152"/>
      <c r="G466" s="152"/>
      <c r="H466" s="152"/>
      <c r="I466" s="152"/>
      <c r="J466" s="152"/>
      <c r="K466" s="152"/>
      <c r="L466" s="152"/>
      <c r="M466" s="152"/>
      <c r="N466" s="152"/>
      <c r="O466" s="152"/>
      <c r="P466" s="152"/>
      <c r="Q466" s="152"/>
      <c r="R466" s="152"/>
      <c r="S466" s="152"/>
      <c r="T466" s="152"/>
      <c r="U466" s="152"/>
      <c r="V466" s="152"/>
      <c r="W466" s="152"/>
      <c r="X466" s="152"/>
      <c r="Y466" s="152"/>
      <c r="Z466" s="152"/>
    </row>
    <row r="467" ht="12.8" customHeight="1" spans="1:26">
      <c r="A467" s="176"/>
      <c r="B467" s="176"/>
      <c r="C467" s="176"/>
      <c r="D467" s="152"/>
      <c r="E467" s="152"/>
      <c r="F467" s="152"/>
      <c r="G467" s="152"/>
      <c r="H467" s="152"/>
      <c r="I467" s="152"/>
      <c r="J467" s="152"/>
      <c r="K467" s="152"/>
      <c r="L467" s="152"/>
      <c r="M467" s="152"/>
      <c r="N467" s="152"/>
      <c r="O467" s="152"/>
      <c r="P467" s="152"/>
      <c r="Q467" s="152"/>
      <c r="R467" s="152"/>
      <c r="S467" s="152"/>
      <c r="T467" s="152"/>
      <c r="U467" s="152"/>
      <c r="V467" s="152"/>
      <c r="W467" s="152"/>
      <c r="X467" s="152"/>
      <c r="Y467" s="152"/>
      <c r="Z467" s="152"/>
    </row>
    <row r="468" ht="12.8" customHeight="1" spans="1:26">
      <c r="A468" s="176"/>
      <c r="B468" s="176"/>
      <c r="C468" s="176"/>
      <c r="D468" s="152"/>
      <c r="E468" s="152"/>
      <c r="F468" s="152"/>
      <c r="G468" s="152"/>
      <c r="H468" s="152"/>
      <c r="I468" s="152"/>
      <c r="J468" s="152"/>
      <c r="K468" s="152"/>
      <c r="L468" s="152"/>
      <c r="M468" s="152"/>
      <c r="N468" s="152"/>
      <c r="O468" s="152"/>
      <c r="P468" s="152"/>
      <c r="Q468" s="152"/>
      <c r="R468" s="152"/>
      <c r="S468" s="152"/>
      <c r="T468" s="152"/>
      <c r="U468" s="152"/>
      <c r="V468" s="152"/>
      <c r="W468" s="152"/>
      <c r="X468" s="152"/>
      <c r="Y468" s="152"/>
      <c r="Z468" s="152"/>
    </row>
    <row r="469" ht="12.8" customHeight="1" spans="1:26">
      <c r="A469" s="176"/>
      <c r="B469" s="176"/>
      <c r="C469" s="176"/>
      <c r="D469" s="152"/>
      <c r="E469" s="152"/>
      <c r="F469" s="152"/>
      <c r="G469" s="152"/>
      <c r="H469" s="152"/>
      <c r="I469" s="152"/>
      <c r="J469" s="152"/>
      <c r="K469" s="152"/>
      <c r="L469" s="152"/>
      <c r="M469" s="152"/>
      <c r="N469" s="152"/>
      <c r="O469" s="152"/>
      <c r="P469" s="152"/>
      <c r="Q469" s="152"/>
      <c r="R469" s="152"/>
      <c r="S469" s="152"/>
      <c r="T469" s="152"/>
      <c r="U469" s="152"/>
      <c r="V469" s="152"/>
      <c r="W469" s="152"/>
      <c r="X469" s="152"/>
      <c r="Y469" s="152"/>
      <c r="Z469" s="152"/>
    </row>
    <row r="470" ht="12.8" customHeight="1" spans="1:26">
      <c r="A470" s="176"/>
      <c r="B470" s="176"/>
      <c r="C470" s="176"/>
      <c r="D470" s="152"/>
      <c r="E470" s="152"/>
      <c r="F470" s="152"/>
      <c r="G470" s="152"/>
      <c r="H470" s="152"/>
      <c r="I470" s="152"/>
      <c r="J470" s="152"/>
      <c r="K470" s="152"/>
      <c r="L470" s="152"/>
      <c r="M470" s="152"/>
      <c r="N470" s="152"/>
      <c r="O470" s="152"/>
      <c r="P470" s="152"/>
      <c r="Q470" s="152"/>
      <c r="R470" s="152"/>
      <c r="S470" s="152"/>
      <c r="T470" s="152"/>
      <c r="U470" s="152"/>
      <c r="V470" s="152"/>
      <c r="W470" s="152"/>
      <c r="X470" s="152"/>
      <c r="Y470" s="152"/>
      <c r="Z470" s="152"/>
    </row>
    <row r="471" ht="12.8" customHeight="1" spans="1:26">
      <c r="A471" s="176"/>
      <c r="B471" s="176"/>
      <c r="C471" s="176"/>
      <c r="D471" s="152"/>
      <c r="E471" s="152"/>
      <c r="F471" s="152"/>
      <c r="G471" s="152"/>
      <c r="H471" s="152"/>
      <c r="I471" s="152"/>
      <c r="J471" s="152"/>
      <c r="K471" s="152"/>
      <c r="L471" s="152"/>
      <c r="M471" s="152"/>
      <c r="N471" s="152"/>
      <c r="O471" s="152"/>
      <c r="P471" s="152"/>
      <c r="Q471" s="152"/>
      <c r="R471" s="152"/>
      <c r="S471" s="152"/>
      <c r="T471" s="152"/>
      <c r="U471" s="152"/>
      <c r="V471" s="152"/>
      <c r="W471" s="152"/>
      <c r="X471" s="152"/>
      <c r="Y471" s="152"/>
      <c r="Z471" s="152"/>
    </row>
    <row r="472" ht="12.8" customHeight="1" spans="1:26">
      <c r="A472" s="176"/>
      <c r="B472" s="176"/>
      <c r="C472" s="176"/>
      <c r="D472" s="152"/>
      <c r="E472" s="152"/>
      <c r="F472" s="152"/>
      <c r="G472" s="152"/>
      <c r="H472" s="152"/>
      <c r="I472" s="152"/>
      <c r="J472" s="152"/>
      <c r="K472" s="152"/>
      <c r="L472" s="152"/>
      <c r="M472" s="152"/>
      <c r="N472" s="152"/>
      <c r="O472" s="152"/>
      <c r="P472" s="152"/>
      <c r="Q472" s="152"/>
      <c r="R472" s="152"/>
      <c r="S472" s="152"/>
      <c r="T472" s="152"/>
      <c r="U472" s="152"/>
      <c r="V472" s="152"/>
      <c r="W472" s="152"/>
      <c r="X472" s="152"/>
      <c r="Y472" s="152"/>
      <c r="Z472" s="152"/>
    </row>
    <row r="473" ht="12.8" customHeight="1" spans="1:26">
      <c r="A473" s="176"/>
      <c r="B473" s="176"/>
      <c r="C473" s="176"/>
      <c r="D473" s="152"/>
      <c r="E473" s="152"/>
      <c r="F473" s="152"/>
      <c r="G473" s="152"/>
      <c r="H473" s="152"/>
      <c r="I473" s="152"/>
      <c r="J473" s="152"/>
      <c r="K473" s="152"/>
      <c r="L473" s="152"/>
      <c r="M473" s="152"/>
      <c r="N473" s="152"/>
      <c r="O473" s="152"/>
      <c r="P473" s="152"/>
      <c r="Q473" s="152"/>
      <c r="R473" s="152"/>
      <c r="S473" s="152"/>
      <c r="T473" s="152"/>
      <c r="U473" s="152"/>
      <c r="V473" s="152"/>
      <c r="W473" s="152"/>
      <c r="X473" s="152"/>
      <c r="Y473" s="152"/>
      <c r="Z473" s="152"/>
    </row>
    <row r="474" ht="12.8" customHeight="1" spans="1:26">
      <c r="A474" s="176"/>
      <c r="B474" s="176"/>
      <c r="C474" s="176"/>
      <c r="D474" s="152"/>
      <c r="E474" s="152"/>
      <c r="F474" s="152"/>
      <c r="G474" s="152"/>
      <c r="H474" s="152"/>
      <c r="I474" s="152"/>
      <c r="J474" s="152"/>
      <c r="K474" s="152"/>
      <c r="L474" s="152"/>
      <c r="M474" s="152"/>
      <c r="N474" s="152"/>
      <c r="O474" s="152"/>
      <c r="P474" s="152"/>
      <c r="Q474" s="152"/>
      <c r="R474" s="152"/>
      <c r="S474" s="152"/>
      <c r="T474" s="152"/>
      <c r="U474" s="152"/>
      <c r="V474" s="152"/>
      <c r="W474" s="152"/>
      <c r="X474" s="152"/>
      <c r="Y474" s="152"/>
      <c r="Z474" s="152"/>
    </row>
    <row r="475" ht="12.8" customHeight="1" spans="1:26">
      <c r="A475" s="176"/>
      <c r="B475" s="176"/>
      <c r="C475" s="176"/>
      <c r="D475" s="152"/>
      <c r="E475" s="152"/>
      <c r="F475" s="152"/>
      <c r="G475" s="152"/>
      <c r="H475" s="152"/>
      <c r="I475" s="152"/>
      <c r="J475" s="152"/>
      <c r="K475" s="152"/>
      <c r="L475" s="152"/>
      <c r="M475" s="152"/>
      <c r="N475" s="152"/>
      <c r="O475" s="152"/>
      <c r="P475" s="152"/>
      <c r="Q475" s="152"/>
      <c r="R475" s="152"/>
      <c r="S475" s="152"/>
      <c r="T475" s="152"/>
      <c r="U475" s="152"/>
      <c r="V475" s="152"/>
      <c r="W475" s="152"/>
      <c r="X475" s="152"/>
      <c r="Y475" s="152"/>
      <c r="Z475" s="152"/>
    </row>
    <row r="476" ht="12.8" customHeight="1" spans="1:26">
      <c r="A476" s="176"/>
      <c r="B476" s="176"/>
      <c r="C476" s="176"/>
      <c r="D476" s="152"/>
      <c r="E476" s="152"/>
      <c r="F476" s="152"/>
      <c r="G476" s="152"/>
      <c r="H476" s="152"/>
      <c r="I476" s="152"/>
      <c r="J476" s="152"/>
      <c r="K476" s="152"/>
      <c r="L476" s="152"/>
      <c r="M476" s="152"/>
      <c r="N476" s="152"/>
      <c r="O476" s="152"/>
      <c r="P476" s="152"/>
      <c r="Q476" s="152"/>
      <c r="R476" s="152"/>
      <c r="S476" s="152"/>
      <c r="T476" s="152"/>
      <c r="U476" s="152"/>
      <c r="V476" s="152"/>
      <c r="W476" s="152"/>
      <c r="X476" s="152"/>
      <c r="Y476" s="152"/>
      <c r="Z476" s="152"/>
    </row>
    <row r="477" ht="12.8" customHeight="1" spans="1:26">
      <c r="A477" s="176"/>
      <c r="B477" s="176"/>
      <c r="C477" s="176"/>
      <c r="D477" s="152"/>
      <c r="E477" s="152"/>
      <c r="F477" s="152"/>
      <c r="G477" s="152"/>
      <c r="H477" s="152"/>
      <c r="I477" s="152"/>
      <c r="J477" s="152"/>
      <c r="K477" s="152"/>
      <c r="L477" s="152"/>
      <c r="M477" s="152"/>
      <c r="N477" s="152"/>
      <c r="O477" s="152"/>
      <c r="P477" s="152"/>
      <c r="Q477" s="152"/>
      <c r="R477" s="152"/>
      <c r="S477" s="152"/>
      <c r="T477" s="152"/>
      <c r="U477" s="152"/>
      <c r="V477" s="152"/>
      <c r="W477" s="152"/>
      <c r="X477" s="152"/>
      <c r="Y477" s="152"/>
      <c r="Z477" s="152"/>
    </row>
    <row r="478" ht="12.8" customHeight="1" spans="1:26">
      <c r="A478" s="176"/>
      <c r="B478" s="176"/>
      <c r="C478" s="176"/>
      <c r="D478" s="152"/>
      <c r="E478" s="152"/>
      <c r="F478" s="152"/>
      <c r="G478" s="152"/>
      <c r="H478" s="152"/>
      <c r="I478" s="152"/>
      <c r="J478" s="152"/>
      <c r="K478" s="152"/>
      <c r="L478" s="152"/>
      <c r="M478" s="152"/>
      <c r="N478" s="152"/>
      <c r="O478" s="152"/>
      <c r="P478" s="152"/>
      <c r="Q478" s="152"/>
      <c r="R478" s="152"/>
      <c r="S478" s="152"/>
      <c r="T478" s="152"/>
      <c r="U478" s="152"/>
      <c r="V478" s="152"/>
      <c r="W478" s="152"/>
      <c r="X478" s="152"/>
      <c r="Y478" s="152"/>
      <c r="Z478" s="152"/>
    </row>
    <row r="479" ht="12.8" customHeight="1" spans="1:26">
      <c r="A479" s="176"/>
      <c r="B479" s="176"/>
      <c r="C479" s="176"/>
      <c r="D479" s="152"/>
      <c r="E479" s="152"/>
      <c r="F479" s="152"/>
      <c r="G479" s="152"/>
      <c r="H479" s="152"/>
      <c r="I479" s="152"/>
      <c r="J479" s="152"/>
      <c r="K479" s="152"/>
      <c r="L479" s="152"/>
      <c r="M479" s="152"/>
      <c r="N479" s="152"/>
      <c r="O479" s="152"/>
      <c r="P479" s="152"/>
      <c r="Q479" s="152"/>
      <c r="R479" s="152"/>
      <c r="S479" s="152"/>
      <c r="T479" s="152"/>
      <c r="U479" s="152"/>
      <c r="V479" s="152"/>
      <c r="W479" s="152"/>
      <c r="X479" s="152"/>
      <c r="Y479" s="152"/>
      <c r="Z479" s="152"/>
    </row>
    <row r="480" ht="12.8" customHeight="1" spans="1:26">
      <c r="A480" s="176"/>
      <c r="B480" s="176"/>
      <c r="C480" s="176"/>
      <c r="D480" s="152"/>
      <c r="E480" s="152"/>
      <c r="F480" s="152"/>
      <c r="G480" s="152"/>
      <c r="H480" s="152"/>
      <c r="I480" s="152"/>
      <c r="J480" s="152"/>
      <c r="K480" s="152"/>
      <c r="L480" s="152"/>
      <c r="M480" s="152"/>
      <c r="N480" s="152"/>
      <c r="O480" s="152"/>
      <c r="P480" s="152"/>
      <c r="Q480" s="152"/>
      <c r="R480" s="152"/>
      <c r="S480" s="152"/>
      <c r="T480" s="152"/>
      <c r="U480" s="152"/>
      <c r="V480" s="152"/>
      <c r="W480" s="152"/>
      <c r="X480" s="152"/>
      <c r="Y480" s="152"/>
      <c r="Z480" s="152"/>
    </row>
    <row r="481" ht="12.8" customHeight="1" spans="1:26">
      <c r="A481" s="176"/>
      <c r="B481" s="176"/>
      <c r="C481" s="176"/>
      <c r="D481" s="152"/>
      <c r="E481" s="152"/>
      <c r="F481" s="152"/>
      <c r="G481" s="152"/>
      <c r="H481" s="152"/>
      <c r="I481" s="152"/>
      <c r="J481" s="152"/>
      <c r="K481" s="152"/>
      <c r="L481" s="152"/>
      <c r="M481" s="152"/>
      <c r="N481" s="152"/>
      <c r="O481" s="152"/>
      <c r="P481" s="152"/>
      <c r="Q481" s="152"/>
      <c r="R481" s="152"/>
      <c r="S481" s="152"/>
      <c r="T481" s="152"/>
      <c r="U481" s="152"/>
      <c r="V481" s="152"/>
      <c r="W481" s="152"/>
      <c r="X481" s="152"/>
      <c r="Y481" s="152"/>
      <c r="Z481" s="152"/>
    </row>
    <row r="482" ht="12.8" customHeight="1" spans="1:26">
      <c r="A482" s="176"/>
      <c r="B482" s="176"/>
      <c r="C482" s="176"/>
      <c r="D482" s="152"/>
      <c r="E482" s="152"/>
      <c r="F482" s="152"/>
      <c r="G482" s="152"/>
      <c r="H482" s="152"/>
      <c r="I482" s="152"/>
      <c r="J482" s="152"/>
      <c r="K482" s="152"/>
      <c r="L482" s="152"/>
      <c r="M482" s="152"/>
      <c r="N482" s="152"/>
      <c r="O482" s="152"/>
      <c r="P482" s="152"/>
      <c r="Q482" s="152"/>
      <c r="R482" s="152"/>
      <c r="S482" s="152"/>
      <c r="T482" s="152"/>
      <c r="U482" s="152"/>
      <c r="V482" s="152"/>
      <c r="W482" s="152"/>
      <c r="X482" s="152"/>
      <c r="Y482" s="152"/>
      <c r="Z482" s="152"/>
    </row>
    <row r="483" ht="12.8" customHeight="1" spans="1:26">
      <c r="A483" s="176"/>
      <c r="B483" s="176"/>
      <c r="C483" s="176"/>
      <c r="D483" s="152"/>
      <c r="E483" s="152"/>
      <c r="F483" s="152"/>
      <c r="G483" s="152"/>
      <c r="H483" s="152"/>
      <c r="I483" s="152"/>
      <c r="J483" s="152"/>
      <c r="K483" s="152"/>
      <c r="L483" s="152"/>
      <c r="M483" s="152"/>
      <c r="N483" s="152"/>
      <c r="O483" s="152"/>
      <c r="P483" s="152"/>
      <c r="Q483" s="152"/>
      <c r="R483" s="152"/>
      <c r="S483" s="152"/>
      <c r="T483" s="152"/>
      <c r="U483" s="152"/>
      <c r="V483" s="152"/>
      <c r="W483" s="152"/>
      <c r="X483" s="152"/>
      <c r="Y483" s="152"/>
      <c r="Z483" s="152"/>
    </row>
    <row r="484" ht="12.8" customHeight="1" spans="1:26">
      <c r="A484" s="176"/>
      <c r="B484" s="176"/>
      <c r="C484" s="176"/>
      <c r="D484" s="152"/>
      <c r="E484" s="152"/>
      <c r="F484" s="152"/>
      <c r="G484" s="152"/>
      <c r="H484" s="152"/>
      <c r="I484" s="152"/>
      <c r="J484" s="152"/>
      <c r="K484" s="152"/>
      <c r="L484" s="152"/>
      <c r="M484" s="152"/>
      <c r="N484" s="152"/>
      <c r="O484" s="152"/>
      <c r="P484" s="152"/>
      <c r="Q484" s="152"/>
      <c r="R484" s="152"/>
      <c r="S484" s="152"/>
      <c r="T484" s="152"/>
      <c r="U484" s="152"/>
      <c r="V484" s="152"/>
      <c r="W484" s="152"/>
      <c r="X484" s="152"/>
      <c r="Y484" s="152"/>
      <c r="Z484" s="152"/>
    </row>
    <row r="485" ht="12.8" customHeight="1" spans="1:26">
      <c r="A485" s="176"/>
      <c r="B485" s="176"/>
      <c r="C485" s="176"/>
      <c r="D485" s="152"/>
      <c r="E485" s="152"/>
      <c r="F485" s="152"/>
      <c r="G485" s="152"/>
      <c r="H485" s="152"/>
      <c r="I485" s="152"/>
      <c r="J485" s="152"/>
      <c r="K485" s="152"/>
      <c r="L485" s="152"/>
      <c r="M485" s="152"/>
      <c r="N485" s="152"/>
      <c r="O485" s="152"/>
      <c r="P485" s="152"/>
      <c r="Q485" s="152"/>
      <c r="R485" s="152"/>
      <c r="S485" s="152"/>
      <c r="T485" s="152"/>
      <c r="U485" s="152"/>
      <c r="V485" s="152"/>
      <c r="W485" s="152"/>
      <c r="X485" s="152"/>
      <c r="Y485" s="152"/>
      <c r="Z485" s="152"/>
    </row>
    <row r="486" ht="12.8" customHeight="1" spans="1:26">
      <c r="A486" s="176"/>
      <c r="B486" s="176"/>
      <c r="C486" s="176"/>
      <c r="D486" s="152"/>
      <c r="E486" s="152"/>
      <c r="F486" s="152"/>
      <c r="G486" s="152"/>
      <c r="H486" s="152"/>
      <c r="I486" s="152"/>
      <c r="J486" s="152"/>
      <c r="K486" s="152"/>
      <c r="L486" s="152"/>
      <c r="M486" s="152"/>
      <c r="N486" s="152"/>
      <c r="O486" s="152"/>
      <c r="P486" s="152"/>
      <c r="Q486" s="152"/>
      <c r="R486" s="152"/>
      <c r="S486" s="152"/>
      <c r="T486" s="152"/>
      <c r="U486" s="152"/>
      <c r="V486" s="152"/>
      <c r="W486" s="152"/>
      <c r="X486" s="152"/>
      <c r="Y486" s="152"/>
      <c r="Z486" s="152"/>
    </row>
    <row r="487" ht="12.8" customHeight="1" spans="1:26">
      <c r="A487" s="176"/>
      <c r="B487" s="176"/>
      <c r="C487" s="176"/>
      <c r="D487" s="152"/>
      <c r="E487" s="152"/>
      <c r="F487" s="152"/>
      <c r="G487" s="152"/>
      <c r="H487" s="152"/>
      <c r="I487" s="152"/>
      <c r="J487" s="152"/>
      <c r="K487" s="152"/>
      <c r="L487" s="152"/>
      <c r="M487" s="152"/>
      <c r="N487" s="152"/>
      <c r="O487" s="152"/>
      <c r="P487" s="152"/>
      <c r="Q487" s="152"/>
      <c r="R487" s="152"/>
      <c r="S487" s="152"/>
      <c r="T487" s="152"/>
      <c r="U487" s="152"/>
      <c r="V487" s="152"/>
      <c r="W487" s="152"/>
      <c r="X487" s="152"/>
      <c r="Y487" s="152"/>
      <c r="Z487" s="152"/>
    </row>
    <row r="488" ht="12.8" customHeight="1" spans="1:26">
      <c r="A488" s="176"/>
      <c r="B488" s="176"/>
      <c r="C488" s="176"/>
      <c r="D488" s="152"/>
      <c r="E488" s="152"/>
      <c r="F488" s="152"/>
      <c r="G488" s="152"/>
      <c r="H488" s="152"/>
      <c r="I488" s="152"/>
      <c r="J488" s="152"/>
      <c r="K488" s="152"/>
      <c r="L488" s="152"/>
      <c r="M488" s="152"/>
      <c r="N488" s="152"/>
      <c r="O488" s="152"/>
      <c r="P488" s="152"/>
      <c r="Q488" s="152"/>
      <c r="R488" s="152"/>
      <c r="S488" s="152"/>
      <c r="T488" s="152"/>
      <c r="U488" s="152"/>
      <c r="V488" s="152"/>
      <c r="W488" s="152"/>
      <c r="X488" s="152"/>
      <c r="Y488" s="152"/>
      <c r="Z488" s="152"/>
    </row>
    <row r="489" ht="12.8" customHeight="1" spans="1:26">
      <c r="A489" s="176"/>
      <c r="B489" s="176"/>
      <c r="C489" s="176"/>
      <c r="D489" s="152"/>
      <c r="E489" s="152"/>
      <c r="F489" s="152"/>
      <c r="G489" s="152"/>
      <c r="H489" s="152"/>
      <c r="I489" s="152"/>
      <c r="J489" s="152"/>
      <c r="K489" s="152"/>
      <c r="L489" s="152"/>
      <c r="M489" s="152"/>
      <c r="N489" s="152"/>
      <c r="O489" s="152"/>
      <c r="P489" s="152"/>
      <c r="Q489" s="152"/>
      <c r="R489" s="152"/>
      <c r="S489" s="152"/>
      <c r="T489" s="152"/>
      <c r="U489" s="152"/>
      <c r="V489" s="152"/>
      <c r="W489" s="152"/>
      <c r="X489" s="152"/>
      <c r="Y489" s="152"/>
      <c r="Z489" s="152"/>
    </row>
    <row r="490" ht="12.8" customHeight="1" spans="1:26">
      <c r="A490" s="176"/>
      <c r="B490" s="176"/>
      <c r="C490" s="176"/>
      <c r="D490" s="152"/>
      <c r="E490" s="152"/>
      <c r="F490" s="152"/>
      <c r="G490" s="152"/>
      <c r="H490" s="152"/>
      <c r="I490" s="152"/>
      <c r="J490" s="152"/>
      <c r="K490" s="152"/>
      <c r="L490" s="152"/>
      <c r="M490" s="152"/>
      <c r="N490" s="152"/>
      <c r="O490" s="152"/>
      <c r="P490" s="152"/>
      <c r="Q490" s="152"/>
      <c r="R490" s="152"/>
      <c r="S490" s="152"/>
      <c r="T490" s="152"/>
      <c r="U490" s="152"/>
      <c r="V490" s="152"/>
      <c r="W490" s="152"/>
      <c r="X490" s="152"/>
      <c r="Y490" s="152"/>
      <c r="Z490" s="152"/>
    </row>
    <row r="491" ht="12.8" customHeight="1" spans="1:26">
      <c r="A491" s="176"/>
      <c r="B491" s="176"/>
      <c r="C491" s="176"/>
      <c r="D491" s="152"/>
      <c r="E491" s="152"/>
      <c r="F491" s="152"/>
      <c r="G491" s="152"/>
      <c r="H491" s="152"/>
      <c r="I491" s="152"/>
      <c r="J491" s="152"/>
      <c r="K491" s="152"/>
      <c r="L491" s="152"/>
      <c r="M491" s="152"/>
      <c r="N491" s="152"/>
      <c r="O491" s="152"/>
      <c r="P491" s="152"/>
      <c r="Q491" s="152"/>
      <c r="R491" s="152"/>
      <c r="S491" s="152"/>
      <c r="T491" s="152"/>
      <c r="U491" s="152"/>
      <c r="V491" s="152"/>
      <c r="W491" s="152"/>
      <c r="X491" s="152"/>
      <c r="Y491" s="152"/>
      <c r="Z491" s="152"/>
    </row>
    <row r="492" ht="12.8" customHeight="1" spans="1:26">
      <c r="A492" s="176"/>
      <c r="B492" s="176"/>
      <c r="C492" s="176"/>
      <c r="D492" s="152"/>
      <c r="E492" s="152"/>
      <c r="F492" s="152"/>
      <c r="G492" s="152"/>
      <c r="H492" s="152"/>
      <c r="I492" s="152"/>
      <c r="J492" s="152"/>
      <c r="K492" s="152"/>
      <c r="L492" s="152"/>
      <c r="M492" s="152"/>
      <c r="N492" s="152"/>
      <c r="O492" s="152"/>
      <c r="P492" s="152"/>
      <c r="Q492" s="152"/>
      <c r="R492" s="152"/>
      <c r="S492" s="152"/>
      <c r="T492" s="152"/>
      <c r="U492" s="152"/>
      <c r="V492" s="152"/>
      <c r="W492" s="152"/>
      <c r="X492" s="152"/>
      <c r="Y492" s="152"/>
      <c r="Z492" s="152"/>
    </row>
    <row r="493" ht="12.8" customHeight="1" spans="1:26">
      <c r="A493" s="176"/>
      <c r="B493" s="176"/>
      <c r="C493" s="176"/>
      <c r="D493" s="152"/>
      <c r="E493" s="152"/>
      <c r="F493" s="152"/>
      <c r="G493" s="152"/>
      <c r="H493" s="152"/>
      <c r="I493" s="152"/>
      <c r="J493" s="152"/>
      <c r="K493" s="152"/>
      <c r="L493" s="152"/>
      <c r="M493" s="152"/>
      <c r="N493" s="152"/>
      <c r="O493" s="152"/>
      <c r="P493" s="152"/>
      <c r="Q493" s="152"/>
      <c r="R493" s="152"/>
      <c r="S493" s="152"/>
      <c r="T493" s="152"/>
      <c r="U493" s="152"/>
      <c r="V493" s="152"/>
      <c r="W493" s="152"/>
      <c r="X493" s="152"/>
      <c r="Y493" s="152"/>
      <c r="Z493" s="152"/>
    </row>
    <row r="494" ht="12.8" customHeight="1" spans="1:26">
      <c r="A494" s="176"/>
      <c r="B494" s="176"/>
      <c r="C494" s="176"/>
      <c r="D494" s="152"/>
      <c r="E494" s="152"/>
      <c r="F494" s="152"/>
      <c r="G494" s="152"/>
      <c r="H494" s="152"/>
      <c r="I494" s="152"/>
      <c r="J494" s="152"/>
      <c r="K494" s="152"/>
      <c r="L494" s="152"/>
      <c r="M494" s="152"/>
      <c r="N494" s="152"/>
      <c r="O494" s="152"/>
      <c r="P494" s="152"/>
      <c r="Q494" s="152"/>
      <c r="R494" s="152"/>
      <c r="S494" s="152"/>
      <c r="T494" s="152"/>
      <c r="U494" s="152"/>
      <c r="V494" s="152"/>
      <c r="W494" s="152"/>
      <c r="X494" s="152"/>
      <c r="Y494" s="152"/>
      <c r="Z494" s="152"/>
    </row>
    <row r="495" ht="12.8" customHeight="1" spans="1:26">
      <c r="A495" s="176"/>
      <c r="B495" s="176"/>
      <c r="C495" s="176"/>
      <c r="D495" s="152"/>
      <c r="E495" s="152"/>
      <c r="F495" s="152"/>
      <c r="G495" s="152"/>
      <c r="H495" s="152"/>
      <c r="I495" s="152"/>
      <c r="J495" s="152"/>
      <c r="K495" s="152"/>
      <c r="L495" s="152"/>
      <c r="M495" s="152"/>
      <c r="N495" s="152"/>
      <c r="O495" s="152"/>
      <c r="P495" s="152"/>
      <c r="Q495" s="152"/>
      <c r="R495" s="152"/>
      <c r="S495" s="152"/>
      <c r="T495" s="152"/>
      <c r="U495" s="152"/>
      <c r="V495" s="152"/>
      <c r="W495" s="152"/>
      <c r="X495" s="152"/>
      <c r="Y495" s="152"/>
      <c r="Z495" s="152"/>
    </row>
    <row r="496" ht="12.8" customHeight="1" spans="1:26">
      <c r="A496" s="176"/>
      <c r="B496" s="176"/>
      <c r="C496" s="176"/>
      <c r="D496" s="152"/>
      <c r="E496" s="152"/>
      <c r="F496" s="152"/>
      <c r="G496" s="152"/>
      <c r="H496" s="152"/>
      <c r="I496" s="152"/>
      <c r="J496" s="152"/>
      <c r="K496" s="152"/>
      <c r="L496" s="152"/>
      <c r="M496" s="152"/>
      <c r="N496" s="152"/>
      <c r="O496" s="152"/>
      <c r="P496" s="152"/>
      <c r="Q496" s="152"/>
      <c r="R496" s="152"/>
      <c r="S496" s="152"/>
      <c r="T496" s="152"/>
      <c r="U496" s="152"/>
      <c r="V496" s="152"/>
      <c r="W496" s="152"/>
      <c r="X496" s="152"/>
      <c r="Y496" s="152"/>
      <c r="Z496" s="152"/>
    </row>
    <row r="497" ht="12.8" customHeight="1" spans="1:26">
      <c r="A497" s="176"/>
      <c r="B497" s="176"/>
      <c r="C497" s="176"/>
      <c r="D497" s="152"/>
      <c r="E497" s="152"/>
      <c r="F497" s="152"/>
      <c r="G497" s="152"/>
      <c r="H497" s="152"/>
      <c r="I497" s="152"/>
      <c r="J497" s="152"/>
      <c r="K497" s="152"/>
      <c r="L497" s="152"/>
      <c r="M497" s="152"/>
      <c r="N497" s="152"/>
      <c r="O497" s="152"/>
      <c r="P497" s="152"/>
      <c r="Q497" s="152"/>
      <c r="R497" s="152"/>
      <c r="S497" s="152"/>
      <c r="T497" s="152"/>
      <c r="U497" s="152"/>
      <c r="V497" s="152"/>
      <c r="W497" s="152"/>
      <c r="X497" s="152"/>
      <c r="Y497" s="152"/>
      <c r="Z497" s="152"/>
    </row>
    <row r="498" ht="12.8" customHeight="1" spans="1:26">
      <c r="A498" s="176"/>
      <c r="B498" s="176"/>
      <c r="C498" s="176"/>
      <c r="D498" s="152"/>
      <c r="E498" s="152"/>
      <c r="F498" s="152"/>
      <c r="G498" s="152"/>
      <c r="H498" s="152"/>
      <c r="I498" s="152"/>
      <c r="J498" s="152"/>
      <c r="K498" s="152"/>
      <c r="L498" s="152"/>
      <c r="M498" s="152"/>
      <c r="N498" s="152"/>
      <c r="O498" s="152"/>
      <c r="P498" s="152"/>
      <c r="Q498" s="152"/>
      <c r="R498" s="152"/>
      <c r="S498" s="152"/>
      <c r="T498" s="152"/>
      <c r="U498" s="152"/>
      <c r="V498" s="152"/>
      <c r="W498" s="152"/>
      <c r="X498" s="152"/>
      <c r="Y498" s="152"/>
      <c r="Z498" s="152"/>
    </row>
    <row r="499" ht="12.8" customHeight="1" spans="1:26">
      <c r="A499" s="176"/>
      <c r="B499" s="176"/>
      <c r="C499" s="176"/>
      <c r="D499" s="152"/>
      <c r="E499" s="152"/>
      <c r="F499" s="152"/>
      <c r="G499" s="152"/>
      <c r="H499" s="152"/>
      <c r="I499" s="152"/>
      <c r="J499" s="152"/>
      <c r="K499" s="152"/>
      <c r="L499" s="152"/>
      <c r="M499" s="152"/>
      <c r="N499" s="152"/>
      <c r="O499" s="152"/>
      <c r="P499" s="152"/>
      <c r="Q499" s="152"/>
      <c r="R499" s="152"/>
      <c r="S499" s="152"/>
      <c r="T499" s="152"/>
      <c r="U499" s="152"/>
      <c r="V499" s="152"/>
      <c r="W499" s="152"/>
      <c r="X499" s="152"/>
      <c r="Y499" s="152"/>
      <c r="Z499" s="152"/>
    </row>
    <row r="500" ht="12.8" customHeight="1" spans="1:26">
      <c r="A500" s="176"/>
      <c r="B500" s="176"/>
      <c r="C500" s="176"/>
      <c r="D500" s="152"/>
      <c r="E500" s="152"/>
      <c r="F500" s="152"/>
      <c r="G500" s="152"/>
      <c r="H500" s="152"/>
      <c r="I500" s="152"/>
      <c r="J500" s="152"/>
      <c r="K500" s="152"/>
      <c r="L500" s="152"/>
      <c r="M500" s="152"/>
      <c r="N500" s="152"/>
      <c r="O500" s="152"/>
      <c r="P500" s="152"/>
      <c r="Q500" s="152"/>
      <c r="R500" s="152"/>
      <c r="S500" s="152"/>
      <c r="T500" s="152"/>
      <c r="U500" s="152"/>
      <c r="V500" s="152"/>
      <c r="W500" s="152"/>
      <c r="X500" s="152"/>
      <c r="Y500" s="152"/>
      <c r="Z500" s="152"/>
    </row>
    <row r="501" ht="12.8" customHeight="1" spans="1:26">
      <c r="A501" s="176"/>
      <c r="B501" s="176"/>
      <c r="C501" s="176"/>
      <c r="D501" s="152"/>
      <c r="E501" s="152"/>
      <c r="F501" s="152"/>
      <c r="G501" s="152"/>
      <c r="H501" s="152"/>
      <c r="I501" s="152"/>
      <c r="J501" s="152"/>
      <c r="K501" s="152"/>
      <c r="L501" s="152"/>
      <c r="M501" s="152"/>
      <c r="N501" s="152"/>
      <c r="O501" s="152"/>
      <c r="P501" s="152"/>
      <c r="Q501" s="152"/>
      <c r="R501" s="152"/>
      <c r="S501" s="152"/>
      <c r="T501" s="152"/>
      <c r="U501" s="152"/>
      <c r="V501" s="152"/>
      <c r="W501" s="152"/>
      <c r="X501" s="152"/>
      <c r="Y501" s="152"/>
      <c r="Z501" s="152"/>
    </row>
    <row r="502" ht="12.8" customHeight="1" spans="1:26">
      <c r="A502" s="176"/>
      <c r="B502" s="176"/>
      <c r="C502" s="176"/>
      <c r="D502" s="152"/>
      <c r="E502" s="152"/>
      <c r="F502" s="152"/>
      <c r="G502" s="152"/>
      <c r="H502" s="152"/>
      <c r="I502" s="152"/>
      <c r="J502" s="152"/>
      <c r="K502" s="152"/>
      <c r="L502" s="152"/>
      <c r="M502" s="152"/>
      <c r="N502" s="152"/>
      <c r="O502" s="152"/>
      <c r="P502" s="152"/>
      <c r="Q502" s="152"/>
      <c r="R502" s="152"/>
      <c r="S502" s="152"/>
      <c r="T502" s="152"/>
      <c r="U502" s="152"/>
      <c r="V502" s="152"/>
      <c r="W502" s="152"/>
      <c r="X502" s="152"/>
      <c r="Y502" s="152"/>
      <c r="Z502" s="152"/>
    </row>
    <row r="503" ht="12.8" customHeight="1" spans="1:26">
      <c r="A503" s="176"/>
      <c r="B503" s="176"/>
      <c r="C503" s="176"/>
      <c r="D503" s="152"/>
      <c r="E503" s="152"/>
      <c r="F503" s="152"/>
      <c r="G503" s="152"/>
      <c r="H503" s="152"/>
      <c r="I503" s="152"/>
      <c r="J503" s="152"/>
      <c r="K503" s="152"/>
      <c r="L503" s="152"/>
      <c r="M503" s="152"/>
      <c r="N503" s="152"/>
      <c r="O503" s="152"/>
      <c r="P503" s="152"/>
      <c r="Q503" s="152"/>
      <c r="R503" s="152"/>
      <c r="S503" s="152"/>
      <c r="T503" s="152"/>
      <c r="U503" s="152"/>
      <c r="V503" s="152"/>
      <c r="W503" s="152"/>
      <c r="X503" s="152"/>
      <c r="Y503" s="152"/>
      <c r="Z503" s="152"/>
    </row>
    <row r="504" ht="12.8" customHeight="1" spans="1:26">
      <c r="A504" s="176"/>
      <c r="B504" s="176"/>
      <c r="C504" s="176"/>
      <c r="D504" s="152"/>
      <c r="E504" s="152"/>
      <c r="F504" s="152"/>
      <c r="G504" s="152"/>
      <c r="H504" s="152"/>
      <c r="I504" s="152"/>
      <c r="J504" s="152"/>
      <c r="K504" s="152"/>
      <c r="L504" s="152"/>
      <c r="M504" s="152"/>
      <c r="N504" s="152"/>
      <c r="O504" s="152"/>
      <c r="P504" s="152"/>
      <c r="Q504" s="152"/>
      <c r="R504" s="152"/>
      <c r="S504" s="152"/>
      <c r="T504" s="152"/>
      <c r="U504" s="152"/>
      <c r="V504" s="152"/>
      <c r="W504" s="152"/>
      <c r="X504" s="152"/>
      <c r="Y504" s="152"/>
      <c r="Z504" s="152"/>
    </row>
    <row r="505" ht="12.8" customHeight="1" spans="1:26">
      <c r="A505" s="176"/>
      <c r="B505" s="176"/>
      <c r="C505" s="176"/>
      <c r="D505" s="152"/>
      <c r="E505" s="152"/>
      <c r="F505" s="152"/>
      <c r="G505" s="152"/>
      <c r="H505" s="152"/>
      <c r="I505" s="152"/>
      <c r="J505" s="152"/>
      <c r="K505" s="152"/>
      <c r="L505" s="152"/>
      <c r="M505" s="152"/>
      <c r="N505" s="152"/>
      <c r="O505" s="152"/>
      <c r="P505" s="152"/>
      <c r="Q505" s="152"/>
      <c r="R505" s="152"/>
      <c r="S505" s="152"/>
      <c r="T505" s="152"/>
      <c r="U505" s="152"/>
      <c r="V505" s="152"/>
      <c r="W505" s="152"/>
      <c r="X505" s="152"/>
      <c r="Y505" s="152"/>
      <c r="Z505" s="152"/>
    </row>
    <row r="506" ht="12.8" customHeight="1" spans="1:26">
      <c r="A506" s="176"/>
      <c r="B506" s="176"/>
      <c r="C506" s="176"/>
      <c r="D506" s="152"/>
      <c r="E506" s="152"/>
      <c r="F506" s="152"/>
      <c r="G506" s="152"/>
      <c r="H506" s="152"/>
      <c r="I506" s="152"/>
      <c r="J506" s="152"/>
      <c r="K506" s="152"/>
      <c r="L506" s="152"/>
      <c r="M506" s="152"/>
      <c r="N506" s="152"/>
      <c r="O506" s="152"/>
      <c r="P506" s="152"/>
      <c r="Q506" s="152"/>
      <c r="R506" s="152"/>
      <c r="S506" s="152"/>
      <c r="T506" s="152"/>
      <c r="U506" s="152"/>
      <c r="V506" s="152"/>
      <c r="W506" s="152"/>
      <c r="X506" s="152"/>
      <c r="Y506" s="152"/>
      <c r="Z506" s="152"/>
    </row>
    <row r="507" ht="12.8" customHeight="1" spans="1:26">
      <c r="A507" s="176"/>
      <c r="B507" s="176"/>
      <c r="C507" s="176"/>
      <c r="D507" s="152"/>
      <c r="E507" s="152"/>
      <c r="F507" s="152"/>
      <c r="G507" s="152"/>
      <c r="H507" s="152"/>
      <c r="I507" s="152"/>
      <c r="J507" s="152"/>
      <c r="K507" s="152"/>
      <c r="L507" s="152"/>
      <c r="M507" s="152"/>
      <c r="N507" s="152"/>
      <c r="O507" s="152"/>
      <c r="P507" s="152"/>
      <c r="Q507" s="152"/>
      <c r="R507" s="152"/>
      <c r="S507" s="152"/>
      <c r="T507" s="152"/>
      <c r="U507" s="152"/>
      <c r="V507" s="152"/>
      <c r="W507" s="152"/>
      <c r="X507" s="152"/>
      <c r="Y507" s="152"/>
      <c r="Z507" s="152"/>
    </row>
    <row r="508" ht="12.8" customHeight="1" spans="1:26">
      <c r="A508" s="176"/>
      <c r="B508" s="176"/>
      <c r="C508" s="176"/>
      <c r="D508" s="152"/>
      <c r="E508" s="152"/>
      <c r="F508" s="152"/>
      <c r="G508" s="152"/>
      <c r="H508" s="152"/>
      <c r="I508" s="152"/>
      <c r="J508" s="152"/>
      <c r="K508" s="152"/>
      <c r="L508" s="152"/>
      <c r="M508" s="152"/>
      <c r="N508" s="152"/>
      <c r="O508" s="152"/>
      <c r="P508" s="152"/>
      <c r="Q508" s="152"/>
      <c r="R508" s="152"/>
      <c r="S508" s="152"/>
      <c r="T508" s="152"/>
      <c r="U508" s="152"/>
      <c r="V508" s="152"/>
      <c r="W508" s="152"/>
      <c r="X508" s="152"/>
      <c r="Y508" s="152"/>
      <c r="Z508" s="152"/>
    </row>
    <row r="509" ht="12.8" customHeight="1" spans="1:26">
      <c r="A509" s="176"/>
      <c r="B509" s="176"/>
      <c r="C509" s="176"/>
      <c r="D509" s="152"/>
      <c r="E509" s="152"/>
      <c r="F509" s="152"/>
      <c r="G509" s="152"/>
      <c r="H509" s="152"/>
      <c r="I509" s="152"/>
      <c r="J509" s="152"/>
      <c r="K509" s="152"/>
      <c r="L509" s="152"/>
      <c r="M509" s="152"/>
      <c r="N509" s="152"/>
      <c r="O509" s="152"/>
      <c r="P509" s="152"/>
      <c r="Q509" s="152"/>
      <c r="R509" s="152"/>
      <c r="S509" s="152"/>
      <c r="T509" s="152"/>
      <c r="U509" s="152"/>
      <c r="V509" s="152"/>
      <c r="W509" s="152"/>
      <c r="X509" s="152"/>
      <c r="Y509" s="152"/>
      <c r="Z509" s="152"/>
    </row>
    <row r="510" ht="12.8" customHeight="1" spans="1:26">
      <c r="A510" s="176"/>
      <c r="B510" s="176"/>
      <c r="C510" s="176"/>
      <c r="D510" s="152"/>
      <c r="E510" s="152"/>
      <c r="F510" s="152"/>
      <c r="G510" s="152"/>
      <c r="H510" s="152"/>
      <c r="I510" s="152"/>
      <c r="J510" s="152"/>
      <c r="K510" s="152"/>
      <c r="L510" s="152"/>
      <c r="M510" s="152"/>
      <c r="N510" s="152"/>
      <c r="O510" s="152"/>
      <c r="P510" s="152"/>
      <c r="Q510" s="152"/>
      <c r="R510" s="152"/>
      <c r="S510" s="152"/>
      <c r="T510" s="152"/>
      <c r="U510" s="152"/>
      <c r="V510" s="152"/>
      <c r="W510" s="152"/>
      <c r="X510" s="152"/>
      <c r="Y510" s="152"/>
      <c r="Z510" s="152"/>
    </row>
    <row r="511" ht="12.8" customHeight="1" spans="1:26">
      <c r="A511" s="176"/>
      <c r="B511" s="176"/>
      <c r="C511" s="176"/>
      <c r="D511" s="152"/>
      <c r="E511" s="152"/>
      <c r="F511" s="152"/>
      <c r="G511" s="152"/>
      <c r="H511" s="152"/>
      <c r="I511" s="152"/>
      <c r="J511" s="152"/>
      <c r="K511" s="152"/>
      <c r="L511" s="152"/>
      <c r="M511" s="152"/>
      <c r="N511" s="152"/>
      <c r="O511" s="152"/>
      <c r="P511" s="152"/>
      <c r="Q511" s="152"/>
      <c r="R511" s="152"/>
      <c r="S511" s="152"/>
      <c r="T511" s="152"/>
      <c r="U511" s="152"/>
      <c r="V511" s="152"/>
      <c r="W511" s="152"/>
      <c r="X511" s="152"/>
      <c r="Y511" s="152"/>
      <c r="Z511" s="152"/>
    </row>
    <row r="512" ht="12.8" customHeight="1" spans="1:26">
      <c r="A512" s="176"/>
      <c r="B512" s="176"/>
      <c r="C512" s="176"/>
      <c r="D512" s="152"/>
      <c r="E512" s="152"/>
      <c r="F512" s="152"/>
      <c r="G512" s="152"/>
      <c r="H512" s="152"/>
      <c r="I512" s="152"/>
      <c r="J512" s="152"/>
      <c r="K512" s="152"/>
      <c r="L512" s="152"/>
      <c r="M512" s="152"/>
      <c r="N512" s="152"/>
      <c r="O512" s="152"/>
      <c r="P512" s="152"/>
      <c r="Q512" s="152"/>
      <c r="R512" s="152"/>
      <c r="S512" s="152"/>
      <c r="T512" s="152"/>
      <c r="U512" s="152"/>
      <c r="V512" s="152"/>
      <c r="W512" s="152"/>
      <c r="X512" s="152"/>
      <c r="Y512" s="152"/>
      <c r="Z512" s="152"/>
    </row>
    <row r="513" ht="12.8" customHeight="1" spans="1:26">
      <c r="A513" s="176"/>
      <c r="B513" s="176"/>
      <c r="C513" s="176"/>
      <c r="D513" s="152"/>
      <c r="E513" s="152"/>
      <c r="F513" s="152"/>
      <c r="G513" s="152"/>
      <c r="H513" s="152"/>
      <c r="I513" s="152"/>
      <c r="J513" s="152"/>
      <c r="K513" s="152"/>
      <c r="L513" s="152"/>
      <c r="M513" s="152"/>
      <c r="N513" s="152"/>
      <c r="O513" s="152"/>
      <c r="P513" s="152"/>
      <c r="Q513" s="152"/>
      <c r="R513" s="152"/>
      <c r="S513" s="152"/>
      <c r="T513" s="152"/>
      <c r="U513" s="152"/>
      <c r="V513" s="152"/>
      <c r="W513" s="152"/>
      <c r="X513" s="152"/>
      <c r="Y513" s="152"/>
      <c r="Z513" s="152"/>
    </row>
    <row r="514" ht="12.8" customHeight="1" spans="1:26">
      <c r="A514" s="176"/>
      <c r="B514" s="176"/>
      <c r="C514" s="176"/>
      <c r="D514" s="152"/>
      <c r="E514" s="152"/>
      <c r="F514" s="152"/>
      <c r="G514" s="152"/>
      <c r="H514" s="152"/>
      <c r="I514" s="152"/>
      <c r="J514" s="152"/>
      <c r="K514" s="152"/>
      <c r="L514" s="152"/>
      <c r="M514" s="152"/>
      <c r="N514" s="152"/>
      <c r="O514" s="152"/>
      <c r="P514" s="152"/>
      <c r="Q514" s="152"/>
      <c r="R514" s="152"/>
      <c r="S514" s="152"/>
      <c r="T514" s="152"/>
      <c r="U514" s="152"/>
      <c r="V514" s="152"/>
      <c r="W514" s="152"/>
      <c r="X514" s="152"/>
      <c r="Y514" s="152"/>
      <c r="Z514" s="152"/>
    </row>
    <row r="515" ht="12.8" customHeight="1" spans="1:26">
      <c r="A515" s="176"/>
      <c r="B515" s="176"/>
      <c r="C515" s="176"/>
      <c r="D515" s="152"/>
      <c r="E515" s="152"/>
      <c r="F515" s="152"/>
      <c r="G515" s="152"/>
      <c r="H515" s="152"/>
      <c r="I515" s="152"/>
      <c r="J515" s="152"/>
      <c r="K515" s="152"/>
      <c r="L515" s="152"/>
      <c r="M515" s="152"/>
      <c r="N515" s="152"/>
      <c r="O515" s="152"/>
      <c r="P515" s="152"/>
      <c r="Q515" s="152"/>
      <c r="R515" s="152"/>
      <c r="S515" s="152"/>
      <c r="T515" s="152"/>
      <c r="U515" s="152"/>
      <c r="V515" s="152"/>
      <c r="W515" s="152"/>
      <c r="X515" s="152"/>
      <c r="Y515" s="152"/>
      <c r="Z515" s="152"/>
    </row>
    <row r="516" ht="12.8" customHeight="1" spans="1:26">
      <c r="A516" s="176"/>
      <c r="B516" s="176"/>
      <c r="C516" s="176"/>
      <c r="D516" s="152"/>
      <c r="E516" s="152"/>
      <c r="F516" s="152"/>
      <c r="G516" s="152"/>
      <c r="H516" s="152"/>
      <c r="I516" s="152"/>
      <c r="J516" s="152"/>
      <c r="K516" s="152"/>
      <c r="L516" s="152"/>
      <c r="M516" s="152"/>
      <c r="N516" s="152"/>
      <c r="O516" s="152"/>
      <c r="P516" s="152"/>
      <c r="Q516" s="152"/>
      <c r="R516" s="152"/>
      <c r="S516" s="152"/>
      <c r="T516" s="152"/>
      <c r="U516" s="152"/>
      <c r="V516" s="152"/>
      <c r="W516" s="152"/>
      <c r="X516" s="152"/>
      <c r="Y516" s="152"/>
      <c r="Z516" s="152"/>
    </row>
    <row r="517" ht="12.8" customHeight="1" spans="1:26">
      <c r="A517" s="176"/>
      <c r="B517" s="176"/>
      <c r="C517" s="176"/>
      <c r="D517" s="152"/>
      <c r="E517" s="152"/>
      <c r="F517" s="152"/>
      <c r="G517" s="152"/>
      <c r="H517" s="152"/>
      <c r="I517" s="152"/>
      <c r="J517" s="152"/>
      <c r="K517" s="152"/>
      <c r="L517" s="152"/>
      <c r="M517" s="152"/>
      <c r="N517" s="152"/>
      <c r="O517" s="152"/>
      <c r="P517" s="152"/>
      <c r="Q517" s="152"/>
      <c r="R517" s="152"/>
      <c r="S517" s="152"/>
      <c r="T517" s="152"/>
      <c r="U517" s="152"/>
      <c r="V517" s="152"/>
      <c r="W517" s="152"/>
      <c r="X517" s="152"/>
      <c r="Y517" s="152"/>
      <c r="Z517" s="152"/>
    </row>
    <row r="518" ht="12.8" customHeight="1" spans="1:26">
      <c r="A518" s="176"/>
      <c r="B518" s="176"/>
      <c r="C518" s="176"/>
      <c r="D518" s="152"/>
      <c r="E518" s="152"/>
      <c r="F518" s="152"/>
      <c r="G518" s="152"/>
      <c r="H518" s="152"/>
      <c r="I518" s="152"/>
      <c r="J518" s="152"/>
      <c r="K518" s="152"/>
      <c r="L518" s="152"/>
      <c r="M518" s="152"/>
      <c r="N518" s="152"/>
      <c r="O518" s="152"/>
      <c r="P518" s="152"/>
      <c r="Q518" s="152"/>
      <c r="R518" s="152"/>
      <c r="S518" s="152"/>
      <c r="T518" s="152"/>
      <c r="U518" s="152"/>
      <c r="V518" s="152"/>
      <c r="W518" s="152"/>
      <c r="X518" s="152"/>
      <c r="Y518" s="152"/>
      <c r="Z518" s="152"/>
    </row>
    <row r="519" ht="12.8" customHeight="1" spans="1:26">
      <c r="A519" s="176"/>
      <c r="B519" s="176"/>
      <c r="C519" s="176"/>
      <c r="D519" s="152"/>
      <c r="E519" s="152"/>
      <c r="F519" s="152"/>
      <c r="G519" s="152"/>
      <c r="H519" s="152"/>
      <c r="I519" s="152"/>
      <c r="J519" s="152"/>
      <c r="K519" s="152"/>
      <c r="L519" s="152"/>
      <c r="M519" s="152"/>
      <c r="N519" s="152"/>
      <c r="O519" s="152"/>
      <c r="P519" s="152"/>
      <c r="Q519" s="152"/>
      <c r="R519" s="152"/>
      <c r="S519" s="152"/>
      <c r="T519" s="152"/>
      <c r="U519" s="152"/>
      <c r="V519" s="152"/>
      <c r="W519" s="152"/>
      <c r="X519" s="152"/>
      <c r="Y519" s="152"/>
      <c r="Z519" s="152"/>
    </row>
    <row r="520" ht="12.8" customHeight="1" spans="1:26">
      <c r="A520" s="176"/>
      <c r="B520" s="176"/>
      <c r="C520" s="176"/>
      <c r="D520" s="152"/>
      <c r="E520" s="152"/>
      <c r="F520" s="152"/>
      <c r="G520" s="152"/>
      <c r="H520" s="152"/>
      <c r="I520" s="152"/>
      <c r="J520" s="152"/>
      <c r="K520" s="152"/>
      <c r="L520" s="152"/>
      <c r="M520" s="152"/>
      <c r="N520" s="152"/>
      <c r="O520" s="152"/>
      <c r="P520" s="152"/>
      <c r="Q520" s="152"/>
      <c r="R520" s="152"/>
      <c r="S520" s="152"/>
      <c r="T520" s="152"/>
      <c r="U520" s="152"/>
      <c r="V520" s="152"/>
      <c r="W520" s="152"/>
      <c r="X520" s="152"/>
      <c r="Y520" s="152"/>
      <c r="Z520" s="152"/>
    </row>
    <row r="521" ht="12.8" customHeight="1" spans="1:26">
      <c r="A521" s="176"/>
      <c r="B521" s="176"/>
      <c r="C521" s="176"/>
      <c r="D521" s="152"/>
      <c r="E521" s="152"/>
      <c r="F521" s="152"/>
      <c r="G521" s="152"/>
      <c r="H521" s="152"/>
      <c r="I521" s="152"/>
      <c r="J521" s="152"/>
      <c r="K521" s="152"/>
      <c r="L521" s="152"/>
      <c r="M521" s="152"/>
      <c r="N521" s="152"/>
      <c r="O521" s="152"/>
      <c r="P521" s="152"/>
      <c r="Q521" s="152"/>
      <c r="R521" s="152"/>
      <c r="S521" s="152"/>
      <c r="T521" s="152"/>
      <c r="U521" s="152"/>
      <c r="V521" s="152"/>
      <c r="W521" s="152"/>
      <c r="X521" s="152"/>
      <c r="Y521" s="152"/>
      <c r="Z521" s="152"/>
    </row>
    <row r="522" ht="12.8" customHeight="1" spans="1:26">
      <c r="A522" s="176"/>
      <c r="B522" s="176"/>
      <c r="C522" s="176"/>
      <c r="D522" s="152"/>
      <c r="E522" s="152"/>
      <c r="F522" s="152"/>
      <c r="G522" s="152"/>
      <c r="H522" s="152"/>
      <c r="I522" s="152"/>
      <c r="J522" s="152"/>
      <c r="K522" s="152"/>
      <c r="L522" s="152"/>
      <c r="M522" s="152"/>
      <c r="N522" s="152"/>
      <c r="O522" s="152"/>
      <c r="P522" s="152"/>
      <c r="Q522" s="152"/>
      <c r="R522" s="152"/>
      <c r="S522" s="152"/>
      <c r="T522" s="152"/>
      <c r="U522" s="152"/>
      <c r="V522" s="152"/>
      <c r="W522" s="152"/>
      <c r="X522" s="152"/>
      <c r="Y522" s="152"/>
      <c r="Z522" s="152"/>
    </row>
    <row r="523" ht="12.8" customHeight="1" spans="1:26">
      <c r="A523" s="176"/>
      <c r="B523" s="176"/>
      <c r="C523" s="176"/>
      <c r="D523" s="152"/>
      <c r="E523" s="152"/>
      <c r="F523" s="152"/>
      <c r="G523" s="152"/>
      <c r="H523" s="152"/>
      <c r="I523" s="152"/>
      <c r="J523" s="152"/>
      <c r="K523" s="152"/>
      <c r="L523" s="152"/>
      <c r="M523" s="152"/>
      <c r="N523" s="152"/>
      <c r="O523" s="152"/>
      <c r="P523" s="152"/>
      <c r="Q523" s="152"/>
      <c r="R523" s="152"/>
      <c r="S523" s="152"/>
      <c r="T523" s="152"/>
      <c r="U523" s="152"/>
      <c r="V523" s="152"/>
      <c r="W523" s="152"/>
      <c r="X523" s="152"/>
      <c r="Y523" s="152"/>
      <c r="Z523" s="152"/>
    </row>
    <row r="524" ht="12.8" customHeight="1" spans="1:26">
      <c r="A524" s="176"/>
      <c r="B524" s="176"/>
      <c r="C524" s="176"/>
      <c r="D524" s="152"/>
      <c r="E524" s="152"/>
      <c r="F524" s="152"/>
      <c r="G524" s="152"/>
      <c r="H524" s="152"/>
      <c r="I524" s="152"/>
      <c r="J524" s="152"/>
      <c r="K524" s="152"/>
      <c r="L524" s="152"/>
      <c r="M524" s="152"/>
      <c r="N524" s="152"/>
      <c r="O524" s="152"/>
      <c r="P524" s="152"/>
      <c r="Q524" s="152"/>
      <c r="R524" s="152"/>
      <c r="S524" s="152"/>
      <c r="T524" s="152"/>
      <c r="U524" s="152"/>
      <c r="V524" s="152"/>
      <c r="W524" s="152"/>
      <c r="X524" s="152"/>
      <c r="Y524" s="152"/>
      <c r="Z524" s="152"/>
    </row>
    <row r="525" ht="12.8" customHeight="1" spans="1:26">
      <c r="A525" s="176"/>
      <c r="B525" s="176"/>
      <c r="C525" s="176"/>
      <c r="D525" s="152"/>
      <c r="E525" s="152"/>
      <c r="F525" s="152"/>
      <c r="G525" s="152"/>
      <c r="H525" s="152"/>
      <c r="I525" s="152"/>
      <c r="J525" s="152"/>
      <c r="K525" s="152"/>
      <c r="L525" s="152"/>
      <c r="M525" s="152"/>
      <c r="N525" s="152"/>
      <c r="O525" s="152"/>
      <c r="P525" s="152"/>
      <c r="Q525" s="152"/>
      <c r="R525" s="152"/>
      <c r="S525" s="152"/>
      <c r="T525" s="152"/>
      <c r="U525" s="152"/>
      <c r="V525" s="152"/>
      <c r="W525" s="152"/>
      <c r="X525" s="152"/>
      <c r="Y525" s="152"/>
      <c r="Z525" s="152"/>
    </row>
    <row r="526" ht="12.8" customHeight="1" spans="1:26">
      <c r="A526" s="176"/>
      <c r="B526" s="176"/>
      <c r="C526" s="176"/>
      <c r="D526" s="152"/>
      <c r="E526" s="152"/>
      <c r="F526" s="152"/>
      <c r="G526" s="152"/>
      <c r="H526" s="152"/>
      <c r="I526" s="152"/>
      <c r="J526" s="152"/>
      <c r="K526" s="152"/>
      <c r="L526" s="152"/>
      <c r="M526" s="152"/>
      <c r="N526" s="152"/>
      <c r="O526" s="152"/>
      <c r="P526" s="152"/>
      <c r="Q526" s="152"/>
      <c r="R526" s="152"/>
      <c r="S526" s="152"/>
      <c r="T526" s="152"/>
      <c r="U526" s="152"/>
      <c r="V526" s="152"/>
      <c r="W526" s="152"/>
      <c r="X526" s="152"/>
      <c r="Y526" s="152"/>
      <c r="Z526" s="152"/>
    </row>
    <row r="527" ht="12.8" customHeight="1" spans="1:26">
      <c r="A527" s="176"/>
      <c r="B527" s="176"/>
      <c r="C527" s="176"/>
      <c r="D527" s="152"/>
      <c r="E527" s="152"/>
      <c r="F527" s="152"/>
      <c r="G527" s="152"/>
      <c r="H527" s="152"/>
      <c r="I527" s="152"/>
      <c r="J527" s="152"/>
      <c r="K527" s="152"/>
      <c r="L527" s="152"/>
      <c r="M527" s="152"/>
      <c r="N527" s="152"/>
      <c r="O527" s="152"/>
      <c r="P527" s="152"/>
      <c r="Q527" s="152"/>
      <c r="R527" s="152"/>
      <c r="S527" s="152"/>
      <c r="T527" s="152"/>
      <c r="U527" s="152"/>
      <c r="V527" s="152"/>
      <c r="W527" s="152"/>
      <c r="X527" s="152"/>
      <c r="Y527" s="152"/>
      <c r="Z527" s="152"/>
    </row>
    <row r="528" ht="12.8" customHeight="1" spans="1:26">
      <c r="A528" s="176"/>
      <c r="B528" s="176"/>
      <c r="C528" s="176"/>
      <c r="D528" s="152"/>
      <c r="E528" s="152"/>
      <c r="F528" s="152"/>
      <c r="G528" s="152"/>
      <c r="H528" s="152"/>
      <c r="I528" s="152"/>
      <c r="J528" s="152"/>
      <c r="K528" s="152"/>
      <c r="L528" s="152"/>
      <c r="M528" s="152"/>
      <c r="N528" s="152"/>
      <c r="O528" s="152"/>
      <c r="P528" s="152"/>
      <c r="Q528" s="152"/>
      <c r="R528" s="152"/>
      <c r="S528" s="152"/>
      <c r="T528" s="152"/>
      <c r="U528" s="152"/>
      <c r="V528" s="152"/>
      <c r="W528" s="152"/>
      <c r="X528" s="152"/>
      <c r="Y528" s="152"/>
      <c r="Z528" s="152"/>
    </row>
    <row r="529" ht="12.8" customHeight="1" spans="1:26">
      <c r="A529" s="176"/>
      <c r="B529" s="176"/>
      <c r="C529" s="176"/>
      <c r="D529" s="152"/>
      <c r="E529" s="152"/>
      <c r="F529" s="152"/>
      <c r="G529" s="152"/>
      <c r="H529" s="152"/>
      <c r="I529" s="152"/>
      <c r="J529" s="152"/>
      <c r="K529" s="152"/>
      <c r="L529" s="152"/>
      <c r="M529" s="152"/>
      <c r="N529" s="152"/>
      <c r="O529" s="152"/>
      <c r="P529" s="152"/>
      <c r="Q529" s="152"/>
      <c r="R529" s="152"/>
      <c r="S529" s="152"/>
      <c r="T529" s="152"/>
      <c r="U529" s="152"/>
      <c r="V529" s="152"/>
      <c r="W529" s="152"/>
      <c r="X529" s="152"/>
      <c r="Y529" s="152"/>
      <c r="Z529" s="152"/>
    </row>
    <row r="530" ht="12.8" customHeight="1" spans="1:26">
      <c r="A530" s="176"/>
      <c r="B530" s="176"/>
      <c r="C530" s="176"/>
      <c r="D530" s="152"/>
      <c r="E530" s="152"/>
      <c r="F530" s="152"/>
      <c r="G530" s="152"/>
      <c r="H530" s="152"/>
      <c r="I530" s="152"/>
      <c r="J530" s="152"/>
      <c r="K530" s="152"/>
      <c r="L530" s="152"/>
      <c r="M530" s="152"/>
      <c r="N530" s="152"/>
      <c r="O530" s="152"/>
      <c r="P530" s="152"/>
      <c r="Q530" s="152"/>
      <c r="R530" s="152"/>
      <c r="S530" s="152"/>
      <c r="T530" s="152"/>
      <c r="U530" s="152"/>
      <c r="V530" s="152"/>
      <c r="W530" s="152"/>
      <c r="X530" s="152"/>
      <c r="Y530" s="152"/>
      <c r="Z530" s="152"/>
    </row>
    <row r="531" ht="12.8" customHeight="1" spans="1:26">
      <c r="A531" s="176"/>
      <c r="B531" s="176"/>
      <c r="C531" s="176"/>
      <c r="D531" s="152"/>
      <c r="E531" s="152"/>
      <c r="F531" s="152"/>
      <c r="G531" s="152"/>
      <c r="H531" s="152"/>
      <c r="I531" s="152"/>
      <c r="J531" s="152"/>
      <c r="K531" s="152"/>
      <c r="L531" s="152"/>
      <c r="M531" s="152"/>
      <c r="N531" s="152"/>
      <c r="O531" s="152"/>
      <c r="P531" s="152"/>
      <c r="Q531" s="152"/>
      <c r="R531" s="152"/>
      <c r="S531" s="152"/>
      <c r="T531" s="152"/>
      <c r="U531" s="152"/>
      <c r="V531" s="152"/>
      <c r="W531" s="152"/>
      <c r="X531" s="152"/>
      <c r="Y531" s="152"/>
      <c r="Z531" s="152"/>
    </row>
    <row r="532" ht="12.8" customHeight="1" spans="1:26">
      <c r="A532" s="176"/>
      <c r="B532" s="176"/>
      <c r="C532" s="176"/>
      <c r="D532" s="152"/>
      <c r="E532" s="152"/>
      <c r="F532" s="152"/>
      <c r="G532" s="152"/>
      <c r="H532" s="152"/>
      <c r="I532" s="152"/>
      <c r="J532" s="152"/>
      <c r="K532" s="152"/>
      <c r="L532" s="152"/>
      <c r="M532" s="152"/>
      <c r="N532" s="152"/>
      <c r="O532" s="152"/>
      <c r="P532" s="152"/>
      <c r="Q532" s="152"/>
      <c r="R532" s="152"/>
      <c r="S532" s="152"/>
      <c r="T532" s="152"/>
      <c r="U532" s="152"/>
      <c r="V532" s="152"/>
      <c r="W532" s="152"/>
      <c r="X532" s="152"/>
      <c r="Y532" s="152"/>
      <c r="Z532" s="152"/>
    </row>
    <row r="533" ht="12.8" customHeight="1" spans="1:26">
      <c r="A533" s="176"/>
      <c r="B533" s="176"/>
      <c r="C533" s="176"/>
      <c r="D533" s="152"/>
      <c r="E533" s="152"/>
      <c r="F533" s="152"/>
      <c r="G533" s="152"/>
      <c r="H533" s="152"/>
      <c r="I533" s="152"/>
      <c r="J533" s="152"/>
      <c r="K533" s="152"/>
      <c r="L533" s="152"/>
      <c r="M533" s="152"/>
      <c r="N533" s="152"/>
      <c r="O533" s="152"/>
      <c r="P533" s="152"/>
      <c r="Q533" s="152"/>
      <c r="R533" s="152"/>
      <c r="S533" s="152"/>
      <c r="T533" s="152"/>
      <c r="U533" s="152"/>
      <c r="V533" s="152"/>
      <c r="W533" s="152"/>
      <c r="X533" s="152"/>
      <c r="Y533" s="152"/>
      <c r="Z533" s="152"/>
    </row>
    <row r="534" ht="12.8" customHeight="1" spans="1:26">
      <c r="A534" s="176"/>
      <c r="B534" s="176"/>
      <c r="C534" s="176"/>
      <c r="D534" s="152"/>
      <c r="E534" s="152"/>
      <c r="F534" s="152"/>
      <c r="G534" s="152"/>
      <c r="H534" s="152"/>
      <c r="I534" s="152"/>
      <c r="J534" s="152"/>
      <c r="K534" s="152"/>
      <c r="L534" s="152"/>
      <c r="M534" s="152"/>
      <c r="N534" s="152"/>
      <c r="O534" s="152"/>
      <c r="P534" s="152"/>
      <c r="Q534" s="152"/>
      <c r="R534" s="152"/>
      <c r="S534" s="152"/>
      <c r="T534" s="152"/>
      <c r="U534" s="152"/>
      <c r="V534" s="152"/>
      <c r="W534" s="152"/>
      <c r="X534" s="152"/>
      <c r="Y534" s="152"/>
      <c r="Z534" s="152"/>
    </row>
    <row r="535" ht="12.8" customHeight="1" spans="1:26">
      <c r="A535" s="176"/>
      <c r="B535" s="176"/>
      <c r="C535" s="176"/>
      <c r="D535" s="152"/>
      <c r="E535" s="152"/>
      <c r="F535" s="152"/>
      <c r="G535" s="152"/>
      <c r="H535" s="152"/>
      <c r="I535" s="152"/>
      <c r="J535" s="152"/>
      <c r="K535" s="152"/>
      <c r="L535" s="152"/>
      <c r="M535" s="152"/>
      <c r="N535" s="152"/>
      <c r="O535" s="152"/>
      <c r="P535" s="152"/>
      <c r="Q535" s="152"/>
      <c r="R535" s="152"/>
      <c r="S535" s="152"/>
      <c r="T535" s="152"/>
      <c r="U535" s="152"/>
      <c r="V535" s="152"/>
      <c r="W535" s="152"/>
      <c r="X535" s="152"/>
      <c r="Y535" s="152"/>
      <c r="Z535" s="152"/>
    </row>
    <row r="536" ht="12.8" customHeight="1" spans="1:26">
      <c r="A536" s="176"/>
      <c r="B536" s="176"/>
      <c r="C536" s="176"/>
      <c r="D536" s="152"/>
      <c r="E536" s="152"/>
      <c r="F536" s="152"/>
      <c r="G536" s="152"/>
      <c r="H536" s="152"/>
      <c r="I536" s="152"/>
      <c r="J536" s="152"/>
      <c r="K536" s="152"/>
      <c r="L536" s="152"/>
      <c r="M536" s="152"/>
      <c r="N536" s="152"/>
      <c r="O536" s="152"/>
      <c r="P536" s="152"/>
      <c r="Q536" s="152"/>
      <c r="R536" s="152"/>
      <c r="S536" s="152"/>
      <c r="T536" s="152"/>
      <c r="U536" s="152"/>
      <c r="V536" s="152"/>
      <c r="W536" s="152"/>
      <c r="X536" s="152"/>
      <c r="Y536" s="152"/>
      <c r="Z536" s="152"/>
    </row>
    <row r="537" ht="12.8" customHeight="1" spans="1:26">
      <c r="A537" s="176"/>
      <c r="B537" s="176"/>
      <c r="C537" s="176"/>
      <c r="D537" s="152"/>
      <c r="E537" s="152"/>
      <c r="F537" s="152"/>
      <c r="G537" s="152"/>
      <c r="H537" s="152"/>
      <c r="I537" s="152"/>
      <c r="J537" s="152"/>
      <c r="K537" s="152"/>
      <c r="L537" s="152"/>
      <c r="M537" s="152"/>
      <c r="N537" s="152"/>
      <c r="O537" s="152"/>
      <c r="P537" s="152"/>
      <c r="Q537" s="152"/>
      <c r="R537" s="152"/>
      <c r="S537" s="152"/>
      <c r="T537" s="152"/>
      <c r="U537" s="152"/>
      <c r="V537" s="152"/>
      <c r="W537" s="152"/>
      <c r="X537" s="152"/>
      <c r="Y537" s="152"/>
      <c r="Z537" s="152"/>
    </row>
    <row r="538" ht="12.8" customHeight="1" spans="1:26">
      <c r="A538" s="176"/>
      <c r="B538" s="176"/>
      <c r="C538" s="176"/>
      <c r="D538" s="152"/>
      <c r="E538" s="152"/>
      <c r="F538" s="152"/>
      <c r="G538" s="152"/>
      <c r="H538" s="152"/>
      <c r="I538" s="152"/>
      <c r="J538" s="152"/>
      <c r="K538" s="152"/>
      <c r="L538" s="152"/>
      <c r="M538" s="152"/>
      <c r="N538" s="152"/>
      <c r="O538" s="152"/>
      <c r="P538" s="152"/>
      <c r="Q538" s="152"/>
      <c r="R538" s="152"/>
      <c r="S538" s="152"/>
      <c r="T538" s="152"/>
      <c r="U538" s="152"/>
      <c r="V538" s="152"/>
      <c r="W538" s="152"/>
      <c r="X538" s="152"/>
      <c r="Y538" s="152"/>
      <c r="Z538" s="152"/>
    </row>
    <row r="539" ht="12.8" customHeight="1" spans="1:26">
      <c r="A539" s="176"/>
      <c r="B539" s="176"/>
      <c r="C539" s="176"/>
      <c r="D539" s="152"/>
      <c r="E539" s="152"/>
      <c r="F539" s="152"/>
      <c r="G539" s="152"/>
      <c r="H539" s="152"/>
      <c r="I539" s="152"/>
      <c r="J539" s="152"/>
      <c r="K539" s="152"/>
      <c r="L539" s="152"/>
      <c r="M539" s="152"/>
      <c r="N539" s="152"/>
      <c r="O539" s="152"/>
      <c r="P539" s="152"/>
      <c r="Q539" s="152"/>
      <c r="R539" s="152"/>
      <c r="S539" s="152"/>
      <c r="T539" s="152"/>
      <c r="U539" s="152"/>
      <c r="V539" s="152"/>
      <c r="W539" s="152"/>
      <c r="X539" s="152"/>
      <c r="Y539" s="152"/>
      <c r="Z539" s="152"/>
    </row>
    <row r="540" ht="12.8" customHeight="1" spans="1:26">
      <c r="A540" s="176"/>
      <c r="B540" s="176"/>
      <c r="C540" s="176"/>
      <c r="D540" s="152"/>
      <c r="E540" s="152"/>
      <c r="F540" s="152"/>
      <c r="G540" s="152"/>
      <c r="H540" s="152"/>
      <c r="I540" s="152"/>
      <c r="J540" s="152"/>
      <c r="K540" s="152"/>
      <c r="L540" s="152"/>
      <c r="M540" s="152"/>
      <c r="N540" s="152"/>
      <c r="O540" s="152"/>
      <c r="P540" s="152"/>
      <c r="Q540" s="152"/>
      <c r="R540" s="152"/>
      <c r="S540" s="152"/>
      <c r="T540" s="152"/>
      <c r="U540" s="152"/>
      <c r="V540" s="152"/>
      <c r="W540" s="152"/>
      <c r="X540" s="152"/>
      <c r="Y540" s="152"/>
      <c r="Z540" s="152"/>
    </row>
    <row r="541" ht="12.8" customHeight="1" spans="1:26">
      <c r="A541" s="176"/>
      <c r="B541" s="176"/>
      <c r="C541" s="176"/>
      <c r="D541" s="152"/>
      <c r="E541" s="152"/>
      <c r="F541" s="152"/>
      <c r="G541" s="152"/>
      <c r="H541" s="152"/>
      <c r="I541" s="152"/>
      <c r="J541" s="152"/>
      <c r="K541" s="152"/>
      <c r="L541" s="152"/>
      <c r="M541" s="152"/>
      <c r="N541" s="152"/>
      <c r="O541" s="152"/>
      <c r="P541" s="152"/>
      <c r="Q541" s="152"/>
      <c r="R541" s="152"/>
      <c r="S541" s="152"/>
      <c r="T541" s="152"/>
      <c r="U541" s="152"/>
      <c r="V541" s="152"/>
      <c r="W541" s="152"/>
      <c r="X541" s="152"/>
      <c r="Y541" s="152"/>
      <c r="Z541" s="152"/>
    </row>
    <row r="542" ht="12.8" customHeight="1" spans="1:26">
      <c r="A542" s="176"/>
      <c r="B542" s="176"/>
      <c r="C542" s="176"/>
      <c r="D542" s="152"/>
      <c r="E542" s="152"/>
      <c r="F542" s="152"/>
      <c r="G542" s="152"/>
      <c r="H542" s="152"/>
      <c r="I542" s="152"/>
      <c r="J542" s="152"/>
      <c r="K542" s="152"/>
      <c r="L542" s="152"/>
      <c r="M542" s="152"/>
      <c r="N542" s="152"/>
      <c r="O542" s="152"/>
      <c r="P542" s="152"/>
      <c r="Q542" s="152"/>
      <c r="R542" s="152"/>
      <c r="S542" s="152"/>
      <c r="T542" s="152"/>
      <c r="U542" s="152"/>
      <c r="V542" s="152"/>
      <c r="W542" s="152"/>
      <c r="X542" s="152"/>
      <c r="Y542" s="152"/>
      <c r="Z542" s="152"/>
    </row>
    <row r="543" ht="12.8" customHeight="1" spans="1:26">
      <c r="A543" s="176"/>
      <c r="B543" s="176"/>
      <c r="C543" s="176"/>
      <c r="D543" s="152"/>
      <c r="E543" s="152"/>
      <c r="F543" s="152"/>
      <c r="G543" s="152"/>
      <c r="H543" s="152"/>
      <c r="I543" s="152"/>
      <c r="J543" s="152"/>
      <c r="K543" s="152"/>
      <c r="L543" s="152"/>
      <c r="M543" s="152"/>
      <c r="N543" s="152"/>
      <c r="O543" s="152"/>
      <c r="P543" s="152"/>
      <c r="Q543" s="152"/>
      <c r="R543" s="152"/>
      <c r="S543" s="152"/>
      <c r="T543" s="152"/>
      <c r="U543" s="152"/>
      <c r="V543" s="152"/>
      <c r="W543" s="152"/>
      <c r="X543" s="152"/>
      <c r="Y543" s="152"/>
      <c r="Z543" s="152"/>
    </row>
    <row r="544" ht="12.8" customHeight="1" spans="1:26">
      <c r="A544" s="176"/>
      <c r="B544" s="176"/>
      <c r="C544" s="176"/>
      <c r="D544" s="152"/>
      <c r="E544" s="152"/>
      <c r="F544" s="152"/>
      <c r="G544" s="152"/>
      <c r="H544" s="152"/>
      <c r="I544" s="152"/>
      <c r="J544" s="152"/>
      <c r="K544" s="152"/>
      <c r="L544" s="152"/>
      <c r="M544" s="152"/>
      <c r="N544" s="152"/>
      <c r="O544" s="152"/>
      <c r="P544" s="152"/>
      <c r="Q544" s="152"/>
      <c r="R544" s="152"/>
      <c r="S544" s="152"/>
      <c r="T544" s="152"/>
      <c r="U544" s="152"/>
      <c r="V544" s="152"/>
      <c r="W544" s="152"/>
      <c r="X544" s="152"/>
      <c r="Y544" s="152"/>
      <c r="Z544" s="152"/>
    </row>
    <row r="545" ht="12.8" customHeight="1" spans="1:26">
      <c r="A545" s="176"/>
      <c r="B545" s="176"/>
      <c r="C545" s="176"/>
      <c r="D545" s="152"/>
      <c r="E545" s="152"/>
      <c r="F545" s="152"/>
      <c r="G545" s="152"/>
      <c r="H545" s="152"/>
      <c r="I545" s="152"/>
      <c r="J545" s="152"/>
      <c r="K545" s="152"/>
      <c r="L545" s="152"/>
      <c r="M545" s="152"/>
      <c r="N545" s="152"/>
      <c r="O545" s="152"/>
      <c r="P545" s="152"/>
      <c r="Q545" s="152"/>
      <c r="R545" s="152"/>
      <c r="S545" s="152"/>
      <c r="T545" s="152"/>
      <c r="U545" s="152"/>
      <c r="V545" s="152"/>
      <c r="W545" s="152"/>
      <c r="X545" s="152"/>
      <c r="Y545" s="152"/>
      <c r="Z545" s="152"/>
    </row>
    <row r="546" ht="12.8" customHeight="1" spans="1:26">
      <c r="A546" s="176"/>
      <c r="B546" s="176"/>
      <c r="C546" s="176"/>
      <c r="D546" s="152"/>
      <c r="E546" s="152"/>
      <c r="F546" s="152"/>
      <c r="G546" s="152"/>
      <c r="H546" s="152"/>
      <c r="I546" s="152"/>
      <c r="J546" s="152"/>
      <c r="K546" s="152"/>
      <c r="L546" s="152"/>
      <c r="M546" s="152"/>
      <c r="N546" s="152"/>
      <c r="O546" s="152"/>
      <c r="P546" s="152"/>
      <c r="Q546" s="152"/>
      <c r="R546" s="152"/>
      <c r="S546" s="152"/>
      <c r="T546" s="152"/>
      <c r="U546" s="152"/>
      <c r="V546" s="152"/>
      <c r="W546" s="152"/>
      <c r="X546" s="152"/>
      <c r="Y546" s="152"/>
      <c r="Z546" s="152"/>
    </row>
    <row r="547" ht="12.8" customHeight="1" spans="1:26">
      <c r="A547" s="176"/>
      <c r="B547" s="176"/>
      <c r="C547" s="176"/>
      <c r="D547" s="152"/>
      <c r="E547" s="152"/>
      <c r="F547" s="152"/>
      <c r="G547" s="152"/>
      <c r="H547" s="152"/>
      <c r="I547" s="152"/>
      <c r="J547" s="152"/>
      <c r="K547" s="152"/>
      <c r="L547" s="152"/>
      <c r="M547" s="152"/>
      <c r="N547" s="152"/>
      <c r="O547" s="152"/>
      <c r="P547" s="152"/>
      <c r="Q547" s="152"/>
      <c r="R547" s="152"/>
      <c r="S547" s="152"/>
      <c r="T547" s="152"/>
      <c r="U547" s="152"/>
      <c r="V547" s="152"/>
      <c r="W547" s="152"/>
      <c r="X547" s="152"/>
      <c r="Y547" s="152"/>
      <c r="Z547" s="152"/>
    </row>
    <row r="548" ht="12.8" customHeight="1" spans="1:26">
      <c r="A548" s="176"/>
      <c r="B548" s="176"/>
      <c r="C548" s="176"/>
      <c r="D548" s="152"/>
      <c r="E548" s="152"/>
      <c r="F548" s="152"/>
      <c r="G548" s="152"/>
      <c r="H548" s="152"/>
      <c r="I548" s="152"/>
      <c r="J548" s="152"/>
      <c r="K548" s="152"/>
      <c r="L548" s="152"/>
      <c r="M548" s="152"/>
      <c r="N548" s="152"/>
      <c r="O548" s="152"/>
      <c r="P548" s="152"/>
      <c r="Q548" s="152"/>
      <c r="R548" s="152"/>
      <c r="S548" s="152"/>
      <c r="T548" s="152"/>
      <c r="U548" s="152"/>
      <c r="V548" s="152"/>
      <c r="W548" s="152"/>
      <c r="X548" s="152"/>
      <c r="Y548" s="152"/>
      <c r="Z548" s="152"/>
    </row>
    <row r="549" ht="12.8" customHeight="1" spans="1:26">
      <c r="A549" s="176"/>
      <c r="B549" s="176"/>
      <c r="C549" s="176"/>
      <c r="D549" s="152"/>
      <c r="E549" s="152"/>
      <c r="F549" s="152"/>
      <c r="G549" s="152"/>
      <c r="H549" s="152"/>
      <c r="I549" s="152"/>
      <c r="J549" s="152"/>
      <c r="K549" s="152"/>
      <c r="L549" s="152"/>
      <c r="M549" s="152"/>
      <c r="N549" s="152"/>
      <c r="O549" s="152"/>
      <c r="P549" s="152"/>
      <c r="Q549" s="152"/>
      <c r="R549" s="152"/>
      <c r="S549" s="152"/>
      <c r="T549" s="152"/>
      <c r="U549" s="152"/>
      <c r="V549" s="152"/>
      <c r="W549" s="152"/>
      <c r="X549" s="152"/>
      <c r="Y549" s="152"/>
      <c r="Z549" s="152"/>
    </row>
    <row r="550" ht="12.8" customHeight="1" spans="1:26">
      <c r="A550" s="176"/>
      <c r="B550" s="176"/>
      <c r="C550" s="176"/>
      <c r="D550" s="152"/>
      <c r="E550" s="152"/>
      <c r="F550" s="152"/>
      <c r="G550" s="152"/>
      <c r="H550" s="152"/>
      <c r="I550" s="152"/>
      <c r="J550" s="152"/>
      <c r="K550" s="152"/>
      <c r="L550" s="152"/>
      <c r="M550" s="152"/>
      <c r="N550" s="152"/>
      <c r="O550" s="152"/>
      <c r="P550" s="152"/>
      <c r="Q550" s="152"/>
      <c r="R550" s="152"/>
      <c r="S550" s="152"/>
      <c r="T550" s="152"/>
      <c r="U550" s="152"/>
      <c r="V550" s="152"/>
      <c r="W550" s="152"/>
      <c r="X550" s="152"/>
      <c r="Y550" s="152"/>
      <c r="Z550" s="152"/>
    </row>
    <row r="551" ht="12.8" customHeight="1" spans="1:26">
      <c r="A551" s="176"/>
      <c r="B551" s="176"/>
      <c r="C551" s="176"/>
      <c r="D551" s="152"/>
      <c r="E551" s="152"/>
      <c r="F551" s="152"/>
      <c r="G551" s="152"/>
      <c r="H551" s="152"/>
      <c r="I551" s="152"/>
      <c r="J551" s="152"/>
      <c r="K551" s="152"/>
      <c r="L551" s="152"/>
      <c r="M551" s="152"/>
      <c r="N551" s="152"/>
      <c r="O551" s="152"/>
      <c r="P551" s="152"/>
      <c r="Q551" s="152"/>
      <c r="R551" s="152"/>
      <c r="S551" s="152"/>
      <c r="T551" s="152"/>
      <c r="U551" s="152"/>
      <c r="V551" s="152"/>
      <c r="W551" s="152"/>
      <c r="X551" s="152"/>
      <c r="Y551" s="152"/>
      <c r="Z551" s="152"/>
    </row>
    <row r="552" ht="12.8" customHeight="1" spans="1:26">
      <c r="A552" s="176"/>
      <c r="B552" s="176"/>
      <c r="C552" s="176"/>
      <c r="D552" s="152"/>
      <c r="E552" s="152"/>
      <c r="F552" s="152"/>
      <c r="G552" s="152"/>
      <c r="H552" s="152"/>
      <c r="I552" s="152"/>
      <c r="J552" s="152"/>
      <c r="K552" s="152"/>
      <c r="L552" s="152"/>
      <c r="M552" s="152"/>
      <c r="N552" s="152"/>
      <c r="O552" s="152"/>
      <c r="P552" s="152"/>
      <c r="Q552" s="152"/>
      <c r="R552" s="152"/>
      <c r="S552" s="152"/>
      <c r="T552" s="152"/>
      <c r="U552" s="152"/>
      <c r="V552" s="152"/>
      <c r="W552" s="152"/>
      <c r="X552" s="152"/>
      <c r="Y552" s="152"/>
      <c r="Z552" s="152"/>
    </row>
    <row r="553" ht="12.8" customHeight="1" spans="1:26">
      <c r="A553" s="176"/>
      <c r="B553" s="176"/>
      <c r="C553" s="176"/>
      <c r="D553" s="152"/>
      <c r="E553" s="152"/>
      <c r="F553" s="152"/>
      <c r="G553" s="152"/>
      <c r="H553" s="152"/>
      <c r="I553" s="152"/>
      <c r="J553" s="152"/>
      <c r="K553" s="152"/>
      <c r="L553" s="152"/>
      <c r="M553" s="152"/>
      <c r="N553" s="152"/>
      <c r="O553" s="152"/>
      <c r="P553" s="152"/>
      <c r="Q553" s="152"/>
      <c r="R553" s="152"/>
      <c r="S553" s="152"/>
      <c r="T553" s="152"/>
      <c r="U553" s="152"/>
      <c r="V553" s="152"/>
      <c r="W553" s="152"/>
      <c r="X553" s="152"/>
      <c r="Y553" s="152"/>
      <c r="Z553" s="152"/>
    </row>
    <row r="554" ht="12.8" customHeight="1" spans="1:26">
      <c r="A554" s="176"/>
      <c r="B554" s="176"/>
      <c r="C554" s="176"/>
      <c r="D554" s="152"/>
      <c r="E554" s="152"/>
      <c r="F554" s="152"/>
      <c r="G554" s="152"/>
      <c r="H554" s="152"/>
      <c r="I554" s="152"/>
      <c r="J554" s="152"/>
      <c r="K554" s="152"/>
      <c r="L554" s="152"/>
      <c r="M554" s="152"/>
      <c r="N554" s="152"/>
      <c r="O554" s="152"/>
      <c r="P554" s="152"/>
      <c r="Q554" s="152"/>
      <c r="R554" s="152"/>
      <c r="S554" s="152"/>
      <c r="T554" s="152"/>
      <c r="U554" s="152"/>
      <c r="V554" s="152"/>
      <c r="W554" s="152"/>
      <c r="X554" s="152"/>
      <c r="Y554" s="152"/>
      <c r="Z554" s="152"/>
    </row>
    <row r="555" ht="12.8" customHeight="1" spans="1:26">
      <c r="A555" s="176"/>
      <c r="B555" s="176"/>
      <c r="C555" s="176"/>
      <c r="D555" s="152"/>
      <c r="E555" s="152"/>
      <c r="F555" s="152"/>
      <c r="G555" s="152"/>
      <c r="H555" s="152"/>
      <c r="I555" s="152"/>
      <c r="J555" s="152"/>
      <c r="K555" s="152"/>
      <c r="L555" s="152"/>
      <c r="M555" s="152"/>
      <c r="N555" s="152"/>
      <c r="O555" s="152"/>
      <c r="P555" s="152"/>
      <c r="Q555" s="152"/>
      <c r="R555" s="152"/>
      <c r="S555" s="152"/>
      <c r="T555" s="152"/>
      <c r="U555" s="152"/>
      <c r="V555" s="152"/>
      <c r="W555" s="152"/>
      <c r="X555" s="152"/>
      <c r="Y555" s="152"/>
      <c r="Z555" s="152"/>
    </row>
    <row r="556" ht="12.8" customHeight="1" spans="1:26">
      <c r="A556" s="176"/>
      <c r="B556" s="176"/>
      <c r="C556" s="176"/>
      <c r="D556" s="152"/>
      <c r="E556" s="152"/>
      <c r="F556" s="152"/>
      <c r="G556" s="152"/>
      <c r="H556" s="152"/>
      <c r="I556" s="152"/>
      <c r="J556" s="152"/>
      <c r="K556" s="152"/>
      <c r="L556" s="152"/>
      <c r="M556" s="152"/>
      <c r="N556" s="152"/>
      <c r="O556" s="152"/>
      <c r="P556" s="152"/>
      <c r="Q556" s="152"/>
      <c r="R556" s="152"/>
      <c r="S556" s="152"/>
      <c r="T556" s="152"/>
      <c r="U556" s="152"/>
      <c r="V556" s="152"/>
      <c r="W556" s="152"/>
      <c r="X556" s="152"/>
      <c r="Y556" s="152"/>
      <c r="Z556" s="152"/>
    </row>
    <row r="557" ht="12.8" customHeight="1" spans="1:26">
      <c r="A557" s="176"/>
      <c r="B557" s="176"/>
      <c r="C557" s="176"/>
      <c r="D557" s="152"/>
      <c r="E557" s="152"/>
      <c r="F557" s="152"/>
      <c r="G557" s="152"/>
      <c r="H557" s="152"/>
      <c r="I557" s="152"/>
      <c r="J557" s="152"/>
      <c r="K557" s="152"/>
      <c r="L557" s="152"/>
      <c r="M557" s="152"/>
      <c r="N557" s="152"/>
      <c r="O557" s="152"/>
      <c r="P557" s="152"/>
      <c r="Q557" s="152"/>
      <c r="R557" s="152"/>
      <c r="S557" s="152"/>
      <c r="T557" s="152"/>
      <c r="U557" s="152"/>
      <c r="V557" s="152"/>
      <c r="W557" s="152"/>
      <c r="X557" s="152"/>
      <c r="Y557" s="152"/>
      <c r="Z557" s="152"/>
    </row>
    <row r="558" ht="12.8" customHeight="1" spans="1:26">
      <c r="A558" s="176"/>
      <c r="B558" s="176"/>
      <c r="C558" s="176"/>
      <c r="D558" s="152"/>
      <c r="E558" s="152"/>
      <c r="F558" s="152"/>
      <c r="G558" s="152"/>
      <c r="H558" s="152"/>
      <c r="I558" s="152"/>
      <c r="J558" s="152"/>
      <c r="K558" s="152"/>
      <c r="L558" s="152"/>
      <c r="M558" s="152"/>
      <c r="N558" s="152"/>
      <c r="O558" s="152"/>
      <c r="P558" s="152"/>
      <c r="Q558" s="152"/>
      <c r="R558" s="152"/>
      <c r="S558" s="152"/>
      <c r="T558" s="152"/>
      <c r="U558" s="152"/>
      <c r="V558" s="152"/>
      <c r="W558" s="152"/>
      <c r="X558" s="152"/>
      <c r="Y558" s="152"/>
      <c r="Z558" s="152"/>
    </row>
    <row r="559" ht="12.8" customHeight="1" spans="1:26">
      <c r="A559" s="176"/>
      <c r="B559" s="176"/>
      <c r="C559" s="176"/>
      <c r="D559" s="152"/>
      <c r="E559" s="152"/>
      <c r="F559" s="152"/>
      <c r="G559" s="152"/>
      <c r="H559" s="152"/>
      <c r="I559" s="152"/>
      <c r="J559" s="152"/>
      <c r="K559" s="152"/>
      <c r="L559" s="152"/>
      <c r="M559" s="152"/>
      <c r="N559" s="152"/>
      <c r="O559" s="152"/>
      <c r="P559" s="152"/>
      <c r="Q559" s="152"/>
      <c r="R559" s="152"/>
      <c r="S559" s="152"/>
      <c r="T559" s="152"/>
      <c r="U559" s="152"/>
      <c r="V559" s="152"/>
      <c r="W559" s="152"/>
      <c r="X559" s="152"/>
      <c r="Y559" s="152"/>
      <c r="Z559" s="152"/>
    </row>
    <row r="560" ht="12.8" customHeight="1" spans="1:26">
      <c r="A560" s="176"/>
      <c r="B560" s="176"/>
      <c r="C560" s="176"/>
      <c r="D560" s="152"/>
      <c r="E560" s="152"/>
      <c r="F560" s="152"/>
      <c r="G560" s="152"/>
      <c r="H560" s="152"/>
      <c r="I560" s="152"/>
      <c r="J560" s="152"/>
      <c r="K560" s="152"/>
      <c r="L560" s="152"/>
      <c r="M560" s="152"/>
      <c r="N560" s="152"/>
      <c r="O560" s="152"/>
      <c r="P560" s="152"/>
      <c r="Q560" s="152"/>
      <c r="R560" s="152"/>
      <c r="S560" s="152"/>
      <c r="T560" s="152"/>
      <c r="U560" s="152"/>
      <c r="V560" s="152"/>
      <c r="W560" s="152"/>
      <c r="X560" s="152"/>
      <c r="Y560" s="152"/>
      <c r="Z560" s="152"/>
    </row>
    <row r="561" ht="12.8" customHeight="1" spans="1:26">
      <c r="A561" s="176"/>
      <c r="B561" s="176"/>
      <c r="C561" s="176"/>
      <c r="D561" s="152"/>
      <c r="E561" s="152"/>
      <c r="F561" s="152"/>
      <c r="G561" s="152"/>
      <c r="H561" s="152"/>
      <c r="I561" s="152"/>
      <c r="J561" s="152"/>
      <c r="K561" s="152"/>
      <c r="L561" s="152"/>
      <c r="M561" s="152"/>
      <c r="N561" s="152"/>
      <c r="O561" s="152"/>
      <c r="P561" s="152"/>
      <c r="Q561" s="152"/>
      <c r="R561" s="152"/>
      <c r="S561" s="152"/>
      <c r="T561" s="152"/>
      <c r="U561" s="152"/>
      <c r="V561" s="152"/>
      <c r="W561" s="152"/>
      <c r="X561" s="152"/>
      <c r="Y561" s="152"/>
      <c r="Z561" s="152"/>
    </row>
    <row r="562" ht="12.8" customHeight="1" spans="1:26">
      <c r="A562" s="176"/>
      <c r="B562" s="176"/>
      <c r="C562" s="176"/>
      <c r="D562" s="152"/>
      <c r="E562" s="152"/>
      <c r="F562" s="152"/>
      <c r="G562" s="152"/>
      <c r="H562" s="152"/>
      <c r="I562" s="152"/>
      <c r="J562" s="152"/>
      <c r="K562" s="152"/>
      <c r="L562" s="152"/>
      <c r="M562" s="152"/>
      <c r="N562" s="152"/>
      <c r="O562" s="152"/>
      <c r="P562" s="152"/>
      <c r="Q562" s="152"/>
      <c r="R562" s="152"/>
      <c r="S562" s="152"/>
      <c r="T562" s="152"/>
      <c r="U562" s="152"/>
      <c r="V562" s="152"/>
      <c r="W562" s="152"/>
      <c r="X562" s="152"/>
      <c r="Y562" s="152"/>
      <c r="Z562" s="152"/>
    </row>
    <row r="563" ht="12.8" customHeight="1" spans="1:26">
      <c r="A563" s="176"/>
      <c r="B563" s="176"/>
      <c r="C563" s="176"/>
      <c r="D563" s="152"/>
      <c r="E563" s="152"/>
      <c r="F563" s="152"/>
      <c r="G563" s="152"/>
      <c r="H563" s="152"/>
      <c r="I563" s="152"/>
      <c r="J563" s="152"/>
      <c r="K563" s="152"/>
      <c r="L563" s="152"/>
      <c r="M563" s="152"/>
      <c r="N563" s="152"/>
      <c r="O563" s="152"/>
      <c r="P563" s="152"/>
      <c r="Q563" s="152"/>
      <c r="R563" s="152"/>
      <c r="S563" s="152"/>
      <c r="T563" s="152"/>
      <c r="U563" s="152"/>
      <c r="V563" s="152"/>
      <c r="W563" s="152"/>
      <c r="X563" s="152"/>
      <c r="Y563" s="152"/>
      <c r="Z563" s="152"/>
    </row>
    <row r="564" ht="12.8" customHeight="1" spans="1:26">
      <c r="A564" s="176"/>
      <c r="B564" s="176"/>
      <c r="C564" s="176"/>
      <c r="D564" s="152"/>
      <c r="E564" s="152"/>
      <c r="F564" s="152"/>
      <c r="G564" s="152"/>
      <c r="H564" s="152"/>
      <c r="I564" s="152"/>
      <c r="J564" s="152"/>
      <c r="K564" s="152"/>
      <c r="L564" s="152"/>
      <c r="M564" s="152"/>
      <c r="N564" s="152"/>
      <c r="O564" s="152"/>
      <c r="P564" s="152"/>
      <c r="Q564" s="152"/>
      <c r="R564" s="152"/>
      <c r="S564" s="152"/>
      <c r="T564" s="152"/>
      <c r="U564" s="152"/>
      <c r="V564" s="152"/>
      <c r="W564" s="152"/>
      <c r="X564" s="152"/>
      <c r="Y564" s="152"/>
      <c r="Z564" s="152"/>
    </row>
    <row r="565" ht="12.8" customHeight="1" spans="1:26">
      <c r="A565" s="176"/>
      <c r="B565" s="176"/>
      <c r="C565" s="176"/>
      <c r="D565" s="152"/>
      <c r="E565" s="152"/>
      <c r="F565" s="152"/>
      <c r="G565" s="152"/>
      <c r="H565" s="152"/>
      <c r="I565" s="152"/>
      <c r="J565" s="152"/>
      <c r="K565" s="152"/>
      <c r="L565" s="152"/>
      <c r="M565" s="152"/>
      <c r="N565" s="152"/>
      <c r="O565" s="152"/>
      <c r="P565" s="152"/>
      <c r="Q565" s="152"/>
      <c r="R565" s="152"/>
      <c r="S565" s="152"/>
      <c r="T565" s="152"/>
      <c r="U565" s="152"/>
      <c r="V565" s="152"/>
      <c r="W565" s="152"/>
      <c r="X565" s="152"/>
      <c r="Y565" s="152"/>
      <c r="Z565" s="152"/>
    </row>
    <row r="566" ht="12.8" customHeight="1" spans="1:26">
      <c r="A566" s="176"/>
      <c r="B566" s="176"/>
      <c r="C566" s="176"/>
      <c r="D566" s="152"/>
      <c r="E566" s="152"/>
      <c r="F566" s="152"/>
      <c r="G566" s="152"/>
      <c r="H566" s="152"/>
      <c r="I566" s="152"/>
      <c r="J566" s="152"/>
      <c r="K566" s="152"/>
      <c r="L566" s="152"/>
      <c r="M566" s="152"/>
      <c r="N566" s="152"/>
      <c r="O566" s="152"/>
      <c r="P566" s="152"/>
      <c r="Q566" s="152"/>
      <c r="R566" s="152"/>
      <c r="S566" s="152"/>
      <c r="T566" s="152"/>
      <c r="U566" s="152"/>
      <c r="V566" s="152"/>
      <c r="W566" s="152"/>
      <c r="X566" s="152"/>
      <c r="Y566" s="152"/>
      <c r="Z566" s="152"/>
    </row>
    <row r="567" ht="12.8" customHeight="1" spans="1:26">
      <c r="A567" s="176"/>
      <c r="B567" s="176"/>
      <c r="C567" s="176"/>
      <c r="D567" s="152"/>
      <c r="E567" s="152"/>
      <c r="F567" s="152"/>
      <c r="G567" s="152"/>
      <c r="H567" s="152"/>
      <c r="I567" s="152"/>
      <c r="J567" s="152"/>
      <c r="K567" s="152"/>
      <c r="L567" s="152"/>
      <c r="M567" s="152"/>
      <c r="N567" s="152"/>
      <c r="O567" s="152"/>
      <c r="P567" s="152"/>
      <c r="Q567" s="152"/>
      <c r="R567" s="152"/>
      <c r="S567" s="152"/>
      <c r="T567" s="152"/>
      <c r="U567" s="152"/>
      <c r="V567" s="152"/>
      <c r="W567" s="152"/>
      <c r="X567" s="152"/>
      <c r="Y567" s="152"/>
      <c r="Z567" s="152"/>
    </row>
    <row r="568" ht="12.8" customHeight="1" spans="1:26">
      <c r="A568" s="176"/>
      <c r="B568" s="176"/>
      <c r="C568" s="176"/>
      <c r="D568" s="152"/>
      <c r="E568" s="152"/>
      <c r="F568" s="152"/>
      <c r="G568" s="152"/>
      <c r="H568" s="152"/>
      <c r="I568" s="152"/>
      <c r="J568" s="152"/>
      <c r="K568" s="152"/>
      <c r="L568" s="152"/>
      <c r="M568" s="152"/>
      <c r="N568" s="152"/>
      <c r="O568" s="152"/>
      <c r="P568" s="152"/>
      <c r="Q568" s="152"/>
      <c r="R568" s="152"/>
      <c r="S568" s="152"/>
      <c r="T568" s="152"/>
      <c r="U568" s="152"/>
      <c r="V568" s="152"/>
      <c r="W568" s="152"/>
      <c r="X568" s="152"/>
      <c r="Y568" s="152"/>
      <c r="Z568" s="152"/>
    </row>
    <row r="569" ht="12.8" customHeight="1" spans="1:26">
      <c r="A569" s="176"/>
      <c r="B569" s="176"/>
      <c r="C569" s="176"/>
      <c r="D569" s="152"/>
      <c r="E569" s="152"/>
      <c r="F569" s="152"/>
      <c r="G569" s="152"/>
      <c r="H569" s="152"/>
      <c r="I569" s="152"/>
      <c r="J569" s="152"/>
      <c r="K569" s="152"/>
      <c r="L569" s="152"/>
      <c r="M569" s="152"/>
      <c r="N569" s="152"/>
      <c r="O569" s="152"/>
      <c r="P569" s="152"/>
      <c r="Q569" s="152"/>
      <c r="R569" s="152"/>
      <c r="S569" s="152"/>
      <c r="T569" s="152"/>
      <c r="U569" s="152"/>
      <c r="V569" s="152"/>
      <c r="W569" s="152"/>
      <c r="X569" s="152"/>
      <c r="Y569" s="152"/>
      <c r="Z569" s="152"/>
    </row>
    <row r="570" ht="12.8" customHeight="1" spans="1:26">
      <c r="A570" s="176"/>
      <c r="B570" s="176"/>
      <c r="C570" s="176"/>
      <c r="D570" s="152"/>
      <c r="E570" s="152"/>
      <c r="F570" s="152"/>
      <c r="G570" s="152"/>
      <c r="H570" s="152"/>
      <c r="I570" s="152"/>
      <c r="J570" s="152"/>
      <c r="K570" s="152"/>
      <c r="L570" s="152"/>
      <c r="M570" s="152"/>
      <c r="N570" s="152"/>
      <c r="O570" s="152"/>
      <c r="P570" s="152"/>
      <c r="Q570" s="152"/>
      <c r="R570" s="152"/>
      <c r="S570" s="152"/>
      <c r="T570" s="152"/>
      <c r="U570" s="152"/>
      <c r="V570" s="152"/>
      <c r="W570" s="152"/>
      <c r="X570" s="152"/>
      <c r="Y570" s="152"/>
      <c r="Z570" s="152"/>
    </row>
    <row r="571" ht="12.8" customHeight="1" spans="1:26">
      <c r="A571" s="176"/>
      <c r="B571" s="176"/>
      <c r="C571" s="176"/>
      <c r="D571" s="152"/>
      <c r="E571" s="152"/>
      <c r="F571" s="152"/>
      <c r="G571" s="152"/>
      <c r="H571" s="152"/>
      <c r="I571" s="152"/>
      <c r="J571" s="152"/>
      <c r="K571" s="152"/>
      <c r="L571" s="152"/>
      <c r="M571" s="152"/>
      <c r="N571" s="152"/>
      <c r="O571" s="152"/>
      <c r="P571" s="152"/>
      <c r="Q571" s="152"/>
      <c r="R571" s="152"/>
      <c r="S571" s="152"/>
      <c r="T571" s="152"/>
      <c r="U571" s="152"/>
      <c r="V571" s="152"/>
      <c r="W571" s="152"/>
      <c r="X571" s="152"/>
      <c r="Y571" s="152"/>
      <c r="Z571" s="152"/>
    </row>
    <row r="572" ht="12.8" customHeight="1" spans="1:26">
      <c r="A572" s="176"/>
      <c r="B572" s="176"/>
      <c r="C572" s="176"/>
      <c r="D572" s="152"/>
      <c r="E572" s="152"/>
      <c r="F572" s="152"/>
      <c r="G572" s="152"/>
      <c r="H572" s="152"/>
      <c r="I572" s="152"/>
      <c r="J572" s="152"/>
      <c r="K572" s="152"/>
      <c r="L572" s="152"/>
      <c r="M572" s="152"/>
      <c r="N572" s="152"/>
      <c r="O572" s="152"/>
      <c r="P572" s="152"/>
      <c r="Q572" s="152"/>
      <c r="R572" s="152"/>
      <c r="S572" s="152"/>
      <c r="T572" s="152"/>
      <c r="U572" s="152"/>
      <c r="V572" s="152"/>
      <c r="W572" s="152"/>
      <c r="X572" s="152"/>
      <c r="Y572" s="152"/>
      <c r="Z572" s="152"/>
    </row>
    <row r="573" ht="12.8" customHeight="1" spans="1:26">
      <c r="A573" s="176"/>
      <c r="B573" s="176"/>
      <c r="C573" s="176"/>
      <c r="D573" s="152"/>
      <c r="E573" s="152"/>
      <c r="F573" s="152"/>
      <c r="G573" s="152"/>
      <c r="H573" s="152"/>
      <c r="I573" s="152"/>
      <c r="J573" s="152"/>
      <c r="K573" s="152"/>
      <c r="L573" s="152"/>
      <c r="M573" s="152"/>
      <c r="N573" s="152"/>
      <c r="O573" s="152"/>
      <c r="P573" s="152"/>
      <c r="Q573" s="152"/>
      <c r="R573" s="152"/>
      <c r="S573" s="152"/>
      <c r="T573" s="152"/>
      <c r="U573" s="152"/>
      <c r="V573" s="152"/>
      <c r="W573" s="152"/>
      <c r="X573" s="152"/>
      <c r="Y573" s="152"/>
      <c r="Z573" s="152"/>
    </row>
    <row r="574" ht="12.8" customHeight="1" spans="1:26">
      <c r="A574" s="176"/>
      <c r="B574" s="176"/>
      <c r="C574" s="176"/>
      <c r="D574" s="152"/>
      <c r="E574" s="152"/>
      <c r="F574" s="152"/>
      <c r="G574" s="152"/>
      <c r="H574" s="152"/>
      <c r="I574" s="152"/>
      <c r="J574" s="152"/>
      <c r="K574" s="152"/>
      <c r="L574" s="152"/>
      <c r="M574" s="152"/>
      <c r="N574" s="152"/>
      <c r="O574" s="152"/>
      <c r="P574" s="152"/>
      <c r="Q574" s="152"/>
      <c r="R574" s="152"/>
      <c r="S574" s="152"/>
      <c r="T574" s="152"/>
      <c r="U574" s="152"/>
      <c r="V574" s="152"/>
      <c r="W574" s="152"/>
      <c r="X574" s="152"/>
      <c r="Y574" s="152"/>
      <c r="Z574" s="152"/>
    </row>
    <row r="575" ht="12.8" customHeight="1" spans="1:26">
      <c r="A575" s="176"/>
      <c r="B575" s="176"/>
      <c r="C575" s="176"/>
      <c r="D575" s="152"/>
      <c r="E575" s="152"/>
      <c r="F575" s="152"/>
      <c r="G575" s="152"/>
      <c r="H575" s="152"/>
      <c r="I575" s="152"/>
      <c r="J575" s="152"/>
      <c r="K575" s="152"/>
      <c r="L575" s="152"/>
      <c r="M575" s="152"/>
      <c r="N575" s="152"/>
      <c r="O575" s="152"/>
      <c r="P575" s="152"/>
      <c r="Q575" s="152"/>
      <c r="R575" s="152"/>
      <c r="S575" s="152"/>
      <c r="T575" s="152"/>
      <c r="U575" s="152"/>
      <c r="V575" s="152"/>
      <c r="W575" s="152"/>
      <c r="X575" s="152"/>
      <c r="Y575" s="152"/>
      <c r="Z575" s="152"/>
    </row>
    <row r="576" ht="12.8" customHeight="1" spans="1:26">
      <c r="A576" s="176"/>
      <c r="B576" s="176"/>
      <c r="C576" s="176"/>
      <c r="D576" s="152"/>
      <c r="E576" s="152"/>
      <c r="F576" s="152"/>
      <c r="G576" s="152"/>
      <c r="H576" s="152"/>
      <c r="I576" s="152"/>
      <c r="J576" s="152"/>
      <c r="K576" s="152"/>
      <c r="L576" s="152"/>
      <c r="M576" s="152"/>
      <c r="N576" s="152"/>
      <c r="O576" s="152"/>
      <c r="P576" s="152"/>
      <c r="Q576" s="152"/>
      <c r="R576" s="152"/>
      <c r="S576" s="152"/>
      <c r="T576" s="152"/>
      <c r="U576" s="152"/>
      <c r="V576" s="152"/>
      <c r="W576" s="152"/>
      <c r="X576" s="152"/>
      <c r="Y576" s="152"/>
      <c r="Z576" s="152"/>
    </row>
    <row r="577" ht="12.8" customHeight="1" spans="1:26">
      <c r="A577" s="176"/>
      <c r="B577" s="176"/>
      <c r="C577" s="176"/>
      <c r="D577" s="152"/>
      <c r="E577" s="152"/>
      <c r="F577" s="152"/>
      <c r="G577" s="152"/>
      <c r="H577" s="152"/>
      <c r="I577" s="152"/>
      <c r="J577" s="152"/>
      <c r="K577" s="152"/>
      <c r="L577" s="152"/>
      <c r="M577" s="152"/>
      <c r="N577" s="152"/>
      <c r="O577" s="152"/>
      <c r="P577" s="152"/>
      <c r="Q577" s="152"/>
      <c r="R577" s="152"/>
      <c r="S577" s="152"/>
      <c r="T577" s="152"/>
      <c r="U577" s="152"/>
      <c r="V577" s="152"/>
      <c r="W577" s="152"/>
      <c r="X577" s="152"/>
      <c r="Y577" s="152"/>
      <c r="Z577" s="152"/>
    </row>
    <row r="578" ht="12.8" customHeight="1" spans="1:26">
      <c r="A578" s="176"/>
      <c r="B578" s="176"/>
      <c r="C578" s="176"/>
      <c r="D578" s="152"/>
      <c r="E578" s="152"/>
      <c r="F578" s="152"/>
      <c r="G578" s="152"/>
      <c r="H578" s="152"/>
      <c r="I578" s="152"/>
      <c r="J578" s="152"/>
      <c r="K578" s="152"/>
      <c r="L578" s="152"/>
      <c r="M578" s="152"/>
      <c r="N578" s="152"/>
      <c r="O578" s="152"/>
      <c r="P578" s="152"/>
      <c r="Q578" s="152"/>
      <c r="R578" s="152"/>
      <c r="S578" s="152"/>
      <c r="T578" s="152"/>
      <c r="U578" s="152"/>
      <c r="V578" s="152"/>
      <c r="W578" s="152"/>
      <c r="X578" s="152"/>
      <c r="Y578" s="152"/>
      <c r="Z578" s="152"/>
    </row>
    <row r="579" ht="12.8" customHeight="1" spans="1:26">
      <c r="A579" s="176"/>
      <c r="B579" s="176"/>
      <c r="C579" s="176"/>
      <c r="D579" s="152"/>
      <c r="E579" s="152"/>
      <c r="F579" s="152"/>
      <c r="G579" s="152"/>
      <c r="H579" s="152"/>
      <c r="I579" s="152"/>
      <c r="J579" s="152"/>
      <c r="K579" s="152"/>
      <c r="L579" s="152"/>
      <c r="M579" s="152"/>
      <c r="N579" s="152"/>
      <c r="O579" s="152"/>
      <c r="P579" s="152"/>
      <c r="Q579" s="152"/>
      <c r="R579" s="152"/>
      <c r="S579" s="152"/>
      <c r="T579" s="152"/>
      <c r="U579" s="152"/>
      <c r="V579" s="152"/>
      <c r="W579" s="152"/>
      <c r="X579" s="152"/>
      <c r="Y579" s="152"/>
      <c r="Z579" s="152"/>
    </row>
    <row r="580" ht="12.8" customHeight="1" spans="1:26">
      <c r="A580" s="176"/>
      <c r="B580" s="176"/>
      <c r="C580" s="176"/>
      <c r="D580" s="152"/>
      <c r="E580" s="152"/>
      <c r="F580" s="152"/>
      <c r="G580" s="152"/>
      <c r="H580" s="152"/>
      <c r="I580" s="152"/>
      <c r="J580" s="152"/>
      <c r="K580" s="152"/>
      <c r="L580" s="152"/>
      <c r="M580" s="152"/>
      <c r="N580" s="152"/>
      <c r="O580" s="152"/>
      <c r="P580" s="152"/>
      <c r="Q580" s="152"/>
      <c r="R580" s="152"/>
      <c r="S580" s="152"/>
      <c r="T580" s="152"/>
      <c r="U580" s="152"/>
      <c r="V580" s="152"/>
      <c r="W580" s="152"/>
      <c r="X580" s="152"/>
      <c r="Y580" s="152"/>
      <c r="Z580" s="152"/>
    </row>
    <row r="581" ht="12.8" customHeight="1" spans="1:26">
      <c r="A581" s="176"/>
      <c r="B581" s="176"/>
      <c r="C581" s="176"/>
      <c r="D581" s="152"/>
      <c r="E581" s="152"/>
      <c r="F581" s="152"/>
      <c r="G581" s="152"/>
      <c r="H581" s="152"/>
      <c r="I581" s="152"/>
      <c r="J581" s="152"/>
      <c r="K581" s="152"/>
      <c r="L581" s="152"/>
      <c r="M581" s="152"/>
      <c r="N581" s="152"/>
      <c r="O581" s="152"/>
      <c r="P581" s="152"/>
      <c r="Q581" s="152"/>
      <c r="R581" s="152"/>
      <c r="S581" s="152"/>
      <c r="T581" s="152"/>
      <c r="U581" s="152"/>
      <c r="V581" s="152"/>
      <c r="W581" s="152"/>
      <c r="X581" s="152"/>
      <c r="Y581" s="152"/>
      <c r="Z581" s="152"/>
    </row>
    <row r="582" ht="12.8" customHeight="1" spans="1:26">
      <c r="A582" s="176"/>
      <c r="B582" s="176"/>
      <c r="C582" s="176"/>
      <c r="D582" s="152"/>
      <c r="E582" s="152"/>
      <c r="F582" s="152"/>
      <c r="G582" s="152"/>
      <c r="H582" s="152"/>
      <c r="I582" s="152"/>
      <c r="J582" s="152"/>
      <c r="K582" s="152"/>
      <c r="L582" s="152"/>
      <c r="M582" s="152"/>
      <c r="N582" s="152"/>
      <c r="O582" s="152"/>
      <c r="P582" s="152"/>
      <c r="Q582" s="152"/>
      <c r="R582" s="152"/>
      <c r="S582" s="152"/>
      <c r="T582" s="152"/>
      <c r="U582" s="152"/>
      <c r="V582" s="152"/>
      <c r="W582" s="152"/>
      <c r="X582" s="152"/>
      <c r="Y582" s="152"/>
      <c r="Z582" s="152"/>
    </row>
    <row r="583" ht="12.8" customHeight="1" spans="1:26">
      <c r="A583" s="176"/>
      <c r="B583" s="176"/>
      <c r="C583" s="176"/>
      <c r="D583" s="152"/>
      <c r="E583" s="152"/>
      <c r="F583" s="152"/>
      <c r="G583" s="152"/>
      <c r="H583" s="152"/>
      <c r="I583" s="152"/>
      <c r="J583" s="152"/>
      <c r="K583" s="152"/>
      <c r="L583" s="152"/>
      <c r="M583" s="152"/>
      <c r="N583" s="152"/>
      <c r="O583" s="152"/>
      <c r="P583" s="152"/>
      <c r="Q583" s="152"/>
      <c r="R583" s="152"/>
      <c r="S583" s="152"/>
      <c r="T583" s="152"/>
      <c r="U583" s="152"/>
      <c r="V583" s="152"/>
      <c r="W583" s="152"/>
      <c r="X583" s="152"/>
      <c r="Y583" s="152"/>
      <c r="Z583" s="152"/>
    </row>
    <row r="584" ht="12.8" customHeight="1" spans="1:26">
      <c r="A584" s="176"/>
      <c r="B584" s="176"/>
      <c r="C584" s="176"/>
      <c r="D584" s="152"/>
      <c r="E584" s="152"/>
      <c r="F584" s="152"/>
      <c r="G584" s="152"/>
      <c r="H584" s="152"/>
      <c r="I584" s="152"/>
      <c r="J584" s="152"/>
      <c r="K584" s="152"/>
      <c r="L584" s="152"/>
      <c r="M584" s="152"/>
      <c r="N584" s="152"/>
      <c r="O584" s="152"/>
      <c r="P584" s="152"/>
      <c r="Q584" s="152"/>
      <c r="R584" s="152"/>
      <c r="S584" s="152"/>
      <c r="T584" s="152"/>
      <c r="U584" s="152"/>
      <c r="V584" s="152"/>
      <c r="W584" s="152"/>
      <c r="X584" s="152"/>
      <c r="Y584" s="152"/>
      <c r="Z584" s="152"/>
    </row>
    <row r="585" ht="12.8" customHeight="1" spans="1:26">
      <c r="A585" s="176"/>
      <c r="B585" s="176"/>
      <c r="C585" s="176"/>
      <c r="D585" s="152"/>
      <c r="E585" s="152"/>
      <c r="F585" s="152"/>
      <c r="G585" s="152"/>
      <c r="H585" s="152"/>
      <c r="I585" s="152"/>
      <c r="J585" s="152"/>
      <c r="K585" s="152"/>
      <c r="L585" s="152"/>
      <c r="M585" s="152"/>
      <c r="N585" s="152"/>
      <c r="O585" s="152"/>
      <c r="P585" s="152"/>
      <c r="Q585" s="152"/>
      <c r="R585" s="152"/>
      <c r="S585" s="152"/>
      <c r="T585" s="152"/>
      <c r="U585" s="152"/>
      <c r="V585" s="152"/>
      <c r="W585" s="152"/>
      <c r="X585" s="152"/>
      <c r="Y585" s="152"/>
      <c r="Z585" s="152"/>
    </row>
    <row r="586" ht="12.8" customHeight="1" spans="1:26">
      <c r="A586" s="176"/>
      <c r="B586" s="176"/>
      <c r="C586" s="176"/>
      <c r="D586" s="152"/>
      <c r="E586" s="152"/>
      <c r="F586" s="152"/>
      <c r="G586" s="152"/>
      <c r="H586" s="152"/>
      <c r="I586" s="152"/>
      <c r="J586" s="152"/>
      <c r="K586" s="152"/>
      <c r="L586" s="152"/>
      <c r="M586" s="152"/>
      <c r="N586" s="152"/>
      <c r="O586" s="152"/>
      <c r="P586" s="152"/>
      <c r="Q586" s="152"/>
      <c r="R586" s="152"/>
      <c r="S586" s="152"/>
      <c r="T586" s="152"/>
      <c r="U586" s="152"/>
      <c r="V586" s="152"/>
      <c r="W586" s="152"/>
      <c r="X586" s="152"/>
      <c r="Y586" s="152"/>
      <c r="Z586" s="152"/>
    </row>
    <row r="587" ht="12.8" customHeight="1" spans="1:26">
      <c r="A587" s="176"/>
      <c r="B587" s="176"/>
      <c r="C587" s="176"/>
      <c r="D587" s="152"/>
      <c r="E587" s="152"/>
      <c r="F587" s="152"/>
      <c r="G587" s="152"/>
      <c r="H587" s="152"/>
      <c r="I587" s="152"/>
      <c r="J587" s="152"/>
      <c r="K587" s="152"/>
      <c r="L587" s="152"/>
      <c r="M587" s="152"/>
      <c r="N587" s="152"/>
      <c r="O587" s="152"/>
      <c r="P587" s="152"/>
      <c r="Q587" s="152"/>
      <c r="R587" s="152"/>
      <c r="S587" s="152"/>
      <c r="T587" s="152"/>
      <c r="U587" s="152"/>
      <c r="V587" s="152"/>
      <c r="W587" s="152"/>
      <c r="X587" s="152"/>
      <c r="Y587" s="152"/>
      <c r="Z587" s="152"/>
    </row>
    <row r="588" ht="12.8" customHeight="1" spans="1:26">
      <c r="A588" s="176"/>
      <c r="B588" s="176"/>
      <c r="C588" s="176"/>
      <c r="D588" s="152"/>
      <c r="E588" s="152"/>
      <c r="F588" s="152"/>
      <c r="G588" s="152"/>
      <c r="H588" s="152"/>
      <c r="I588" s="152"/>
      <c r="J588" s="152"/>
      <c r="K588" s="152"/>
      <c r="L588" s="152"/>
      <c r="M588" s="152"/>
      <c r="N588" s="152"/>
      <c r="O588" s="152"/>
      <c r="P588" s="152"/>
      <c r="Q588" s="152"/>
      <c r="R588" s="152"/>
      <c r="S588" s="152"/>
      <c r="T588" s="152"/>
      <c r="U588" s="152"/>
      <c r="V588" s="152"/>
      <c r="W588" s="152"/>
      <c r="X588" s="152"/>
      <c r="Y588" s="152"/>
      <c r="Z588" s="152"/>
    </row>
    <row r="589" ht="12.8" customHeight="1" spans="1:26">
      <c r="A589" s="176"/>
      <c r="B589" s="176"/>
      <c r="C589" s="176"/>
      <c r="D589" s="152"/>
      <c r="E589" s="152"/>
      <c r="F589" s="152"/>
      <c r="G589" s="152"/>
      <c r="H589" s="152"/>
      <c r="I589" s="152"/>
      <c r="J589" s="152"/>
      <c r="K589" s="152"/>
      <c r="L589" s="152"/>
      <c r="M589" s="152"/>
      <c r="N589" s="152"/>
      <c r="O589" s="152"/>
      <c r="P589" s="152"/>
      <c r="Q589" s="152"/>
      <c r="R589" s="152"/>
      <c r="S589" s="152"/>
      <c r="T589" s="152"/>
      <c r="U589" s="152"/>
      <c r="V589" s="152"/>
      <c r="W589" s="152"/>
      <c r="X589" s="152"/>
      <c r="Y589" s="152"/>
      <c r="Z589" s="152"/>
    </row>
    <row r="590" ht="12.8" customHeight="1" spans="1:26">
      <c r="A590" s="176"/>
      <c r="B590" s="176"/>
      <c r="C590" s="176"/>
      <c r="D590" s="152"/>
      <c r="E590" s="152"/>
      <c r="F590" s="152"/>
      <c r="G590" s="152"/>
      <c r="H590" s="152"/>
      <c r="I590" s="152"/>
      <c r="J590" s="152"/>
      <c r="K590" s="152"/>
      <c r="L590" s="152"/>
      <c r="M590" s="152"/>
      <c r="N590" s="152"/>
      <c r="O590" s="152"/>
      <c r="P590" s="152"/>
      <c r="Q590" s="152"/>
      <c r="R590" s="152"/>
      <c r="S590" s="152"/>
      <c r="T590" s="152"/>
      <c r="U590" s="152"/>
      <c r="V590" s="152"/>
      <c r="W590" s="152"/>
      <c r="X590" s="152"/>
      <c r="Y590" s="152"/>
      <c r="Z590" s="152"/>
    </row>
    <row r="591" ht="12.8" customHeight="1" spans="1:26">
      <c r="A591" s="176"/>
      <c r="B591" s="176"/>
      <c r="C591" s="176"/>
      <c r="D591" s="152"/>
      <c r="E591" s="152"/>
      <c r="F591" s="152"/>
      <c r="G591" s="152"/>
      <c r="H591" s="152"/>
      <c r="I591" s="152"/>
      <c r="J591" s="152"/>
      <c r="K591" s="152"/>
      <c r="L591" s="152"/>
      <c r="M591" s="152"/>
      <c r="N591" s="152"/>
      <c r="O591" s="152"/>
      <c r="P591" s="152"/>
      <c r="Q591" s="152"/>
      <c r="R591" s="152"/>
      <c r="S591" s="152"/>
      <c r="T591" s="152"/>
      <c r="U591" s="152"/>
      <c r="V591" s="152"/>
      <c r="W591" s="152"/>
      <c r="X591" s="152"/>
      <c r="Y591" s="152"/>
      <c r="Z591" s="152"/>
    </row>
    <row r="592" ht="12.8" customHeight="1" spans="1:26">
      <c r="A592" s="176"/>
      <c r="B592" s="176"/>
      <c r="C592" s="176"/>
      <c r="D592" s="152"/>
      <c r="E592" s="152"/>
      <c r="F592" s="152"/>
      <c r="G592" s="152"/>
      <c r="H592" s="152"/>
      <c r="I592" s="152"/>
      <c r="J592" s="152"/>
      <c r="K592" s="152"/>
      <c r="L592" s="152"/>
      <c r="M592" s="152"/>
      <c r="N592" s="152"/>
      <c r="O592" s="152"/>
      <c r="P592" s="152"/>
      <c r="Q592" s="152"/>
      <c r="R592" s="152"/>
      <c r="S592" s="152"/>
      <c r="T592" s="152"/>
      <c r="U592" s="152"/>
      <c r="V592" s="152"/>
      <c r="W592" s="152"/>
      <c r="X592" s="152"/>
      <c r="Y592" s="152"/>
      <c r="Z592" s="152"/>
    </row>
    <row r="593" ht="12.8" customHeight="1" spans="1:26">
      <c r="A593" s="176"/>
      <c r="B593" s="176"/>
      <c r="C593" s="176"/>
      <c r="D593" s="152"/>
      <c r="E593" s="152"/>
      <c r="F593" s="152"/>
      <c r="G593" s="152"/>
      <c r="H593" s="152"/>
      <c r="I593" s="152"/>
      <c r="J593" s="152"/>
      <c r="K593" s="152"/>
      <c r="L593" s="152"/>
      <c r="M593" s="152"/>
      <c r="N593" s="152"/>
      <c r="O593" s="152"/>
      <c r="P593" s="152"/>
      <c r="Q593" s="152"/>
      <c r="R593" s="152"/>
      <c r="S593" s="152"/>
      <c r="T593" s="152"/>
      <c r="U593" s="152"/>
      <c r="V593" s="152"/>
      <c r="W593" s="152"/>
      <c r="X593" s="152"/>
      <c r="Y593" s="152"/>
      <c r="Z593" s="152"/>
    </row>
    <row r="594" ht="12.8" customHeight="1" spans="1:26">
      <c r="A594" s="176"/>
      <c r="B594" s="176"/>
      <c r="C594" s="176"/>
      <c r="D594" s="152"/>
      <c r="E594" s="152"/>
      <c r="F594" s="152"/>
      <c r="G594" s="152"/>
      <c r="H594" s="152"/>
      <c r="I594" s="152"/>
      <c r="J594" s="152"/>
      <c r="K594" s="152"/>
      <c r="L594" s="152"/>
      <c r="M594" s="152"/>
      <c r="N594" s="152"/>
      <c r="O594" s="152"/>
      <c r="P594" s="152"/>
      <c r="Q594" s="152"/>
      <c r="R594" s="152"/>
      <c r="S594" s="152"/>
      <c r="T594" s="152"/>
      <c r="U594" s="152"/>
      <c r="V594" s="152"/>
      <c r="W594" s="152"/>
      <c r="X594" s="152"/>
      <c r="Y594" s="152"/>
      <c r="Z594" s="152"/>
    </row>
    <row r="595" ht="12.8" customHeight="1" spans="1:26">
      <c r="A595" s="176"/>
      <c r="B595" s="176"/>
      <c r="C595" s="176"/>
      <c r="D595" s="152"/>
      <c r="E595" s="152"/>
      <c r="F595" s="152"/>
      <c r="G595" s="152"/>
      <c r="H595" s="152"/>
      <c r="I595" s="152"/>
      <c r="J595" s="152"/>
      <c r="K595" s="152"/>
      <c r="L595" s="152"/>
      <c r="M595" s="152"/>
      <c r="N595" s="152"/>
      <c r="O595" s="152"/>
      <c r="P595" s="152"/>
      <c r="Q595" s="152"/>
      <c r="R595" s="152"/>
      <c r="S595" s="152"/>
      <c r="T595" s="152"/>
      <c r="U595" s="152"/>
      <c r="V595" s="152"/>
      <c r="W595" s="152"/>
      <c r="X595" s="152"/>
      <c r="Y595" s="152"/>
      <c r="Z595" s="152"/>
    </row>
    <row r="596" ht="12.8" customHeight="1" spans="1:26">
      <c r="A596" s="176"/>
      <c r="B596" s="176"/>
      <c r="C596" s="176"/>
      <c r="D596" s="152"/>
      <c r="E596" s="152"/>
      <c r="F596" s="152"/>
      <c r="G596" s="152"/>
      <c r="H596" s="152"/>
      <c r="I596" s="152"/>
      <c r="J596" s="152"/>
      <c r="K596" s="152"/>
      <c r="L596" s="152"/>
      <c r="M596" s="152"/>
      <c r="N596" s="152"/>
      <c r="O596" s="152"/>
      <c r="P596" s="152"/>
      <c r="Q596" s="152"/>
      <c r="R596" s="152"/>
      <c r="S596" s="152"/>
      <c r="T596" s="152"/>
      <c r="U596" s="152"/>
      <c r="V596" s="152"/>
      <c r="W596" s="152"/>
      <c r="X596" s="152"/>
      <c r="Y596" s="152"/>
      <c r="Z596" s="152"/>
    </row>
    <row r="597" ht="12.8" customHeight="1" spans="1:26">
      <c r="A597" s="176"/>
      <c r="B597" s="176"/>
      <c r="C597" s="176"/>
      <c r="D597" s="152"/>
      <c r="E597" s="152"/>
      <c r="F597" s="152"/>
      <c r="G597" s="152"/>
      <c r="H597" s="152"/>
      <c r="I597" s="152"/>
      <c r="J597" s="152"/>
      <c r="K597" s="152"/>
      <c r="L597" s="152"/>
      <c r="M597" s="152"/>
      <c r="N597" s="152"/>
      <c r="O597" s="152"/>
      <c r="P597" s="152"/>
      <c r="Q597" s="152"/>
      <c r="R597" s="152"/>
      <c r="S597" s="152"/>
      <c r="T597" s="152"/>
      <c r="U597" s="152"/>
      <c r="V597" s="152"/>
      <c r="W597" s="152"/>
      <c r="X597" s="152"/>
      <c r="Y597" s="152"/>
      <c r="Z597" s="152"/>
    </row>
    <row r="598" ht="12.8" customHeight="1" spans="1:26">
      <c r="A598" s="176"/>
      <c r="B598" s="176"/>
      <c r="C598" s="176"/>
      <c r="D598" s="152"/>
      <c r="E598" s="152"/>
      <c r="F598" s="152"/>
      <c r="G598" s="152"/>
      <c r="H598" s="152"/>
      <c r="I598" s="152"/>
      <c r="J598" s="152"/>
      <c r="K598" s="152"/>
      <c r="L598" s="152"/>
      <c r="M598" s="152"/>
      <c r="N598" s="152"/>
      <c r="O598" s="152"/>
      <c r="P598" s="152"/>
      <c r="Q598" s="152"/>
      <c r="R598" s="152"/>
      <c r="S598" s="152"/>
      <c r="T598" s="152"/>
      <c r="U598" s="152"/>
      <c r="V598" s="152"/>
      <c r="W598" s="152"/>
      <c r="X598" s="152"/>
      <c r="Y598" s="152"/>
      <c r="Z598" s="152"/>
    </row>
    <row r="599" ht="12.8" customHeight="1" spans="1:26">
      <c r="A599" s="176"/>
      <c r="B599" s="176"/>
      <c r="C599" s="176"/>
      <c r="D599" s="152"/>
      <c r="E599" s="152"/>
      <c r="F599" s="152"/>
      <c r="G599" s="152"/>
      <c r="H599" s="152"/>
      <c r="I599" s="152"/>
      <c r="J599" s="152"/>
      <c r="K599" s="152"/>
      <c r="L599" s="152"/>
      <c r="M599" s="152"/>
      <c r="N599" s="152"/>
      <c r="O599" s="152"/>
      <c r="P599" s="152"/>
      <c r="Q599" s="152"/>
      <c r="R599" s="152"/>
      <c r="S599" s="152"/>
      <c r="T599" s="152"/>
      <c r="U599" s="152"/>
      <c r="V599" s="152"/>
      <c r="W599" s="152"/>
      <c r="X599" s="152"/>
      <c r="Y599" s="152"/>
      <c r="Z599" s="152"/>
    </row>
    <row r="600" ht="12.8" customHeight="1" spans="1:26">
      <c r="A600" s="176"/>
      <c r="B600" s="176"/>
      <c r="C600" s="176"/>
      <c r="D600" s="152"/>
      <c r="E600" s="152"/>
      <c r="F600" s="152"/>
      <c r="G600" s="152"/>
      <c r="H600" s="152"/>
      <c r="I600" s="152"/>
      <c r="J600" s="152"/>
      <c r="K600" s="152"/>
      <c r="L600" s="152"/>
      <c r="M600" s="152"/>
      <c r="N600" s="152"/>
      <c r="O600" s="152"/>
      <c r="P600" s="152"/>
      <c r="Q600" s="152"/>
      <c r="R600" s="152"/>
      <c r="S600" s="152"/>
      <c r="T600" s="152"/>
      <c r="U600" s="152"/>
      <c r="V600" s="152"/>
      <c r="W600" s="152"/>
      <c r="X600" s="152"/>
      <c r="Y600" s="152"/>
      <c r="Z600" s="152"/>
    </row>
    <row r="601" ht="12.8" customHeight="1" spans="1:26">
      <c r="A601" s="176"/>
      <c r="B601" s="176"/>
      <c r="C601" s="176"/>
      <c r="D601" s="152"/>
      <c r="E601" s="152"/>
      <c r="F601" s="152"/>
      <c r="G601" s="152"/>
      <c r="H601" s="152"/>
      <c r="I601" s="152"/>
      <c r="J601" s="152"/>
      <c r="K601" s="152"/>
      <c r="L601" s="152"/>
      <c r="M601" s="152"/>
      <c r="N601" s="152"/>
      <c r="O601" s="152"/>
      <c r="P601" s="152"/>
      <c r="Q601" s="152"/>
      <c r="R601" s="152"/>
      <c r="S601" s="152"/>
      <c r="T601" s="152"/>
      <c r="U601" s="152"/>
      <c r="V601" s="152"/>
      <c r="W601" s="152"/>
      <c r="X601" s="152"/>
      <c r="Y601" s="152"/>
      <c r="Z601" s="152"/>
    </row>
    <row r="602" ht="12.8" customHeight="1" spans="1:26">
      <c r="A602" s="176"/>
      <c r="B602" s="176"/>
      <c r="C602" s="176"/>
      <c r="D602" s="152"/>
      <c r="E602" s="152"/>
      <c r="F602" s="152"/>
      <c r="G602" s="152"/>
      <c r="H602" s="152"/>
      <c r="I602" s="152"/>
      <c r="J602" s="152"/>
      <c r="K602" s="152"/>
      <c r="L602" s="152"/>
      <c r="M602" s="152"/>
      <c r="N602" s="152"/>
      <c r="O602" s="152"/>
      <c r="P602" s="152"/>
      <c r="Q602" s="152"/>
      <c r="R602" s="152"/>
      <c r="S602" s="152"/>
      <c r="T602" s="152"/>
      <c r="U602" s="152"/>
      <c r="V602" s="152"/>
      <c r="W602" s="152"/>
      <c r="X602" s="152"/>
      <c r="Y602" s="152"/>
      <c r="Z602" s="152"/>
    </row>
    <row r="603" ht="12.8" customHeight="1" spans="1:26">
      <c r="A603" s="176"/>
      <c r="B603" s="176"/>
      <c r="C603" s="176"/>
      <c r="D603" s="152"/>
      <c r="E603" s="152"/>
      <c r="F603" s="152"/>
      <c r="G603" s="152"/>
      <c r="H603" s="152"/>
      <c r="I603" s="152"/>
      <c r="J603" s="152"/>
      <c r="K603" s="152"/>
      <c r="L603" s="152"/>
      <c r="M603" s="152"/>
      <c r="N603" s="152"/>
      <c r="O603" s="152"/>
      <c r="P603" s="152"/>
      <c r="Q603" s="152"/>
      <c r="R603" s="152"/>
      <c r="S603" s="152"/>
      <c r="T603" s="152"/>
      <c r="U603" s="152"/>
      <c r="V603" s="152"/>
      <c r="W603" s="152"/>
      <c r="X603" s="152"/>
      <c r="Y603" s="152"/>
      <c r="Z603" s="152"/>
    </row>
    <row r="604" ht="12.8" customHeight="1" spans="1:26">
      <c r="A604" s="176"/>
      <c r="B604" s="176"/>
      <c r="C604" s="176"/>
      <c r="D604" s="152"/>
      <c r="E604" s="152"/>
      <c r="F604" s="152"/>
      <c r="G604" s="152"/>
      <c r="H604" s="152"/>
      <c r="I604" s="152"/>
      <c r="J604" s="152"/>
      <c r="K604" s="152"/>
      <c r="L604" s="152"/>
      <c r="M604" s="152"/>
      <c r="N604" s="152"/>
      <c r="O604" s="152"/>
      <c r="P604" s="152"/>
      <c r="Q604" s="152"/>
      <c r="R604" s="152"/>
      <c r="S604" s="152"/>
      <c r="T604" s="152"/>
      <c r="U604" s="152"/>
      <c r="V604" s="152"/>
      <c r="W604" s="152"/>
      <c r="X604" s="152"/>
      <c r="Y604" s="152"/>
      <c r="Z604" s="152"/>
    </row>
    <row r="605" ht="12.8" customHeight="1" spans="1:26">
      <c r="A605" s="176"/>
      <c r="B605" s="176"/>
      <c r="C605" s="176"/>
      <c r="D605" s="152"/>
      <c r="E605" s="152"/>
      <c r="F605" s="152"/>
      <c r="G605" s="152"/>
      <c r="H605" s="152"/>
      <c r="I605" s="152"/>
      <c r="J605" s="152"/>
      <c r="K605" s="152"/>
      <c r="L605" s="152"/>
      <c r="M605" s="152"/>
      <c r="N605" s="152"/>
      <c r="O605" s="152"/>
      <c r="P605" s="152"/>
      <c r="Q605" s="152"/>
      <c r="R605" s="152"/>
      <c r="S605" s="152"/>
      <c r="T605" s="152"/>
      <c r="U605" s="152"/>
      <c r="V605" s="152"/>
      <c r="W605" s="152"/>
      <c r="X605" s="152"/>
      <c r="Y605" s="152"/>
      <c r="Z605" s="152"/>
    </row>
    <row r="606" ht="12.8" customHeight="1" spans="1:26">
      <c r="A606" s="176"/>
      <c r="B606" s="176"/>
      <c r="C606" s="176"/>
      <c r="D606" s="152"/>
      <c r="E606" s="152"/>
      <c r="F606" s="152"/>
      <c r="G606" s="152"/>
      <c r="H606" s="152"/>
      <c r="I606" s="152"/>
      <c r="J606" s="152"/>
      <c r="K606" s="152"/>
      <c r="L606" s="152"/>
      <c r="M606" s="152"/>
      <c r="N606" s="152"/>
      <c r="O606" s="152"/>
      <c r="P606" s="152"/>
      <c r="Q606" s="152"/>
      <c r="R606" s="152"/>
      <c r="S606" s="152"/>
      <c r="T606" s="152"/>
      <c r="U606" s="152"/>
      <c r="V606" s="152"/>
      <c r="W606" s="152"/>
      <c r="X606" s="152"/>
      <c r="Y606" s="152"/>
      <c r="Z606" s="152"/>
    </row>
    <row r="607" ht="12.8" customHeight="1" spans="1:26">
      <c r="A607" s="176"/>
      <c r="B607" s="176"/>
      <c r="C607" s="176"/>
      <c r="D607" s="152"/>
      <c r="E607" s="152"/>
      <c r="F607" s="152"/>
      <c r="G607" s="152"/>
      <c r="H607" s="152"/>
      <c r="I607" s="152"/>
      <c r="J607" s="152"/>
      <c r="K607" s="152"/>
      <c r="L607" s="152"/>
      <c r="M607" s="152"/>
      <c r="N607" s="152"/>
      <c r="O607" s="152"/>
      <c r="P607" s="152"/>
      <c r="Q607" s="152"/>
      <c r="R607" s="152"/>
      <c r="S607" s="152"/>
      <c r="T607" s="152"/>
      <c r="U607" s="152"/>
      <c r="V607" s="152"/>
      <c r="W607" s="152"/>
      <c r="X607" s="152"/>
      <c r="Y607" s="152"/>
      <c r="Z607" s="152"/>
    </row>
    <row r="608" ht="12.8" customHeight="1" spans="1:26">
      <c r="A608" s="176"/>
      <c r="B608" s="176"/>
      <c r="C608" s="176"/>
      <c r="D608" s="152"/>
      <c r="E608" s="152"/>
      <c r="F608" s="152"/>
      <c r="G608" s="152"/>
      <c r="H608" s="152"/>
      <c r="I608" s="152"/>
      <c r="J608" s="152"/>
      <c r="K608" s="152"/>
      <c r="L608" s="152"/>
      <c r="M608" s="152"/>
      <c r="N608" s="152"/>
      <c r="O608" s="152"/>
      <c r="P608" s="152"/>
      <c r="Q608" s="152"/>
      <c r="R608" s="152"/>
      <c r="S608" s="152"/>
      <c r="T608" s="152"/>
      <c r="U608" s="152"/>
      <c r="V608" s="152"/>
      <c r="W608" s="152"/>
      <c r="X608" s="152"/>
      <c r="Y608" s="152"/>
      <c r="Z608" s="152"/>
    </row>
    <row r="609" ht="12.8" customHeight="1" spans="1:26">
      <c r="A609" s="176"/>
      <c r="B609" s="176"/>
      <c r="C609" s="176"/>
      <c r="D609" s="152"/>
      <c r="E609" s="152"/>
      <c r="F609" s="152"/>
      <c r="G609" s="152"/>
      <c r="H609" s="152"/>
      <c r="I609" s="152"/>
      <c r="J609" s="152"/>
      <c r="K609" s="152"/>
      <c r="L609" s="152"/>
      <c r="M609" s="152"/>
      <c r="N609" s="152"/>
      <c r="O609" s="152"/>
      <c r="P609" s="152"/>
      <c r="Q609" s="152"/>
      <c r="R609" s="152"/>
      <c r="S609" s="152"/>
      <c r="T609" s="152"/>
      <c r="U609" s="152"/>
      <c r="V609" s="152"/>
      <c r="W609" s="152"/>
      <c r="X609" s="152"/>
      <c r="Y609" s="152"/>
      <c r="Z609" s="152"/>
    </row>
    <row r="610" ht="12.8" customHeight="1" spans="1:26">
      <c r="A610" s="176"/>
      <c r="B610" s="176"/>
      <c r="C610" s="176"/>
      <c r="D610" s="152"/>
      <c r="E610" s="152"/>
      <c r="F610" s="152"/>
      <c r="G610" s="152"/>
      <c r="H610" s="152"/>
      <c r="I610" s="152"/>
      <c r="J610" s="152"/>
      <c r="K610" s="152"/>
      <c r="L610" s="152"/>
      <c r="M610" s="152"/>
      <c r="N610" s="152"/>
      <c r="O610" s="152"/>
      <c r="P610" s="152"/>
      <c r="Q610" s="152"/>
      <c r="R610" s="152"/>
      <c r="S610" s="152"/>
      <c r="T610" s="152"/>
      <c r="U610" s="152"/>
      <c r="V610" s="152"/>
      <c r="W610" s="152"/>
      <c r="X610" s="152"/>
      <c r="Y610" s="152"/>
      <c r="Z610" s="152"/>
    </row>
    <row r="611" ht="12.8" customHeight="1" spans="1:26">
      <c r="A611" s="176"/>
      <c r="B611" s="176"/>
      <c r="C611" s="176"/>
      <c r="D611" s="152"/>
      <c r="E611" s="152"/>
      <c r="F611" s="152"/>
      <c r="G611" s="152"/>
      <c r="H611" s="152"/>
      <c r="I611" s="152"/>
      <c r="J611" s="152"/>
      <c r="K611" s="152"/>
      <c r="L611" s="152"/>
      <c r="M611" s="152"/>
      <c r="N611" s="152"/>
      <c r="O611" s="152"/>
      <c r="P611" s="152"/>
      <c r="Q611" s="152"/>
      <c r="R611" s="152"/>
      <c r="S611" s="152"/>
      <c r="T611" s="152"/>
      <c r="U611" s="152"/>
      <c r="V611" s="152"/>
      <c r="W611" s="152"/>
      <c r="X611" s="152"/>
      <c r="Y611" s="152"/>
      <c r="Z611" s="152"/>
    </row>
    <row r="612" ht="12.8" customHeight="1" spans="1:26">
      <c r="A612" s="176"/>
      <c r="B612" s="176"/>
      <c r="C612" s="176"/>
      <c r="D612" s="152"/>
      <c r="E612" s="152"/>
      <c r="F612" s="152"/>
      <c r="G612" s="152"/>
      <c r="H612" s="152"/>
      <c r="I612" s="152"/>
      <c r="J612" s="152"/>
      <c r="K612" s="152"/>
      <c r="L612" s="152"/>
      <c r="M612" s="152"/>
      <c r="N612" s="152"/>
      <c r="O612" s="152"/>
      <c r="P612" s="152"/>
      <c r="Q612" s="152"/>
      <c r="R612" s="152"/>
      <c r="S612" s="152"/>
      <c r="T612" s="152"/>
      <c r="U612" s="152"/>
      <c r="V612" s="152"/>
      <c r="W612" s="152"/>
      <c r="X612" s="152"/>
      <c r="Y612" s="152"/>
      <c r="Z612" s="152"/>
    </row>
    <row r="613" ht="12.8" customHeight="1" spans="1:26">
      <c r="A613" s="176"/>
      <c r="B613" s="176"/>
      <c r="C613" s="176"/>
      <c r="D613" s="152"/>
      <c r="E613" s="152"/>
      <c r="F613" s="152"/>
      <c r="G613" s="152"/>
      <c r="H613" s="152"/>
      <c r="I613" s="152"/>
      <c r="J613" s="152"/>
      <c r="K613" s="152"/>
      <c r="L613" s="152"/>
      <c r="M613" s="152"/>
      <c r="N613" s="152"/>
      <c r="O613" s="152"/>
      <c r="P613" s="152"/>
      <c r="Q613" s="152"/>
      <c r="R613" s="152"/>
      <c r="S613" s="152"/>
      <c r="T613" s="152"/>
      <c r="U613" s="152"/>
      <c r="V613" s="152"/>
      <c r="W613" s="152"/>
      <c r="X613" s="152"/>
      <c r="Y613" s="152"/>
      <c r="Z613" s="152"/>
    </row>
    <row r="614" ht="12.8" customHeight="1" spans="1:26">
      <c r="A614" s="176"/>
      <c r="B614" s="176"/>
      <c r="C614" s="176"/>
      <c r="D614" s="152"/>
      <c r="E614" s="152"/>
      <c r="F614" s="152"/>
      <c r="G614" s="152"/>
      <c r="H614" s="152"/>
      <c r="I614" s="152"/>
      <c r="J614" s="152"/>
      <c r="K614" s="152"/>
      <c r="L614" s="152"/>
      <c r="M614" s="152"/>
      <c r="N614" s="152"/>
      <c r="O614" s="152"/>
      <c r="P614" s="152"/>
      <c r="Q614" s="152"/>
      <c r="R614" s="152"/>
      <c r="S614" s="152"/>
      <c r="T614" s="152"/>
      <c r="U614" s="152"/>
      <c r="V614" s="152"/>
      <c r="W614" s="152"/>
      <c r="X614" s="152"/>
      <c r="Y614" s="152"/>
      <c r="Z614" s="152"/>
    </row>
    <row r="615" ht="12.8" customHeight="1" spans="1:26">
      <c r="A615" s="176"/>
      <c r="B615" s="176"/>
      <c r="C615" s="176"/>
      <c r="D615" s="152"/>
      <c r="E615" s="152"/>
      <c r="F615" s="152"/>
      <c r="G615" s="152"/>
      <c r="H615" s="152"/>
      <c r="I615" s="152"/>
      <c r="J615" s="152"/>
      <c r="K615" s="152"/>
      <c r="L615" s="152"/>
      <c r="M615" s="152"/>
      <c r="N615" s="152"/>
      <c r="O615" s="152"/>
      <c r="P615" s="152"/>
      <c r="Q615" s="152"/>
      <c r="R615" s="152"/>
      <c r="S615" s="152"/>
      <c r="T615" s="152"/>
      <c r="U615" s="152"/>
      <c r="V615" s="152"/>
      <c r="W615" s="152"/>
      <c r="X615" s="152"/>
      <c r="Y615" s="152"/>
      <c r="Z615" s="152"/>
    </row>
    <row r="616" ht="12.8" customHeight="1" spans="1:26">
      <c r="A616" s="176"/>
      <c r="B616" s="176"/>
      <c r="C616" s="176"/>
      <c r="D616" s="152"/>
      <c r="E616" s="152"/>
      <c r="F616" s="152"/>
      <c r="G616" s="152"/>
      <c r="H616" s="152"/>
      <c r="I616" s="152"/>
      <c r="J616" s="152"/>
      <c r="K616" s="152"/>
      <c r="L616" s="152"/>
      <c r="M616" s="152"/>
      <c r="N616" s="152"/>
      <c r="O616" s="152"/>
      <c r="P616" s="152"/>
      <c r="Q616" s="152"/>
      <c r="R616" s="152"/>
      <c r="S616" s="152"/>
      <c r="T616" s="152"/>
      <c r="U616" s="152"/>
      <c r="V616" s="152"/>
      <c r="W616" s="152"/>
      <c r="X616" s="152"/>
      <c r="Y616" s="152"/>
      <c r="Z616" s="152"/>
    </row>
    <row r="617" ht="12.8" customHeight="1" spans="1:26">
      <c r="A617" s="176"/>
      <c r="B617" s="176"/>
      <c r="C617" s="176"/>
      <c r="D617" s="152"/>
      <c r="E617" s="152"/>
      <c r="F617" s="152"/>
      <c r="G617" s="152"/>
      <c r="H617" s="152"/>
      <c r="I617" s="152"/>
      <c r="J617" s="152"/>
      <c r="K617" s="152"/>
      <c r="L617" s="152"/>
      <c r="M617" s="152"/>
      <c r="N617" s="152"/>
      <c r="O617" s="152"/>
      <c r="P617" s="152"/>
      <c r="Q617" s="152"/>
      <c r="R617" s="152"/>
      <c r="S617" s="152"/>
      <c r="T617" s="152"/>
      <c r="U617" s="152"/>
      <c r="V617" s="152"/>
      <c r="W617" s="152"/>
      <c r="X617" s="152"/>
      <c r="Y617" s="152"/>
      <c r="Z617" s="152"/>
    </row>
    <row r="618" ht="12.8" customHeight="1" spans="1:26">
      <c r="A618" s="176"/>
      <c r="B618" s="176"/>
      <c r="C618" s="176"/>
      <c r="D618" s="152"/>
      <c r="E618" s="152"/>
      <c r="F618" s="152"/>
      <c r="G618" s="152"/>
      <c r="H618" s="152"/>
      <c r="I618" s="152"/>
      <c r="J618" s="152"/>
      <c r="K618" s="152"/>
      <c r="L618" s="152"/>
      <c r="M618" s="152"/>
      <c r="N618" s="152"/>
      <c r="O618" s="152"/>
      <c r="P618" s="152"/>
      <c r="Q618" s="152"/>
      <c r="R618" s="152"/>
      <c r="S618" s="152"/>
      <c r="T618" s="152"/>
      <c r="U618" s="152"/>
      <c r="V618" s="152"/>
      <c r="W618" s="152"/>
      <c r="X618" s="152"/>
      <c r="Y618" s="152"/>
      <c r="Z618" s="152"/>
    </row>
    <row r="619" ht="12.8" customHeight="1" spans="1:26">
      <c r="A619" s="176"/>
      <c r="B619" s="176"/>
      <c r="C619" s="176"/>
      <c r="D619" s="152"/>
      <c r="E619" s="152"/>
      <c r="F619" s="152"/>
      <c r="G619" s="152"/>
      <c r="H619" s="152"/>
      <c r="I619" s="152"/>
      <c r="J619" s="152"/>
      <c r="K619" s="152"/>
      <c r="L619" s="152"/>
      <c r="M619" s="152"/>
      <c r="N619" s="152"/>
      <c r="O619" s="152"/>
      <c r="P619" s="152"/>
      <c r="Q619" s="152"/>
      <c r="R619" s="152"/>
      <c r="S619" s="152"/>
      <c r="T619" s="152"/>
      <c r="U619" s="152"/>
      <c r="V619" s="152"/>
      <c r="W619" s="152"/>
      <c r="X619" s="152"/>
      <c r="Y619" s="152"/>
      <c r="Z619" s="152"/>
    </row>
    <row r="620" ht="12.8" customHeight="1" spans="1:26">
      <c r="A620" s="176"/>
      <c r="B620" s="176"/>
      <c r="C620" s="176"/>
      <c r="D620" s="152"/>
      <c r="E620" s="152"/>
      <c r="F620" s="152"/>
      <c r="G620" s="152"/>
      <c r="H620" s="152"/>
      <c r="I620" s="152"/>
      <c r="J620" s="152"/>
      <c r="K620" s="152"/>
      <c r="L620" s="152"/>
      <c r="M620" s="152"/>
      <c r="N620" s="152"/>
      <c r="O620" s="152"/>
      <c r="P620" s="152"/>
      <c r="Q620" s="152"/>
      <c r="R620" s="152"/>
      <c r="S620" s="152"/>
      <c r="T620" s="152"/>
      <c r="U620" s="152"/>
      <c r="V620" s="152"/>
      <c r="W620" s="152"/>
      <c r="X620" s="152"/>
      <c r="Y620" s="152"/>
      <c r="Z620" s="152"/>
    </row>
    <row r="621" ht="12.8" customHeight="1" spans="1:26">
      <c r="A621" s="176"/>
      <c r="B621" s="176"/>
      <c r="C621" s="176"/>
      <c r="D621" s="152"/>
      <c r="E621" s="152"/>
      <c r="F621" s="152"/>
      <c r="G621" s="152"/>
      <c r="H621" s="152"/>
      <c r="I621" s="152"/>
      <c r="J621" s="152"/>
      <c r="K621" s="152"/>
      <c r="L621" s="152"/>
      <c r="M621" s="152"/>
      <c r="N621" s="152"/>
      <c r="O621" s="152"/>
      <c r="P621" s="152"/>
      <c r="Q621" s="152"/>
      <c r="R621" s="152"/>
      <c r="S621" s="152"/>
      <c r="T621" s="152"/>
      <c r="U621" s="152"/>
      <c r="V621" s="152"/>
      <c r="W621" s="152"/>
      <c r="X621" s="152"/>
      <c r="Y621" s="152"/>
      <c r="Z621" s="152"/>
    </row>
    <row r="622" ht="12.8" customHeight="1" spans="1:26">
      <c r="A622" s="176"/>
      <c r="B622" s="176"/>
      <c r="C622" s="176"/>
      <c r="D622" s="152"/>
      <c r="E622" s="152"/>
      <c r="F622" s="152"/>
      <c r="G622" s="152"/>
      <c r="H622" s="152"/>
      <c r="I622" s="152"/>
      <c r="J622" s="152"/>
      <c r="K622" s="152"/>
      <c r="L622" s="152"/>
      <c r="M622" s="152"/>
      <c r="N622" s="152"/>
      <c r="O622" s="152"/>
      <c r="P622" s="152"/>
      <c r="Q622" s="152"/>
      <c r="R622" s="152"/>
      <c r="S622" s="152"/>
      <c r="T622" s="152"/>
      <c r="U622" s="152"/>
      <c r="V622" s="152"/>
      <c r="W622" s="152"/>
      <c r="X622" s="152"/>
      <c r="Y622" s="152"/>
      <c r="Z622" s="152"/>
    </row>
    <row r="623" ht="12.8" customHeight="1" spans="1:26">
      <c r="A623" s="176"/>
      <c r="B623" s="176"/>
      <c r="C623" s="176"/>
      <c r="D623" s="152"/>
      <c r="E623" s="152"/>
      <c r="F623" s="152"/>
      <c r="G623" s="152"/>
      <c r="H623" s="152"/>
      <c r="I623" s="152"/>
      <c r="J623" s="152"/>
      <c r="K623" s="152"/>
      <c r="L623" s="152"/>
      <c r="M623" s="152"/>
      <c r="N623" s="152"/>
      <c r="O623" s="152"/>
      <c r="P623" s="152"/>
      <c r="Q623" s="152"/>
      <c r="R623" s="152"/>
      <c r="S623" s="152"/>
      <c r="T623" s="152"/>
      <c r="U623" s="152"/>
      <c r="V623" s="152"/>
      <c r="W623" s="152"/>
      <c r="X623" s="152"/>
      <c r="Y623" s="152"/>
      <c r="Z623" s="152"/>
    </row>
    <row r="624" ht="12.8" customHeight="1" spans="1:26">
      <c r="A624" s="176"/>
      <c r="B624" s="176"/>
      <c r="C624" s="176"/>
      <c r="D624" s="152"/>
      <c r="E624" s="152"/>
      <c r="F624" s="152"/>
      <c r="G624" s="152"/>
      <c r="H624" s="152"/>
      <c r="I624" s="152"/>
      <c r="J624" s="152"/>
      <c r="K624" s="152"/>
      <c r="L624" s="152"/>
      <c r="M624" s="152"/>
      <c r="N624" s="152"/>
      <c r="O624" s="152"/>
      <c r="P624" s="152"/>
      <c r="Q624" s="152"/>
      <c r="R624" s="152"/>
      <c r="S624" s="152"/>
      <c r="T624" s="152"/>
      <c r="U624" s="152"/>
      <c r="V624" s="152"/>
      <c r="W624" s="152"/>
      <c r="X624" s="152"/>
      <c r="Y624" s="152"/>
      <c r="Z624" s="152"/>
    </row>
    <row r="625" ht="12.8" customHeight="1" spans="1:26">
      <c r="A625" s="176"/>
      <c r="B625" s="176"/>
      <c r="C625" s="176"/>
      <c r="D625" s="152"/>
      <c r="E625" s="152"/>
      <c r="F625" s="152"/>
      <c r="G625" s="152"/>
      <c r="H625" s="152"/>
      <c r="I625" s="152"/>
      <c r="J625" s="152"/>
      <c r="K625" s="152"/>
      <c r="L625" s="152"/>
      <c r="M625" s="152"/>
      <c r="N625" s="152"/>
      <c r="O625" s="152"/>
      <c r="P625" s="152"/>
      <c r="Q625" s="152"/>
      <c r="R625" s="152"/>
      <c r="S625" s="152"/>
      <c r="T625" s="152"/>
      <c r="U625" s="152"/>
      <c r="V625" s="152"/>
      <c r="W625" s="152"/>
      <c r="X625" s="152"/>
      <c r="Y625" s="152"/>
      <c r="Z625" s="152"/>
    </row>
    <row r="626" ht="12.8" customHeight="1" spans="1:26">
      <c r="A626" s="176"/>
      <c r="B626" s="176"/>
      <c r="C626" s="176"/>
      <c r="D626" s="152"/>
      <c r="E626" s="152"/>
      <c r="F626" s="152"/>
      <c r="G626" s="152"/>
      <c r="H626" s="152"/>
      <c r="I626" s="152"/>
      <c r="J626" s="152"/>
      <c r="K626" s="152"/>
      <c r="L626" s="152"/>
      <c r="M626" s="152"/>
      <c r="N626" s="152"/>
      <c r="O626" s="152"/>
      <c r="P626" s="152"/>
      <c r="Q626" s="152"/>
      <c r="R626" s="152"/>
      <c r="S626" s="152"/>
      <c r="T626" s="152"/>
      <c r="U626" s="152"/>
      <c r="V626" s="152"/>
      <c r="W626" s="152"/>
      <c r="X626" s="152"/>
      <c r="Y626" s="152"/>
      <c r="Z626" s="152"/>
    </row>
    <row r="627" ht="12.8" customHeight="1" spans="1:26">
      <c r="A627" s="176"/>
      <c r="B627" s="176"/>
      <c r="C627" s="176"/>
      <c r="D627" s="152"/>
      <c r="E627" s="152"/>
      <c r="F627" s="152"/>
      <c r="G627" s="152"/>
      <c r="H627" s="152"/>
      <c r="I627" s="152"/>
      <c r="J627" s="152"/>
      <c r="K627" s="152"/>
      <c r="L627" s="152"/>
      <c r="M627" s="152"/>
      <c r="N627" s="152"/>
      <c r="O627" s="152"/>
      <c r="P627" s="152"/>
      <c r="Q627" s="152"/>
      <c r="R627" s="152"/>
      <c r="S627" s="152"/>
      <c r="T627" s="152"/>
      <c r="U627" s="152"/>
      <c r="V627" s="152"/>
      <c r="W627" s="152"/>
      <c r="X627" s="152"/>
      <c r="Y627" s="152"/>
      <c r="Z627" s="152"/>
    </row>
    <row r="628" ht="12.8" customHeight="1" spans="1:26">
      <c r="A628" s="176"/>
      <c r="B628" s="176"/>
      <c r="C628" s="176"/>
      <c r="D628" s="152"/>
      <c r="E628" s="152"/>
      <c r="F628" s="152"/>
      <c r="G628" s="152"/>
      <c r="H628" s="152"/>
      <c r="I628" s="152"/>
      <c r="J628" s="152"/>
      <c r="K628" s="152"/>
      <c r="L628" s="152"/>
      <c r="M628" s="152"/>
      <c r="N628" s="152"/>
      <c r="O628" s="152"/>
      <c r="P628" s="152"/>
      <c r="Q628" s="152"/>
      <c r="R628" s="152"/>
      <c r="S628" s="152"/>
      <c r="T628" s="152"/>
      <c r="U628" s="152"/>
      <c r="V628" s="152"/>
      <c r="W628" s="152"/>
      <c r="X628" s="152"/>
      <c r="Y628" s="152"/>
      <c r="Z628" s="152"/>
    </row>
    <row r="629" ht="12.8" customHeight="1" spans="1:26">
      <c r="A629" s="176"/>
      <c r="B629" s="176"/>
      <c r="C629" s="176"/>
      <c r="D629" s="152"/>
      <c r="E629" s="152"/>
      <c r="F629" s="152"/>
      <c r="G629" s="152"/>
      <c r="H629" s="152"/>
      <c r="I629" s="152"/>
      <c r="J629" s="152"/>
      <c r="K629" s="152"/>
      <c r="L629" s="152"/>
      <c r="M629" s="152"/>
      <c r="N629" s="152"/>
      <c r="O629" s="152"/>
      <c r="P629" s="152"/>
      <c r="Q629" s="152"/>
      <c r="R629" s="152"/>
      <c r="S629" s="152"/>
      <c r="T629" s="152"/>
      <c r="U629" s="152"/>
      <c r="V629" s="152"/>
      <c r="W629" s="152"/>
      <c r="X629" s="152"/>
      <c r="Y629" s="152"/>
      <c r="Z629" s="152"/>
    </row>
    <row r="630" ht="12.8" customHeight="1" spans="1:26">
      <c r="A630" s="176"/>
      <c r="B630" s="176"/>
      <c r="C630" s="176"/>
      <c r="D630" s="152"/>
      <c r="E630" s="152"/>
      <c r="F630" s="152"/>
      <c r="G630" s="152"/>
      <c r="H630" s="152"/>
      <c r="I630" s="152"/>
      <c r="J630" s="152"/>
      <c r="K630" s="152"/>
      <c r="L630" s="152"/>
      <c r="M630" s="152"/>
      <c r="N630" s="152"/>
      <c r="O630" s="152"/>
      <c r="P630" s="152"/>
      <c r="Q630" s="152"/>
      <c r="R630" s="152"/>
      <c r="S630" s="152"/>
      <c r="T630" s="152"/>
      <c r="U630" s="152"/>
      <c r="V630" s="152"/>
      <c r="W630" s="152"/>
      <c r="X630" s="152"/>
      <c r="Y630" s="152"/>
      <c r="Z630" s="152"/>
    </row>
    <row r="631" ht="12.8" customHeight="1" spans="1:26">
      <c r="A631" s="176"/>
      <c r="B631" s="176"/>
      <c r="C631" s="176"/>
      <c r="D631" s="152"/>
      <c r="E631" s="152"/>
      <c r="F631" s="152"/>
      <c r="G631" s="152"/>
      <c r="H631" s="152"/>
      <c r="I631" s="152"/>
      <c r="J631" s="152"/>
      <c r="K631" s="152"/>
      <c r="L631" s="152"/>
      <c r="M631" s="152"/>
      <c r="N631" s="152"/>
      <c r="O631" s="152"/>
      <c r="P631" s="152"/>
      <c r="Q631" s="152"/>
      <c r="R631" s="152"/>
      <c r="S631" s="152"/>
      <c r="T631" s="152"/>
      <c r="U631" s="152"/>
      <c r="V631" s="152"/>
      <c r="W631" s="152"/>
      <c r="X631" s="152"/>
      <c r="Y631" s="152"/>
      <c r="Z631" s="152"/>
    </row>
    <row r="632" ht="12.8" customHeight="1" spans="1:26">
      <c r="A632" s="176"/>
      <c r="B632" s="176"/>
      <c r="C632" s="176"/>
      <c r="D632" s="152"/>
      <c r="E632" s="152"/>
      <c r="F632" s="152"/>
      <c r="G632" s="152"/>
      <c r="H632" s="152"/>
      <c r="I632" s="152"/>
      <c r="J632" s="152"/>
      <c r="K632" s="152"/>
      <c r="L632" s="152"/>
      <c r="M632" s="152"/>
      <c r="N632" s="152"/>
      <c r="O632" s="152"/>
      <c r="P632" s="152"/>
      <c r="Q632" s="152"/>
      <c r="R632" s="152"/>
      <c r="S632" s="152"/>
      <c r="T632" s="152"/>
      <c r="U632" s="152"/>
      <c r="V632" s="152"/>
      <c r="W632" s="152"/>
      <c r="X632" s="152"/>
      <c r="Y632" s="152"/>
      <c r="Z632" s="152"/>
    </row>
    <row r="633" ht="12.8" customHeight="1" spans="1:26">
      <c r="A633" s="176"/>
      <c r="B633" s="176"/>
      <c r="C633" s="176"/>
      <c r="D633" s="152"/>
      <c r="E633" s="152"/>
      <c r="F633" s="152"/>
      <c r="G633" s="152"/>
      <c r="H633" s="152"/>
      <c r="I633" s="152"/>
      <c r="J633" s="152"/>
      <c r="K633" s="152"/>
      <c r="L633" s="152"/>
      <c r="M633" s="152"/>
      <c r="N633" s="152"/>
      <c r="O633" s="152"/>
      <c r="P633" s="152"/>
      <c r="Q633" s="152"/>
      <c r="R633" s="152"/>
      <c r="S633" s="152"/>
      <c r="T633" s="152"/>
      <c r="U633" s="152"/>
      <c r="V633" s="152"/>
      <c r="W633" s="152"/>
      <c r="X633" s="152"/>
      <c r="Y633" s="152"/>
      <c r="Z633" s="152"/>
    </row>
    <row r="634" ht="12.8" customHeight="1" spans="1:26">
      <c r="A634" s="176"/>
      <c r="B634" s="176"/>
      <c r="C634" s="176"/>
      <c r="D634" s="152"/>
      <c r="E634" s="152"/>
      <c r="F634" s="152"/>
      <c r="G634" s="152"/>
      <c r="H634" s="152"/>
      <c r="I634" s="152"/>
      <c r="J634" s="152"/>
      <c r="K634" s="152"/>
      <c r="L634" s="152"/>
      <c r="M634" s="152"/>
      <c r="N634" s="152"/>
      <c r="O634" s="152"/>
      <c r="P634" s="152"/>
      <c r="Q634" s="152"/>
      <c r="R634" s="152"/>
      <c r="S634" s="152"/>
      <c r="T634" s="152"/>
      <c r="U634" s="152"/>
      <c r="V634" s="152"/>
      <c r="W634" s="152"/>
      <c r="X634" s="152"/>
      <c r="Y634" s="152"/>
      <c r="Z634" s="152"/>
    </row>
    <row r="635" ht="12.8" customHeight="1" spans="1:26">
      <c r="A635" s="176"/>
      <c r="B635" s="176"/>
      <c r="C635" s="176"/>
      <c r="D635" s="152"/>
      <c r="E635" s="152"/>
      <c r="F635" s="152"/>
      <c r="G635" s="152"/>
      <c r="H635" s="152"/>
      <c r="I635" s="152"/>
      <c r="J635" s="152"/>
      <c r="K635" s="152"/>
      <c r="L635" s="152"/>
      <c r="M635" s="152"/>
      <c r="N635" s="152"/>
      <c r="O635" s="152"/>
      <c r="P635" s="152"/>
      <c r="Q635" s="152"/>
      <c r="R635" s="152"/>
      <c r="S635" s="152"/>
      <c r="T635" s="152"/>
      <c r="U635" s="152"/>
      <c r="V635" s="152"/>
      <c r="W635" s="152"/>
      <c r="X635" s="152"/>
      <c r="Y635" s="152"/>
      <c r="Z635" s="152"/>
    </row>
    <row r="636" ht="12.8" customHeight="1" spans="1:26">
      <c r="A636" s="176"/>
      <c r="B636" s="176"/>
      <c r="C636" s="176"/>
      <c r="D636" s="152"/>
      <c r="E636" s="152"/>
      <c r="F636" s="152"/>
      <c r="G636" s="152"/>
      <c r="H636" s="152"/>
      <c r="I636" s="152"/>
      <c r="J636" s="152"/>
      <c r="K636" s="152"/>
      <c r="L636" s="152"/>
      <c r="M636" s="152"/>
      <c r="N636" s="152"/>
      <c r="O636" s="152"/>
      <c r="P636" s="152"/>
      <c r="Q636" s="152"/>
      <c r="R636" s="152"/>
      <c r="S636" s="152"/>
      <c r="T636" s="152"/>
      <c r="U636" s="152"/>
      <c r="V636" s="152"/>
      <c r="W636" s="152"/>
      <c r="X636" s="152"/>
      <c r="Y636" s="152"/>
      <c r="Z636" s="152"/>
    </row>
    <row r="637" ht="12.8" customHeight="1" spans="1:26">
      <c r="A637" s="176"/>
      <c r="B637" s="176"/>
      <c r="C637" s="176"/>
      <c r="D637" s="152"/>
      <c r="E637" s="152"/>
      <c r="F637" s="152"/>
      <c r="G637" s="152"/>
      <c r="H637" s="152"/>
      <c r="I637" s="152"/>
      <c r="J637" s="152"/>
      <c r="K637" s="152"/>
      <c r="L637" s="152"/>
      <c r="M637" s="152"/>
      <c r="N637" s="152"/>
      <c r="O637" s="152"/>
      <c r="P637" s="152"/>
      <c r="Q637" s="152"/>
      <c r="R637" s="152"/>
      <c r="S637" s="152"/>
      <c r="T637" s="152"/>
      <c r="U637" s="152"/>
      <c r="V637" s="152"/>
      <c r="W637" s="152"/>
      <c r="X637" s="152"/>
      <c r="Y637" s="152"/>
      <c r="Z637" s="152"/>
    </row>
    <row r="638" ht="12.8" customHeight="1" spans="1:26">
      <c r="A638" s="176"/>
      <c r="B638" s="176"/>
      <c r="C638" s="176"/>
      <c r="D638" s="152"/>
      <c r="E638" s="152"/>
      <c r="F638" s="152"/>
      <c r="G638" s="152"/>
      <c r="H638" s="152"/>
      <c r="I638" s="152"/>
      <c r="J638" s="152"/>
      <c r="K638" s="152"/>
      <c r="L638" s="152"/>
      <c r="M638" s="152"/>
      <c r="N638" s="152"/>
      <c r="O638" s="152"/>
      <c r="P638" s="152"/>
      <c r="Q638" s="152"/>
      <c r="R638" s="152"/>
      <c r="S638" s="152"/>
      <c r="T638" s="152"/>
      <c r="U638" s="152"/>
      <c r="V638" s="152"/>
      <c r="W638" s="152"/>
      <c r="X638" s="152"/>
      <c r="Y638" s="152"/>
      <c r="Z638" s="152"/>
    </row>
    <row r="639" ht="12.8" customHeight="1" spans="1:26">
      <c r="A639" s="176"/>
      <c r="B639" s="176"/>
      <c r="C639" s="176"/>
      <c r="D639" s="152"/>
      <c r="E639" s="152"/>
      <c r="F639" s="152"/>
      <c r="G639" s="152"/>
      <c r="H639" s="152"/>
      <c r="I639" s="152"/>
      <c r="J639" s="152"/>
      <c r="K639" s="152"/>
      <c r="L639" s="152"/>
      <c r="M639" s="152"/>
      <c r="N639" s="152"/>
      <c r="O639" s="152"/>
      <c r="P639" s="152"/>
      <c r="Q639" s="152"/>
      <c r="R639" s="152"/>
      <c r="S639" s="152"/>
      <c r="T639" s="152"/>
      <c r="U639" s="152"/>
      <c r="V639" s="152"/>
      <c r="W639" s="152"/>
      <c r="X639" s="152"/>
      <c r="Y639" s="152"/>
      <c r="Z639" s="152"/>
    </row>
    <row r="640" ht="12.8" customHeight="1" spans="1:26">
      <c r="A640" s="176"/>
      <c r="B640" s="176"/>
      <c r="C640" s="176"/>
      <c r="D640" s="152"/>
      <c r="E640" s="152"/>
      <c r="F640" s="152"/>
      <c r="G640" s="152"/>
      <c r="H640" s="152"/>
      <c r="I640" s="152"/>
      <c r="J640" s="152"/>
      <c r="K640" s="152"/>
      <c r="L640" s="152"/>
      <c r="M640" s="152"/>
      <c r="N640" s="152"/>
      <c r="O640" s="152"/>
      <c r="P640" s="152"/>
      <c r="Q640" s="152"/>
      <c r="R640" s="152"/>
      <c r="S640" s="152"/>
      <c r="T640" s="152"/>
      <c r="U640" s="152"/>
      <c r="V640" s="152"/>
      <c r="W640" s="152"/>
      <c r="X640" s="152"/>
      <c r="Y640" s="152"/>
      <c r="Z640" s="152"/>
    </row>
    <row r="641" ht="12.8" customHeight="1" spans="1:26">
      <c r="A641" s="176"/>
      <c r="B641" s="176"/>
      <c r="C641" s="176"/>
      <c r="D641" s="152"/>
      <c r="E641" s="152"/>
      <c r="F641" s="152"/>
      <c r="G641" s="152"/>
      <c r="H641" s="152"/>
      <c r="I641" s="152"/>
      <c r="J641" s="152"/>
      <c r="K641" s="152"/>
      <c r="L641" s="152"/>
      <c r="M641" s="152"/>
      <c r="N641" s="152"/>
      <c r="O641" s="152"/>
      <c r="P641" s="152"/>
      <c r="Q641" s="152"/>
      <c r="R641" s="152"/>
      <c r="S641" s="152"/>
      <c r="T641" s="152"/>
      <c r="U641" s="152"/>
      <c r="V641" s="152"/>
      <c r="W641" s="152"/>
      <c r="X641" s="152"/>
      <c r="Y641" s="152"/>
      <c r="Z641" s="152"/>
    </row>
    <row r="642" ht="12.8" customHeight="1" spans="1:26">
      <c r="A642" s="176"/>
      <c r="B642" s="176"/>
      <c r="C642" s="176"/>
      <c r="D642" s="152"/>
      <c r="E642" s="152"/>
      <c r="F642" s="152"/>
      <c r="G642" s="152"/>
      <c r="H642" s="152"/>
      <c r="I642" s="152"/>
      <c r="J642" s="152"/>
      <c r="K642" s="152"/>
      <c r="L642" s="152"/>
      <c r="M642" s="152"/>
      <c r="N642" s="152"/>
      <c r="O642" s="152"/>
      <c r="P642" s="152"/>
      <c r="Q642" s="152"/>
      <c r="R642" s="152"/>
      <c r="S642" s="152"/>
      <c r="T642" s="152"/>
      <c r="U642" s="152"/>
      <c r="V642" s="152"/>
      <c r="W642" s="152"/>
      <c r="X642" s="152"/>
      <c r="Y642" s="152"/>
      <c r="Z642" s="152"/>
    </row>
    <row r="643" ht="12.8" customHeight="1" spans="1:26">
      <c r="A643" s="176"/>
      <c r="B643" s="176"/>
      <c r="C643" s="176"/>
      <c r="D643" s="152"/>
      <c r="E643" s="152"/>
      <c r="F643" s="152"/>
      <c r="G643" s="152"/>
      <c r="H643" s="152"/>
      <c r="I643" s="152"/>
      <c r="J643" s="152"/>
      <c r="K643" s="152"/>
      <c r="L643" s="152"/>
      <c r="M643" s="152"/>
      <c r="N643" s="152"/>
      <c r="O643" s="152"/>
      <c r="P643" s="152"/>
      <c r="Q643" s="152"/>
      <c r="R643" s="152"/>
      <c r="S643" s="152"/>
      <c r="T643" s="152"/>
      <c r="U643" s="152"/>
      <c r="V643" s="152"/>
      <c r="W643" s="152"/>
      <c r="X643" s="152"/>
      <c r="Y643" s="152"/>
      <c r="Z643" s="152"/>
    </row>
    <row r="644" ht="12.8" customHeight="1" spans="1:26">
      <c r="A644" s="176"/>
      <c r="B644" s="176"/>
      <c r="C644" s="176"/>
      <c r="D644" s="152"/>
      <c r="E644" s="152"/>
      <c r="F644" s="152"/>
      <c r="G644" s="152"/>
      <c r="H644" s="152"/>
      <c r="I644" s="152"/>
      <c r="J644" s="152"/>
      <c r="K644" s="152"/>
      <c r="L644" s="152"/>
      <c r="M644" s="152"/>
      <c r="N644" s="152"/>
      <c r="O644" s="152"/>
      <c r="P644" s="152"/>
      <c r="Q644" s="152"/>
      <c r="R644" s="152"/>
      <c r="S644" s="152"/>
      <c r="T644" s="152"/>
      <c r="U644" s="152"/>
      <c r="V644" s="152"/>
      <c r="W644" s="152"/>
      <c r="X644" s="152"/>
      <c r="Y644" s="152"/>
      <c r="Z644" s="152"/>
    </row>
    <row r="645" ht="12.8" customHeight="1" spans="1:26">
      <c r="A645" s="176"/>
      <c r="B645" s="176"/>
      <c r="C645" s="176"/>
      <c r="D645" s="152"/>
      <c r="E645" s="152"/>
      <c r="F645" s="152"/>
      <c r="G645" s="152"/>
      <c r="H645" s="152"/>
      <c r="I645" s="152"/>
      <c r="J645" s="152"/>
      <c r="K645" s="152"/>
      <c r="L645" s="152"/>
      <c r="M645" s="152"/>
      <c r="N645" s="152"/>
      <c r="O645" s="152"/>
      <c r="P645" s="152"/>
      <c r="Q645" s="152"/>
      <c r="R645" s="152"/>
      <c r="S645" s="152"/>
      <c r="T645" s="152"/>
      <c r="U645" s="152"/>
      <c r="V645" s="152"/>
      <c r="W645" s="152"/>
      <c r="X645" s="152"/>
      <c r="Y645" s="152"/>
      <c r="Z645" s="152"/>
    </row>
    <row r="646" ht="12.8" customHeight="1" spans="1:26">
      <c r="A646" s="176"/>
      <c r="B646" s="176"/>
      <c r="C646" s="176"/>
      <c r="D646" s="152"/>
      <c r="E646" s="152"/>
      <c r="F646" s="152"/>
      <c r="G646" s="152"/>
      <c r="H646" s="152"/>
      <c r="I646" s="152"/>
      <c r="J646" s="152"/>
      <c r="K646" s="152"/>
      <c r="L646" s="152"/>
      <c r="M646" s="152"/>
      <c r="N646" s="152"/>
      <c r="O646" s="152"/>
      <c r="P646" s="152"/>
      <c r="Q646" s="152"/>
      <c r="R646" s="152"/>
      <c r="S646" s="152"/>
      <c r="T646" s="152"/>
      <c r="U646" s="152"/>
      <c r="V646" s="152"/>
      <c r="W646" s="152"/>
      <c r="X646" s="152"/>
      <c r="Y646" s="152"/>
      <c r="Z646" s="152"/>
    </row>
    <row r="647" ht="12.8" customHeight="1" spans="1:26">
      <c r="A647" s="176"/>
      <c r="B647" s="176"/>
      <c r="C647" s="176"/>
      <c r="D647" s="152"/>
      <c r="E647" s="152"/>
      <c r="F647" s="152"/>
      <c r="G647" s="152"/>
      <c r="H647" s="152"/>
      <c r="I647" s="152"/>
      <c r="J647" s="152"/>
      <c r="K647" s="152"/>
      <c r="L647" s="152"/>
      <c r="M647" s="152"/>
      <c r="N647" s="152"/>
      <c r="O647" s="152"/>
      <c r="P647" s="152"/>
      <c r="Q647" s="152"/>
      <c r="R647" s="152"/>
      <c r="S647" s="152"/>
      <c r="T647" s="152"/>
      <c r="U647" s="152"/>
      <c r="V647" s="152"/>
      <c r="W647" s="152"/>
      <c r="X647" s="152"/>
      <c r="Y647" s="152"/>
      <c r="Z647" s="152"/>
    </row>
    <row r="648" ht="12.8" customHeight="1" spans="1:26">
      <c r="A648" s="176"/>
      <c r="B648" s="176"/>
      <c r="C648" s="176"/>
      <c r="D648" s="152"/>
      <c r="E648" s="152"/>
      <c r="F648" s="152"/>
      <c r="G648" s="152"/>
      <c r="H648" s="152"/>
      <c r="I648" s="152"/>
      <c r="J648" s="152"/>
      <c r="K648" s="152"/>
      <c r="L648" s="152"/>
      <c r="M648" s="152"/>
      <c r="N648" s="152"/>
      <c r="O648" s="152"/>
      <c r="P648" s="152"/>
      <c r="Q648" s="152"/>
      <c r="R648" s="152"/>
      <c r="S648" s="152"/>
      <c r="T648" s="152"/>
      <c r="U648" s="152"/>
      <c r="V648" s="152"/>
      <c r="W648" s="152"/>
      <c r="X648" s="152"/>
      <c r="Y648" s="152"/>
      <c r="Z648" s="152"/>
    </row>
    <row r="649" ht="12.8" customHeight="1" spans="1:26">
      <c r="A649" s="176"/>
      <c r="B649" s="176"/>
      <c r="C649" s="176"/>
      <c r="D649" s="152"/>
      <c r="E649" s="152"/>
      <c r="F649" s="152"/>
      <c r="G649" s="152"/>
      <c r="H649" s="152"/>
      <c r="I649" s="152"/>
      <c r="J649" s="152"/>
      <c r="K649" s="152"/>
      <c r="L649" s="152"/>
      <c r="M649" s="152"/>
      <c r="N649" s="152"/>
      <c r="O649" s="152"/>
      <c r="P649" s="152"/>
      <c r="Q649" s="152"/>
      <c r="R649" s="152"/>
      <c r="S649" s="152"/>
      <c r="T649" s="152"/>
      <c r="U649" s="152"/>
      <c r="V649" s="152"/>
      <c r="W649" s="152"/>
      <c r="X649" s="152"/>
      <c r="Y649" s="152"/>
      <c r="Z649" s="152"/>
    </row>
    <row r="650" ht="12.8" customHeight="1" spans="1:26">
      <c r="A650" s="176"/>
      <c r="B650" s="176"/>
      <c r="C650" s="176"/>
      <c r="D650" s="152"/>
      <c r="E650" s="152"/>
      <c r="F650" s="152"/>
      <c r="G650" s="152"/>
      <c r="H650" s="152"/>
      <c r="I650" s="152"/>
      <c r="J650" s="152"/>
      <c r="K650" s="152"/>
      <c r="L650" s="152"/>
      <c r="M650" s="152"/>
      <c r="N650" s="152"/>
      <c r="O650" s="152"/>
      <c r="P650" s="152"/>
      <c r="Q650" s="152"/>
      <c r="R650" s="152"/>
      <c r="S650" s="152"/>
      <c r="T650" s="152"/>
      <c r="U650" s="152"/>
      <c r="V650" s="152"/>
      <c r="W650" s="152"/>
      <c r="X650" s="152"/>
      <c r="Y650" s="152"/>
      <c r="Z650" s="152"/>
    </row>
    <row r="651" ht="12.8" customHeight="1" spans="1:26">
      <c r="A651" s="176"/>
      <c r="B651" s="176"/>
      <c r="C651" s="176"/>
      <c r="D651" s="152"/>
      <c r="E651" s="152"/>
      <c r="F651" s="152"/>
      <c r="G651" s="152"/>
      <c r="H651" s="152"/>
      <c r="I651" s="152"/>
      <c r="J651" s="152"/>
      <c r="K651" s="152"/>
      <c r="L651" s="152"/>
      <c r="M651" s="152"/>
      <c r="N651" s="152"/>
      <c r="O651" s="152"/>
      <c r="P651" s="152"/>
      <c r="Q651" s="152"/>
      <c r="R651" s="152"/>
      <c r="S651" s="152"/>
      <c r="T651" s="152"/>
      <c r="U651" s="152"/>
      <c r="V651" s="152"/>
      <c r="W651" s="152"/>
      <c r="X651" s="152"/>
      <c r="Y651" s="152"/>
      <c r="Z651" s="152"/>
    </row>
    <row r="652" ht="12.8" customHeight="1" spans="1:26">
      <c r="A652" s="176"/>
      <c r="B652" s="176"/>
      <c r="C652" s="176"/>
      <c r="D652" s="152"/>
      <c r="E652" s="152"/>
      <c r="F652" s="152"/>
      <c r="G652" s="152"/>
      <c r="H652" s="152"/>
      <c r="I652" s="152"/>
      <c r="J652" s="152"/>
      <c r="K652" s="152"/>
      <c r="L652" s="152"/>
      <c r="M652" s="152"/>
      <c r="N652" s="152"/>
      <c r="O652" s="152"/>
      <c r="P652" s="152"/>
      <c r="Q652" s="152"/>
      <c r="R652" s="152"/>
      <c r="S652" s="152"/>
      <c r="T652" s="152"/>
      <c r="U652" s="152"/>
      <c r="V652" s="152"/>
      <c r="W652" s="152"/>
      <c r="X652" s="152"/>
      <c r="Y652" s="152"/>
      <c r="Z652" s="152"/>
    </row>
    <row r="653" ht="12.8" customHeight="1" spans="1:26">
      <c r="A653" s="176"/>
      <c r="B653" s="176"/>
      <c r="C653" s="176"/>
      <c r="D653" s="152"/>
      <c r="E653" s="152"/>
      <c r="F653" s="152"/>
      <c r="G653" s="152"/>
      <c r="H653" s="152"/>
      <c r="I653" s="152"/>
      <c r="J653" s="152"/>
      <c r="K653" s="152"/>
      <c r="L653" s="152"/>
      <c r="M653" s="152"/>
      <c r="N653" s="152"/>
      <c r="O653" s="152"/>
      <c r="P653" s="152"/>
      <c r="Q653" s="152"/>
      <c r="R653" s="152"/>
      <c r="S653" s="152"/>
      <c r="T653" s="152"/>
      <c r="U653" s="152"/>
      <c r="V653" s="152"/>
      <c r="W653" s="152"/>
      <c r="X653" s="152"/>
      <c r="Y653" s="152"/>
      <c r="Z653" s="152"/>
    </row>
    <row r="654" ht="12.8" customHeight="1" spans="1:26">
      <c r="A654" s="176"/>
      <c r="B654" s="176"/>
      <c r="C654" s="176"/>
      <c r="D654" s="152"/>
      <c r="E654" s="152"/>
      <c r="F654" s="152"/>
      <c r="G654" s="152"/>
      <c r="H654" s="152"/>
      <c r="I654" s="152"/>
      <c r="J654" s="152"/>
      <c r="K654" s="152"/>
      <c r="L654" s="152"/>
      <c r="M654" s="152"/>
      <c r="N654" s="152"/>
      <c r="O654" s="152"/>
      <c r="P654" s="152"/>
      <c r="Q654" s="152"/>
      <c r="R654" s="152"/>
      <c r="S654" s="152"/>
      <c r="T654" s="152"/>
      <c r="U654" s="152"/>
      <c r="V654" s="152"/>
      <c r="W654" s="152"/>
      <c r="X654" s="152"/>
      <c r="Y654" s="152"/>
      <c r="Z654" s="152"/>
    </row>
    <row r="655" ht="12.8" customHeight="1" spans="1:26">
      <c r="A655" s="176"/>
      <c r="B655" s="176"/>
      <c r="C655" s="176"/>
      <c r="D655" s="152"/>
      <c r="E655" s="152"/>
      <c r="F655" s="152"/>
      <c r="G655" s="152"/>
      <c r="H655" s="152"/>
      <c r="I655" s="152"/>
      <c r="J655" s="152"/>
      <c r="K655" s="152"/>
      <c r="L655" s="152"/>
      <c r="M655" s="152"/>
      <c r="N655" s="152"/>
      <c r="O655" s="152"/>
      <c r="P655" s="152"/>
      <c r="Q655" s="152"/>
      <c r="R655" s="152"/>
      <c r="S655" s="152"/>
      <c r="T655" s="152"/>
      <c r="U655" s="152"/>
      <c r="V655" s="152"/>
      <c r="W655" s="152"/>
      <c r="X655" s="152"/>
      <c r="Y655" s="152"/>
      <c r="Z655" s="152"/>
    </row>
    <row r="656" ht="12.8" customHeight="1" spans="1:26">
      <c r="A656" s="176"/>
      <c r="B656" s="176"/>
      <c r="C656" s="176"/>
      <c r="D656" s="152"/>
      <c r="E656" s="152"/>
      <c r="F656" s="152"/>
      <c r="G656" s="152"/>
      <c r="H656" s="152"/>
      <c r="I656" s="152"/>
      <c r="J656" s="152"/>
      <c r="K656" s="152"/>
      <c r="L656" s="152"/>
      <c r="M656" s="152"/>
      <c r="N656" s="152"/>
      <c r="O656" s="152"/>
      <c r="P656" s="152"/>
      <c r="Q656" s="152"/>
      <c r="R656" s="152"/>
      <c r="S656" s="152"/>
      <c r="T656" s="152"/>
      <c r="U656" s="152"/>
      <c r="V656" s="152"/>
      <c r="W656" s="152"/>
      <c r="X656" s="152"/>
      <c r="Y656" s="152"/>
      <c r="Z656" s="152"/>
    </row>
    <row r="657" ht="12.8" customHeight="1" spans="1:26">
      <c r="A657" s="176"/>
      <c r="B657" s="176"/>
      <c r="C657" s="176"/>
      <c r="D657" s="152"/>
      <c r="E657" s="152"/>
      <c r="F657" s="152"/>
      <c r="G657" s="152"/>
      <c r="H657" s="152"/>
      <c r="I657" s="152"/>
      <c r="J657" s="152"/>
      <c r="K657" s="152"/>
      <c r="L657" s="152"/>
      <c r="M657" s="152"/>
      <c r="N657" s="152"/>
      <c r="O657" s="152"/>
      <c r="P657" s="152"/>
      <c r="Q657" s="152"/>
      <c r="R657" s="152"/>
      <c r="S657" s="152"/>
      <c r="T657" s="152"/>
      <c r="U657" s="152"/>
      <c r="V657" s="152"/>
      <c r="W657" s="152"/>
      <c r="X657" s="152"/>
      <c r="Y657" s="152"/>
      <c r="Z657" s="152"/>
    </row>
    <row r="658" ht="12.8" customHeight="1" spans="1:26">
      <c r="A658" s="176"/>
      <c r="B658" s="176"/>
      <c r="C658" s="176"/>
      <c r="D658" s="152"/>
      <c r="E658" s="152"/>
      <c r="F658" s="152"/>
      <c r="G658" s="152"/>
      <c r="H658" s="152"/>
      <c r="I658" s="152"/>
      <c r="J658" s="152"/>
      <c r="K658" s="152"/>
      <c r="L658" s="152"/>
      <c r="M658" s="152"/>
      <c r="N658" s="152"/>
      <c r="O658" s="152"/>
      <c r="P658" s="152"/>
      <c r="Q658" s="152"/>
      <c r="R658" s="152"/>
      <c r="S658" s="152"/>
      <c r="T658" s="152"/>
      <c r="U658" s="152"/>
      <c r="V658" s="152"/>
      <c r="W658" s="152"/>
      <c r="X658" s="152"/>
      <c r="Y658" s="152"/>
      <c r="Z658" s="152"/>
    </row>
    <row r="659" ht="12.8" customHeight="1" spans="1:26">
      <c r="A659" s="176"/>
      <c r="B659" s="176"/>
      <c r="C659" s="176"/>
      <c r="D659" s="152"/>
      <c r="E659" s="152"/>
      <c r="F659" s="152"/>
      <c r="G659" s="152"/>
      <c r="H659" s="152"/>
      <c r="I659" s="152"/>
      <c r="J659" s="152"/>
      <c r="K659" s="152"/>
      <c r="L659" s="152"/>
      <c r="M659" s="152"/>
      <c r="N659" s="152"/>
      <c r="O659" s="152"/>
      <c r="P659" s="152"/>
      <c r="Q659" s="152"/>
      <c r="R659" s="152"/>
      <c r="S659" s="152"/>
      <c r="T659" s="152"/>
      <c r="U659" s="152"/>
      <c r="V659" s="152"/>
      <c r="W659" s="152"/>
      <c r="X659" s="152"/>
      <c r="Y659" s="152"/>
      <c r="Z659" s="152"/>
    </row>
    <row r="660" ht="12.8" customHeight="1" spans="1:26">
      <c r="A660" s="176"/>
      <c r="B660" s="176"/>
      <c r="C660" s="176"/>
      <c r="D660" s="152"/>
      <c r="E660" s="152"/>
      <c r="F660" s="152"/>
      <c r="G660" s="152"/>
      <c r="H660" s="152"/>
      <c r="I660" s="152"/>
      <c r="J660" s="152"/>
      <c r="K660" s="152"/>
      <c r="L660" s="152"/>
      <c r="M660" s="152"/>
      <c r="N660" s="152"/>
      <c r="O660" s="152"/>
      <c r="P660" s="152"/>
      <c r="Q660" s="152"/>
      <c r="R660" s="152"/>
      <c r="S660" s="152"/>
      <c r="T660" s="152"/>
      <c r="U660" s="152"/>
      <c r="V660" s="152"/>
      <c r="W660" s="152"/>
      <c r="X660" s="152"/>
      <c r="Y660" s="152"/>
      <c r="Z660" s="152"/>
    </row>
    <row r="661" ht="12.8" customHeight="1" spans="1:26">
      <c r="A661" s="176"/>
      <c r="B661" s="176"/>
      <c r="C661" s="176"/>
      <c r="D661" s="152"/>
      <c r="E661" s="152"/>
      <c r="F661" s="152"/>
      <c r="G661" s="152"/>
      <c r="H661" s="152"/>
      <c r="I661" s="152"/>
      <c r="J661" s="152"/>
      <c r="K661" s="152"/>
      <c r="L661" s="152"/>
      <c r="M661" s="152"/>
      <c r="N661" s="152"/>
      <c r="O661" s="152"/>
      <c r="P661" s="152"/>
      <c r="Q661" s="152"/>
      <c r="R661" s="152"/>
      <c r="S661" s="152"/>
      <c r="T661" s="152"/>
      <c r="U661" s="152"/>
      <c r="V661" s="152"/>
      <c r="W661" s="152"/>
      <c r="X661" s="152"/>
      <c r="Y661" s="152"/>
      <c r="Z661" s="152"/>
    </row>
    <row r="662" ht="12.8" customHeight="1" spans="1:26">
      <c r="A662" s="176"/>
      <c r="B662" s="176"/>
      <c r="C662" s="176"/>
      <c r="D662" s="152"/>
      <c r="E662" s="152"/>
      <c r="F662" s="152"/>
      <c r="G662" s="152"/>
      <c r="H662" s="152"/>
      <c r="I662" s="152"/>
      <c r="J662" s="152"/>
      <c r="K662" s="152"/>
      <c r="L662" s="152"/>
      <c r="M662" s="152"/>
      <c r="N662" s="152"/>
      <c r="O662" s="152"/>
      <c r="P662" s="152"/>
      <c r="Q662" s="152"/>
      <c r="R662" s="152"/>
      <c r="S662" s="152"/>
      <c r="T662" s="152"/>
      <c r="U662" s="152"/>
      <c r="V662" s="152"/>
      <c r="W662" s="152"/>
      <c r="X662" s="152"/>
      <c r="Y662" s="152"/>
      <c r="Z662" s="152"/>
    </row>
    <row r="663" ht="12.8" customHeight="1" spans="1:26">
      <c r="A663" s="176"/>
      <c r="B663" s="176"/>
      <c r="C663" s="176"/>
      <c r="D663" s="152"/>
      <c r="E663" s="152"/>
      <c r="F663" s="152"/>
      <c r="G663" s="152"/>
      <c r="H663" s="152"/>
      <c r="I663" s="152"/>
      <c r="J663" s="152"/>
      <c r="K663" s="152"/>
      <c r="L663" s="152"/>
      <c r="M663" s="152"/>
      <c r="N663" s="152"/>
      <c r="O663" s="152"/>
      <c r="P663" s="152"/>
      <c r="Q663" s="152"/>
      <c r="R663" s="152"/>
      <c r="S663" s="152"/>
      <c r="T663" s="152"/>
      <c r="U663" s="152"/>
      <c r="V663" s="152"/>
      <c r="W663" s="152"/>
      <c r="X663" s="152"/>
      <c r="Y663" s="152"/>
      <c r="Z663" s="152"/>
    </row>
    <row r="664" ht="12.8" customHeight="1" spans="1:26">
      <c r="A664" s="176"/>
      <c r="B664" s="176"/>
      <c r="C664" s="176"/>
      <c r="D664" s="152"/>
      <c r="E664" s="152"/>
      <c r="F664" s="152"/>
      <c r="G664" s="152"/>
      <c r="H664" s="152"/>
      <c r="I664" s="152"/>
      <c r="J664" s="152"/>
      <c r="K664" s="152"/>
      <c r="L664" s="152"/>
      <c r="M664" s="152"/>
      <c r="N664" s="152"/>
      <c r="O664" s="152"/>
      <c r="P664" s="152"/>
      <c r="Q664" s="152"/>
      <c r="R664" s="152"/>
      <c r="S664" s="152"/>
      <c r="T664" s="152"/>
      <c r="U664" s="152"/>
      <c r="V664" s="152"/>
      <c r="W664" s="152"/>
      <c r="X664" s="152"/>
      <c r="Y664" s="152"/>
      <c r="Z664" s="152"/>
    </row>
    <row r="665" ht="12.8" customHeight="1" spans="1:26">
      <c r="A665" s="176"/>
      <c r="B665" s="176"/>
      <c r="C665" s="176"/>
      <c r="D665" s="152"/>
      <c r="E665" s="152"/>
      <c r="F665" s="152"/>
      <c r="G665" s="152"/>
      <c r="H665" s="152"/>
      <c r="I665" s="152"/>
      <c r="J665" s="152"/>
      <c r="K665" s="152"/>
      <c r="L665" s="152"/>
      <c r="M665" s="152"/>
      <c r="N665" s="152"/>
      <c r="O665" s="152"/>
      <c r="P665" s="152"/>
      <c r="Q665" s="152"/>
      <c r="R665" s="152"/>
      <c r="S665" s="152"/>
      <c r="T665" s="152"/>
      <c r="U665" s="152"/>
      <c r="V665" s="152"/>
      <c r="W665" s="152"/>
      <c r="X665" s="152"/>
      <c r="Y665" s="152"/>
      <c r="Z665" s="152"/>
    </row>
    <row r="666" ht="12.8" customHeight="1" spans="1:26">
      <c r="A666" s="176"/>
      <c r="B666" s="176"/>
      <c r="C666" s="176"/>
      <c r="D666" s="152"/>
      <c r="E666" s="152"/>
      <c r="F666" s="152"/>
      <c r="G666" s="152"/>
      <c r="H666" s="152"/>
      <c r="I666" s="152"/>
      <c r="J666" s="152"/>
      <c r="K666" s="152"/>
      <c r="L666" s="152"/>
      <c r="M666" s="152"/>
      <c r="N666" s="152"/>
      <c r="O666" s="152"/>
      <c r="P666" s="152"/>
      <c r="Q666" s="152"/>
      <c r="R666" s="152"/>
      <c r="S666" s="152"/>
      <c r="T666" s="152"/>
      <c r="U666" s="152"/>
      <c r="V666" s="152"/>
      <c r="W666" s="152"/>
      <c r="X666" s="152"/>
      <c r="Y666" s="152"/>
      <c r="Z666" s="152"/>
    </row>
    <row r="667" ht="12.8" customHeight="1" spans="1:26">
      <c r="A667" s="176"/>
      <c r="B667" s="176"/>
      <c r="C667" s="176"/>
      <c r="D667" s="152"/>
      <c r="E667" s="152"/>
      <c r="F667" s="152"/>
      <c r="G667" s="152"/>
      <c r="H667" s="152"/>
      <c r="I667" s="152"/>
      <c r="J667" s="152"/>
      <c r="K667" s="152"/>
      <c r="L667" s="152"/>
      <c r="M667" s="152"/>
      <c r="N667" s="152"/>
      <c r="O667" s="152"/>
      <c r="P667" s="152"/>
      <c r="Q667" s="152"/>
      <c r="R667" s="152"/>
      <c r="S667" s="152"/>
      <c r="T667" s="152"/>
      <c r="U667" s="152"/>
      <c r="V667" s="152"/>
      <c r="W667" s="152"/>
      <c r="X667" s="152"/>
      <c r="Y667" s="152"/>
      <c r="Z667" s="152"/>
    </row>
    <row r="668" ht="12.8" customHeight="1" spans="1:26">
      <c r="A668" s="176"/>
      <c r="B668" s="176"/>
      <c r="C668" s="176"/>
      <c r="D668" s="152"/>
      <c r="E668" s="152"/>
      <c r="F668" s="152"/>
      <c r="G668" s="152"/>
      <c r="H668" s="152"/>
      <c r="I668" s="152"/>
      <c r="J668" s="152"/>
      <c r="K668" s="152"/>
      <c r="L668" s="152"/>
      <c r="M668" s="152"/>
      <c r="N668" s="152"/>
      <c r="O668" s="152"/>
      <c r="P668" s="152"/>
      <c r="Q668" s="152"/>
      <c r="R668" s="152"/>
      <c r="S668" s="152"/>
      <c r="T668" s="152"/>
      <c r="U668" s="152"/>
      <c r="V668" s="152"/>
      <c r="W668" s="152"/>
      <c r="X668" s="152"/>
      <c r="Y668" s="152"/>
      <c r="Z668" s="152"/>
    </row>
    <row r="669" ht="12.8" customHeight="1" spans="1:26">
      <c r="A669" s="176"/>
      <c r="B669" s="176"/>
      <c r="C669" s="176"/>
      <c r="D669" s="152"/>
      <c r="E669" s="152"/>
      <c r="F669" s="152"/>
      <c r="G669" s="152"/>
      <c r="H669" s="152"/>
      <c r="I669" s="152"/>
      <c r="J669" s="152"/>
      <c r="K669" s="152"/>
      <c r="L669" s="152"/>
      <c r="M669" s="152"/>
      <c r="N669" s="152"/>
      <c r="O669" s="152"/>
      <c r="P669" s="152"/>
      <c r="Q669" s="152"/>
      <c r="R669" s="152"/>
      <c r="S669" s="152"/>
      <c r="T669" s="152"/>
      <c r="U669" s="152"/>
      <c r="V669" s="152"/>
      <c r="W669" s="152"/>
      <c r="X669" s="152"/>
      <c r="Y669" s="152"/>
      <c r="Z669" s="152"/>
    </row>
    <row r="670" ht="12.8" customHeight="1" spans="1:26">
      <c r="A670" s="176"/>
      <c r="B670" s="176"/>
      <c r="C670" s="176"/>
      <c r="D670" s="152"/>
      <c r="E670" s="152"/>
      <c r="F670" s="152"/>
      <c r="G670" s="152"/>
      <c r="H670" s="152"/>
      <c r="I670" s="152"/>
      <c r="J670" s="152"/>
      <c r="K670" s="152"/>
      <c r="L670" s="152"/>
      <c r="M670" s="152"/>
      <c r="N670" s="152"/>
      <c r="O670" s="152"/>
      <c r="P670" s="152"/>
      <c r="Q670" s="152"/>
      <c r="R670" s="152"/>
      <c r="S670" s="152"/>
      <c r="T670" s="152"/>
      <c r="U670" s="152"/>
      <c r="V670" s="152"/>
      <c r="W670" s="152"/>
      <c r="X670" s="152"/>
      <c r="Y670" s="152"/>
      <c r="Z670" s="152"/>
    </row>
    <row r="671" ht="12.8" customHeight="1" spans="1:26">
      <c r="A671" s="176"/>
      <c r="B671" s="176"/>
      <c r="C671" s="176"/>
      <c r="D671" s="152"/>
      <c r="E671" s="152"/>
      <c r="F671" s="152"/>
      <c r="G671" s="152"/>
      <c r="H671" s="152"/>
      <c r="I671" s="152"/>
      <c r="J671" s="152"/>
      <c r="K671" s="152"/>
      <c r="L671" s="152"/>
      <c r="M671" s="152"/>
      <c r="N671" s="152"/>
      <c r="O671" s="152"/>
      <c r="P671" s="152"/>
      <c r="Q671" s="152"/>
      <c r="R671" s="152"/>
      <c r="S671" s="152"/>
      <c r="T671" s="152"/>
      <c r="U671" s="152"/>
      <c r="V671" s="152"/>
      <c r="W671" s="152"/>
      <c r="X671" s="152"/>
      <c r="Y671" s="152"/>
      <c r="Z671" s="152"/>
    </row>
    <row r="672" ht="12.8" customHeight="1" spans="1:26">
      <c r="A672" s="176"/>
      <c r="B672" s="176"/>
      <c r="C672" s="176"/>
      <c r="D672" s="152"/>
      <c r="E672" s="152"/>
      <c r="F672" s="152"/>
      <c r="G672" s="152"/>
      <c r="H672" s="152"/>
      <c r="I672" s="152"/>
      <c r="J672" s="152"/>
      <c r="K672" s="152"/>
      <c r="L672" s="152"/>
      <c r="M672" s="152"/>
      <c r="N672" s="152"/>
      <c r="O672" s="152"/>
      <c r="P672" s="152"/>
      <c r="Q672" s="152"/>
      <c r="R672" s="152"/>
      <c r="S672" s="152"/>
      <c r="T672" s="152"/>
      <c r="U672" s="152"/>
      <c r="V672" s="152"/>
      <c r="W672" s="152"/>
      <c r="X672" s="152"/>
      <c r="Y672" s="152"/>
      <c r="Z672" s="152"/>
    </row>
    <row r="673" ht="12.8" customHeight="1" spans="1:26">
      <c r="A673" s="176"/>
      <c r="B673" s="176"/>
      <c r="C673" s="176"/>
      <c r="D673" s="152"/>
      <c r="E673" s="152"/>
      <c r="F673" s="152"/>
      <c r="G673" s="152"/>
      <c r="H673" s="152"/>
      <c r="I673" s="152"/>
      <c r="J673" s="152"/>
      <c r="K673" s="152"/>
      <c r="L673" s="152"/>
      <c r="M673" s="152"/>
      <c r="N673" s="152"/>
      <c r="O673" s="152"/>
      <c r="P673" s="152"/>
      <c r="Q673" s="152"/>
      <c r="R673" s="152"/>
      <c r="S673" s="152"/>
      <c r="T673" s="152"/>
      <c r="U673" s="152"/>
      <c r="V673" s="152"/>
      <c r="W673" s="152"/>
      <c r="X673" s="152"/>
      <c r="Y673" s="152"/>
      <c r="Z673" s="152"/>
    </row>
    <row r="674" ht="12.8" customHeight="1" spans="1:26">
      <c r="A674" s="176"/>
      <c r="B674" s="176"/>
      <c r="C674" s="176"/>
      <c r="D674" s="152"/>
      <c r="E674" s="152"/>
      <c r="F674" s="152"/>
      <c r="G674" s="152"/>
      <c r="H674" s="152"/>
      <c r="I674" s="152"/>
      <c r="J674" s="152"/>
      <c r="K674" s="152"/>
      <c r="L674" s="152"/>
      <c r="M674" s="152"/>
      <c r="N674" s="152"/>
      <c r="O674" s="152"/>
      <c r="P674" s="152"/>
      <c r="Q674" s="152"/>
      <c r="R674" s="152"/>
      <c r="S674" s="152"/>
      <c r="T674" s="152"/>
      <c r="U674" s="152"/>
      <c r="V674" s="152"/>
      <c r="W674" s="152"/>
      <c r="X674" s="152"/>
      <c r="Y674" s="152"/>
      <c r="Z674" s="152"/>
    </row>
    <row r="675" ht="12.8" customHeight="1" spans="1:26">
      <c r="A675" s="176"/>
      <c r="B675" s="176"/>
      <c r="C675" s="176"/>
      <c r="D675" s="152"/>
      <c r="E675" s="152"/>
      <c r="F675" s="152"/>
      <c r="G675" s="152"/>
      <c r="H675" s="152"/>
      <c r="I675" s="152"/>
      <c r="J675" s="152"/>
      <c r="K675" s="152"/>
      <c r="L675" s="152"/>
      <c r="M675" s="152"/>
      <c r="N675" s="152"/>
      <c r="O675" s="152"/>
      <c r="P675" s="152"/>
      <c r="Q675" s="152"/>
      <c r="R675" s="152"/>
      <c r="S675" s="152"/>
      <c r="T675" s="152"/>
      <c r="U675" s="152"/>
      <c r="V675" s="152"/>
      <c r="W675" s="152"/>
      <c r="X675" s="152"/>
      <c r="Y675" s="152"/>
      <c r="Z675" s="152"/>
    </row>
    <row r="676" ht="12.8" customHeight="1" spans="1:26">
      <c r="A676" s="176"/>
      <c r="B676" s="176"/>
      <c r="C676" s="176"/>
      <c r="D676" s="152"/>
      <c r="E676" s="152"/>
      <c r="F676" s="152"/>
      <c r="G676" s="152"/>
      <c r="H676" s="152"/>
      <c r="I676" s="152"/>
      <c r="J676" s="152"/>
      <c r="K676" s="152"/>
      <c r="L676" s="152"/>
      <c r="M676" s="152"/>
      <c r="N676" s="152"/>
      <c r="O676" s="152"/>
      <c r="P676" s="152"/>
      <c r="Q676" s="152"/>
      <c r="R676" s="152"/>
      <c r="S676" s="152"/>
      <c r="T676" s="152"/>
      <c r="U676" s="152"/>
      <c r="V676" s="152"/>
      <c r="W676" s="152"/>
      <c r="X676" s="152"/>
      <c r="Y676" s="152"/>
      <c r="Z676" s="152"/>
    </row>
    <row r="677" ht="12.8" customHeight="1" spans="1:26">
      <c r="A677" s="176"/>
      <c r="B677" s="176"/>
      <c r="C677" s="176"/>
      <c r="D677" s="152"/>
      <c r="E677" s="152"/>
      <c r="F677" s="152"/>
      <c r="G677" s="152"/>
      <c r="H677" s="152"/>
      <c r="I677" s="152"/>
      <c r="J677" s="152"/>
      <c r="K677" s="152"/>
      <c r="L677" s="152"/>
      <c r="M677" s="152"/>
      <c r="N677" s="152"/>
      <c r="O677" s="152"/>
      <c r="P677" s="152"/>
      <c r="Q677" s="152"/>
      <c r="R677" s="152"/>
      <c r="S677" s="152"/>
      <c r="T677" s="152"/>
      <c r="U677" s="152"/>
      <c r="V677" s="152"/>
      <c r="W677" s="152"/>
      <c r="X677" s="152"/>
      <c r="Y677" s="152"/>
      <c r="Z677" s="152"/>
    </row>
    <row r="678" ht="12.8" customHeight="1" spans="1:26">
      <c r="A678" s="176"/>
      <c r="B678" s="176"/>
      <c r="C678" s="176"/>
      <c r="D678" s="152"/>
      <c r="E678" s="152"/>
      <c r="F678" s="152"/>
      <c r="G678" s="152"/>
      <c r="H678" s="152"/>
      <c r="I678" s="152"/>
      <c r="J678" s="152"/>
      <c r="K678" s="152"/>
      <c r="L678" s="152"/>
      <c r="M678" s="152"/>
      <c r="N678" s="152"/>
      <c r="O678" s="152"/>
      <c r="P678" s="152"/>
      <c r="Q678" s="152"/>
      <c r="R678" s="152"/>
      <c r="S678" s="152"/>
      <c r="T678" s="152"/>
      <c r="U678" s="152"/>
      <c r="V678" s="152"/>
      <c r="W678" s="152"/>
      <c r="X678" s="152"/>
      <c r="Y678" s="152"/>
      <c r="Z678" s="152"/>
    </row>
    <row r="679" ht="12.8" customHeight="1" spans="1:26">
      <c r="A679" s="176"/>
      <c r="B679" s="176"/>
      <c r="C679" s="176"/>
      <c r="D679" s="152"/>
      <c r="E679" s="152"/>
      <c r="F679" s="152"/>
      <c r="G679" s="152"/>
      <c r="H679" s="152"/>
      <c r="I679" s="152"/>
      <c r="J679" s="152"/>
      <c r="K679" s="152"/>
      <c r="L679" s="152"/>
      <c r="M679" s="152"/>
      <c r="N679" s="152"/>
      <c r="O679" s="152"/>
      <c r="P679" s="152"/>
      <c r="Q679" s="152"/>
      <c r="R679" s="152"/>
      <c r="S679" s="152"/>
      <c r="T679" s="152"/>
      <c r="U679" s="152"/>
      <c r="V679" s="152"/>
      <c r="W679" s="152"/>
      <c r="X679" s="152"/>
      <c r="Y679" s="152"/>
      <c r="Z679" s="152"/>
    </row>
    <row r="680" ht="12.8" customHeight="1" spans="1:26">
      <c r="A680" s="176"/>
      <c r="B680" s="176"/>
      <c r="C680" s="176"/>
      <c r="D680" s="152"/>
      <c r="E680" s="152"/>
      <c r="F680" s="152"/>
      <c r="G680" s="152"/>
      <c r="H680" s="152"/>
      <c r="I680" s="152"/>
      <c r="J680" s="152"/>
      <c r="K680" s="152"/>
      <c r="L680" s="152"/>
      <c r="M680" s="152"/>
      <c r="N680" s="152"/>
      <c r="O680" s="152"/>
      <c r="P680" s="152"/>
      <c r="Q680" s="152"/>
      <c r="R680" s="152"/>
      <c r="S680" s="152"/>
      <c r="T680" s="152"/>
      <c r="U680" s="152"/>
      <c r="V680" s="152"/>
      <c r="W680" s="152"/>
      <c r="X680" s="152"/>
      <c r="Y680" s="152"/>
      <c r="Z680" s="152"/>
    </row>
    <row r="681" ht="12.8" customHeight="1" spans="1:26">
      <c r="A681" s="176"/>
      <c r="B681" s="176"/>
      <c r="C681" s="176"/>
      <c r="D681" s="152"/>
      <c r="E681" s="152"/>
      <c r="F681" s="152"/>
      <c r="G681" s="152"/>
      <c r="H681" s="152"/>
      <c r="I681" s="152"/>
      <c r="J681" s="152"/>
      <c r="K681" s="152"/>
      <c r="L681" s="152"/>
      <c r="M681" s="152"/>
      <c r="N681" s="152"/>
      <c r="O681" s="152"/>
      <c r="P681" s="152"/>
      <c r="Q681" s="152"/>
      <c r="R681" s="152"/>
      <c r="S681" s="152"/>
      <c r="T681" s="152"/>
      <c r="U681" s="152"/>
      <c r="V681" s="152"/>
      <c r="W681" s="152"/>
      <c r="X681" s="152"/>
      <c r="Y681" s="152"/>
      <c r="Z681" s="152"/>
    </row>
    <row r="682" ht="12.8" customHeight="1" spans="1:26">
      <c r="A682" s="176"/>
      <c r="B682" s="176"/>
      <c r="C682" s="176"/>
      <c r="D682" s="152"/>
      <c r="E682" s="152"/>
      <c r="F682" s="152"/>
      <c r="G682" s="152"/>
      <c r="H682" s="152"/>
      <c r="I682" s="152"/>
      <c r="J682" s="152"/>
      <c r="K682" s="152"/>
      <c r="L682" s="152"/>
      <c r="M682" s="152"/>
      <c r="N682" s="152"/>
      <c r="O682" s="152"/>
      <c r="P682" s="152"/>
      <c r="Q682" s="152"/>
      <c r="R682" s="152"/>
      <c r="S682" s="152"/>
      <c r="T682" s="152"/>
      <c r="U682" s="152"/>
      <c r="V682" s="152"/>
      <c r="W682" s="152"/>
      <c r="X682" s="152"/>
      <c r="Y682" s="152"/>
      <c r="Z682" s="152"/>
    </row>
    <row r="683" ht="12.8" customHeight="1" spans="1:26">
      <c r="A683" s="176"/>
      <c r="B683" s="176"/>
      <c r="C683" s="176"/>
      <c r="D683" s="152"/>
      <c r="E683" s="152"/>
      <c r="F683" s="152"/>
      <c r="G683" s="152"/>
      <c r="H683" s="152"/>
      <c r="I683" s="152"/>
      <c r="J683" s="152"/>
      <c r="K683" s="152"/>
      <c r="L683" s="152"/>
      <c r="M683" s="152"/>
      <c r="N683" s="152"/>
      <c r="O683" s="152"/>
      <c r="P683" s="152"/>
      <c r="Q683" s="152"/>
      <c r="R683" s="152"/>
      <c r="S683" s="152"/>
      <c r="T683" s="152"/>
      <c r="U683" s="152"/>
      <c r="V683" s="152"/>
      <c r="W683" s="152"/>
      <c r="X683" s="152"/>
      <c r="Y683" s="152"/>
      <c r="Z683" s="152"/>
    </row>
    <row r="684" ht="12.8" customHeight="1" spans="1:26">
      <c r="A684" s="176"/>
      <c r="B684" s="176"/>
      <c r="C684" s="176"/>
      <c r="D684" s="152"/>
      <c r="E684" s="152"/>
      <c r="F684" s="152"/>
      <c r="G684" s="152"/>
      <c r="H684" s="152"/>
      <c r="I684" s="152"/>
      <c r="J684" s="152"/>
      <c r="K684" s="152"/>
      <c r="L684" s="152"/>
      <c r="M684" s="152"/>
      <c r="N684" s="152"/>
      <c r="O684" s="152"/>
      <c r="P684" s="152"/>
      <c r="Q684" s="152"/>
      <c r="R684" s="152"/>
      <c r="S684" s="152"/>
      <c r="T684" s="152"/>
      <c r="U684" s="152"/>
      <c r="V684" s="152"/>
      <c r="W684" s="152"/>
      <c r="X684" s="152"/>
      <c r="Y684" s="152"/>
      <c r="Z684" s="152"/>
    </row>
    <row r="685" ht="12.8" customHeight="1" spans="1:26">
      <c r="A685" s="176"/>
      <c r="B685" s="176"/>
      <c r="C685" s="176"/>
      <c r="D685" s="152"/>
      <c r="E685" s="152"/>
      <c r="F685" s="152"/>
      <c r="G685" s="152"/>
      <c r="H685" s="152"/>
      <c r="I685" s="152"/>
      <c r="J685" s="152"/>
      <c r="K685" s="152"/>
      <c r="L685" s="152"/>
      <c r="M685" s="152"/>
      <c r="N685" s="152"/>
      <c r="O685" s="152"/>
      <c r="P685" s="152"/>
      <c r="Q685" s="152"/>
      <c r="R685" s="152"/>
      <c r="S685" s="152"/>
      <c r="T685" s="152"/>
      <c r="U685" s="152"/>
      <c r="V685" s="152"/>
      <c r="W685" s="152"/>
      <c r="X685" s="152"/>
      <c r="Y685" s="152"/>
      <c r="Z685" s="152"/>
    </row>
    <row r="686" ht="12.8" customHeight="1" spans="1:26">
      <c r="A686" s="176"/>
      <c r="B686" s="176"/>
      <c r="C686" s="176"/>
      <c r="D686" s="152"/>
      <c r="E686" s="152"/>
      <c r="F686" s="152"/>
      <c r="G686" s="152"/>
      <c r="H686" s="152"/>
      <c r="I686" s="152"/>
      <c r="J686" s="152"/>
      <c r="K686" s="152"/>
      <c r="L686" s="152"/>
      <c r="M686" s="152"/>
      <c r="N686" s="152"/>
      <c r="O686" s="152"/>
      <c r="P686" s="152"/>
      <c r="Q686" s="152"/>
      <c r="R686" s="152"/>
      <c r="S686" s="152"/>
      <c r="T686" s="152"/>
      <c r="U686" s="152"/>
      <c r="V686" s="152"/>
      <c r="W686" s="152"/>
      <c r="X686" s="152"/>
      <c r="Y686" s="152"/>
      <c r="Z686" s="152"/>
    </row>
    <row r="687" ht="12.8" customHeight="1" spans="1:26">
      <c r="A687" s="176"/>
      <c r="B687" s="176"/>
      <c r="C687" s="176"/>
      <c r="D687" s="152"/>
      <c r="E687" s="152"/>
      <c r="F687" s="152"/>
      <c r="G687" s="152"/>
      <c r="H687" s="152"/>
      <c r="I687" s="152"/>
      <c r="J687" s="152"/>
      <c r="K687" s="152"/>
      <c r="L687" s="152"/>
      <c r="M687" s="152"/>
      <c r="N687" s="152"/>
      <c r="O687" s="152"/>
      <c r="P687" s="152"/>
      <c r="Q687" s="152"/>
      <c r="R687" s="152"/>
      <c r="S687" s="152"/>
      <c r="T687" s="152"/>
      <c r="U687" s="152"/>
      <c r="V687" s="152"/>
      <c r="W687" s="152"/>
      <c r="X687" s="152"/>
      <c r="Y687" s="152"/>
      <c r="Z687" s="152"/>
    </row>
    <row r="688" ht="12.8" customHeight="1" spans="1:26">
      <c r="A688" s="176"/>
      <c r="B688" s="176"/>
      <c r="C688" s="176"/>
      <c r="D688" s="152"/>
      <c r="E688" s="152"/>
      <c r="F688" s="152"/>
      <c r="G688" s="152"/>
      <c r="H688" s="152"/>
      <c r="I688" s="152"/>
      <c r="J688" s="152"/>
      <c r="K688" s="152"/>
      <c r="L688" s="152"/>
      <c r="M688" s="152"/>
      <c r="N688" s="152"/>
      <c r="O688" s="152"/>
      <c r="P688" s="152"/>
      <c r="Q688" s="152"/>
      <c r="R688" s="152"/>
      <c r="S688" s="152"/>
      <c r="T688" s="152"/>
      <c r="U688" s="152"/>
      <c r="V688" s="152"/>
      <c r="W688" s="152"/>
      <c r="X688" s="152"/>
      <c r="Y688" s="152"/>
      <c r="Z688" s="152"/>
    </row>
    <row r="689" ht="12.8" customHeight="1" spans="1:26">
      <c r="A689" s="176"/>
      <c r="B689" s="176"/>
      <c r="C689" s="176"/>
      <c r="D689" s="152"/>
      <c r="E689" s="152"/>
      <c r="F689" s="152"/>
      <c r="G689" s="152"/>
      <c r="H689" s="152"/>
      <c r="I689" s="152"/>
      <c r="J689" s="152"/>
      <c r="K689" s="152"/>
      <c r="L689" s="152"/>
      <c r="M689" s="152"/>
      <c r="N689" s="152"/>
      <c r="O689" s="152"/>
      <c r="P689" s="152"/>
      <c r="Q689" s="152"/>
      <c r="R689" s="152"/>
      <c r="S689" s="152"/>
      <c r="T689" s="152"/>
      <c r="U689" s="152"/>
      <c r="V689" s="152"/>
      <c r="W689" s="152"/>
      <c r="X689" s="152"/>
      <c r="Y689" s="152"/>
      <c r="Z689" s="152"/>
    </row>
    <row r="690" ht="12.8" customHeight="1" spans="1:26">
      <c r="A690" s="176"/>
      <c r="B690" s="176"/>
      <c r="C690" s="176"/>
      <c r="D690" s="152"/>
      <c r="E690" s="152"/>
      <c r="F690" s="152"/>
      <c r="G690" s="152"/>
      <c r="H690" s="152"/>
      <c r="I690" s="152"/>
      <c r="J690" s="152"/>
      <c r="K690" s="152"/>
      <c r="L690" s="152"/>
      <c r="M690" s="152"/>
      <c r="N690" s="152"/>
      <c r="O690" s="152"/>
      <c r="P690" s="152"/>
      <c r="Q690" s="152"/>
      <c r="R690" s="152"/>
      <c r="S690" s="152"/>
      <c r="T690" s="152"/>
      <c r="U690" s="152"/>
      <c r="V690" s="152"/>
      <c r="W690" s="152"/>
      <c r="X690" s="152"/>
      <c r="Y690" s="152"/>
      <c r="Z690" s="152"/>
    </row>
    <row r="691" ht="12.8" customHeight="1" spans="1:26">
      <c r="A691" s="176"/>
      <c r="B691" s="176"/>
      <c r="C691" s="176"/>
      <c r="D691" s="152"/>
      <c r="E691" s="152"/>
      <c r="F691" s="152"/>
      <c r="G691" s="152"/>
      <c r="H691" s="152"/>
      <c r="I691" s="152"/>
      <c r="J691" s="152"/>
      <c r="K691" s="152"/>
      <c r="L691" s="152"/>
      <c r="M691" s="152"/>
      <c r="N691" s="152"/>
      <c r="O691" s="152"/>
      <c r="P691" s="152"/>
      <c r="Q691" s="152"/>
      <c r="R691" s="152"/>
      <c r="S691" s="152"/>
      <c r="T691" s="152"/>
      <c r="U691" s="152"/>
      <c r="V691" s="152"/>
      <c r="W691" s="152"/>
      <c r="X691" s="152"/>
      <c r="Y691" s="152"/>
      <c r="Z691" s="152"/>
    </row>
    <row r="692" ht="12.8" customHeight="1" spans="1:26">
      <c r="A692" s="176"/>
      <c r="B692" s="176"/>
      <c r="C692" s="176"/>
      <c r="D692" s="152"/>
      <c r="E692" s="152"/>
      <c r="F692" s="152"/>
      <c r="G692" s="152"/>
      <c r="H692" s="152"/>
      <c r="I692" s="152"/>
      <c r="J692" s="152"/>
      <c r="K692" s="152"/>
      <c r="L692" s="152"/>
      <c r="M692" s="152"/>
      <c r="N692" s="152"/>
      <c r="O692" s="152"/>
      <c r="P692" s="152"/>
      <c r="Q692" s="152"/>
      <c r="R692" s="152"/>
      <c r="S692" s="152"/>
      <c r="T692" s="152"/>
      <c r="U692" s="152"/>
      <c r="V692" s="152"/>
      <c r="W692" s="152"/>
      <c r="X692" s="152"/>
      <c r="Y692" s="152"/>
      <c r="Z692" s="152"/>
    </row>
    <row r="693" ht="12.8" customHeight="1" spans="1:26">
      <c r="A693" s="176"/>
      <c r="B693" s="176"/>
      <c r="C693" s="176"/>
      <c r="D693" s="152"/>
      <c r="E693" s="152"/>
      <c r="F693" s="152"/>
      <c r="G693" s="152"/>
      <c r="H693" s="152"/>
      <c r="I693" s="152"/>
      <c r="J693" s="152"/>
      <c r="K693" s="152"/>
      <c r="L693" s="152"/>
      <c r="M693" s="152"/>
      <c r="N693" s="152"/>
      <c r="O693" s="152"/>
      <c r="P693" s="152"/>
      <c r="Q693" s="152"/>
      <c r="R693" s="152"/>
      <c r="S693" s="152"/>
      <c r="T693" s="152"/>
      <c r="U693" s="152"/>
      <c r="V693" s="152"/>
      <c r="W693" s="152"/>
      <c r="X693" s="152"/>
      <c r="Y693" s="152"/>
      <c r="Z693" s="152"/>
    </row>
    <row r="694" ht="12.8" customHeight="1" spans="1:26">
      <c r="A694" s="176"/>
      <c r="B694" s="176"/>
      <c r="C694" s="176"/>
      <c r="D694" s="152"/>
      <c r="E694" s="152"/>
      <c r="F694" s="152"/>
      <c r="G694" s="152"/>
      <c r="H694" s="152"/>
      <c r="I694" s="152"/>
      <c r="J694" s="152"/>
      <c r="K694" s="152"/>
      <c r="L694" s="152"/>
      <c r="M694" s="152"/>
      <c r="N694" s="152"/>
      <c r="O694" s="152"/>
      <c r="P694" s="152"/>
      <c r="Q694" s="152"/>
      <c r="R694" s="152"/>
      <c r="S694" s="152"/>
      <c r="T694" s="152"/>
      <c r="U694" s="152"/>
      <c r="V694" s="152"/>
      <c r="W694" s="152"/>
      <c r="X694" s="152"/>
      <c r="Y694" s="152"/>
      <c r="Z694" s="152"/>
    </row>
    <row r="695" ht="12.8" customHeight="1" spans="1:26">
      <c r="A695" s="176"/>
      <c r="B695" s="176"/>
      <c r="C695" s="176"/>
      <c r="D695" s="152"/>
      <c r="E695" s="152"/>
      <c r="F695" s="152"/>
      <c r="G695" s="152"/>
      <c r="H695" s="152"/>
      <c r="I695" s="152"/>
      <c r="J695" s="152"/>
      <c r="K695" s="152"/>
      <c r="L695" s="152"/>
      <c r="M695" s="152"/>
      <c r="N695" s="152"/>
      <c r="O695" s="152"/>
      <c r="P695" s="152"/>
      <c r="Q695" s="152"/>
      <c r="R695" s="152"/>
      <c r="S695" s="152"/>
      <c r="T695" s="152"/>
      <c r="U695" s="152"/>
      <c r="V695" s="152"/>
      <c r="W695" s="152"/>
      <c r="X695" s="152"/>
      <c r="Y695" s="152"/>
      <c r="Z695" s="152"/>
    </row>
    <row r="696" ht="12.8" customHeight="1" spans="1:26">
      <c r="A696" s="176"/>
      <c r="B696" s="176"/>
      <c r="C696" s="176"/>
      <c r="D696" s="152"/>
      <c r="E696" s="152"/>
      <c r="F696" s="152"/>
      <c r="G696" s="152"/>
      <c r="H696" s="152"/>
      <c r="I696" s="152"/>
      <c r="J696" s="152"/>
      <c r="K696" s="152"/>
      <c r="L696" s="152"/>
      <c r="M696" s="152"/>
      <c r="N696" s="152"/>
      <c r="O696" s="152"/>
      <c r="P696" s="152"/>
      <c r="Q696" s="152"/>
      <c r="R696" s="152"/>
      <c r="S696" s="152"/>
      <c r="T696" s="152"/>
      <c r="U696" s="152"/>
      <c r="V696" s="152"/>
      <c r="W696" s="152"/>
      <c r="X696" s="152"/>
      <c r="Y696" s="152"/>
      <c r="Z696" s="152"/>
    </row>
    <row r="697" ht="12.8" customHeight="1" spans="1:26">
      <c r="A697" s="176"/>
      <c r="B697" s="176"/>
      <c r="C697" s="176"/>
      <c r="D697" s="152"/>
      <c r="E697" s="152"/>
      <c r="F697" s="152"/>
      <c r="G697" s="152"/>
      <c r="H697" s="152"/>
      <c r="I697" s="152"/>
      <c r="J697" s="152"/>
      <c r="K697" s="152"/>
      <c r="L697" s="152"/>
      <c r="M697" s="152"/>
      <c r="N697" s="152"/>
      <c r="O697" s="152"/>
      <c r="P697" s="152"/>
      <c r="Q697" s="152"/>
      <c r="R697" s="152"/>
      <c r="S697" s="152"/>
      <c r="T697" s="152"/>
      <c r="U697" s="152"/>
      <c r="V697" s="152"/>
      <c r="W697" s="152"/>
      <c r="X697" s="152"/>
      <c r="Y697" s="152"/>
      <c r="Z697" s="152"/>
    </row>
    <row r="698" ht="12.8" customHeight="1" spans="1:26">
      <c r="A698" s="176"/>
      <c r="B698" s="176"/>
      <c r="C698" s="176"/>
      <c r="D698" s="152"/>
      <c r="E698" s="152"/>
      <c r="F698" s="152"/>
      <c r="G698" s="152"/>
      <c r="H698" s="152"/>
      <c r="I698" s="152"/>
      <c r="J698" s="152"/>
      <c r="K698" s="152"/>
      <c r="L698" s="152"/>
      <c r="M698" s="152"/>
      <c r="N698" s="152"/>
      <c r="O698" s="152"/>
      <c r="P698" s="152"/>
      <c r="Q698" s="152"/>
      <c r="R698" s="152"/>
      <c r="S698" s="152"/>
      <c r="T698" s="152"/>
      <c r="U698" s="152"/>
      <c r="V698" s="152"/>
      <c r="W698" s="152"/>
      <c r="X698" s="152"/>
      <c r="Y698" s="152"/>
      <c r="Z698" s="152"/>
    </row>
    <row r="699" ht="12.8" customHeight="1" spans="1:26">
      <c r="A699" s="176"/>
      <c r="B699" s="176"/>
      <c r="C699" s="176"/>
      <c r="D699" s="152"/>
      <c r="E699" s="152"/>
      <c r="F699" s="152"/>
      <c r="G699" s="152"/>
      <c r="H699" s="152"/>
      <c r="I699" s="152"/>
      <c r="J699" s="152"/>
      <c r="K699" s="152"/>
      <c r="L699" s="152"/>
      <c r="M699" s="152"/>
      <c r="N699" s="152"/>
      <c r="O699" s="152"/>
      <c r="P699" s="152"/>
      <c r="Q699" s="152"/>
      <c r="R699" s="152"/>
      <c r="S699" s="152"/>
      <c r="T699" s="152"/>
      <c r="U699" s="152"/>
      <c r="V699" s="152"/>
      <c r="W699" s="152"/>
      <c r="X699" s="152"/>
      <c r="Y699" s="152"/>
      <c r="Z699" s="152"/>
    </row>
    <row r="700" ht="12.8" customHeight="1" spans="1:26">
      <c r="A700" s="176"/>
      <c r="B700" s="176"/>
      <c r="C700" s="176"/>
      <c r="D700" s="152"/>
      <c r="E700" s="152"/>
      <c r="F700" s="152"/>
      <c r="G700" s="152"/>
      <c r="H700" s="152"/>
      <c r="I700" s="152"/>
      <c r="J700" s="152"/>
      <c r="K700" s="152"/>
      <c r="L700" s="152"/>
      <c r="M700" s="152"/>
      <c r="N700" s="152"/>
      <c r="O700" s="152"/>
      <c r="P700" s="152"/>
      <c r="Q700" s="152"/>
      <c r="R700" s="152"/>
      <c r="S700" s="152"/>
      <c r="T700" s="152"/>
      <c r="U700" s="152"/>
      <c r="V700" s="152"/>
      <c r="W700" s="152"/>
      <c r="X700" s="152"/>
      <c r="Y700" s="152"/>
      <c r="Z700" s="152"/>
    </row>
    <row r="701" ht="12.8" customHeight="1" spans="1:26">
      <c r="A701" s="176"/>
      <c r="B701" s="176"/>
      <c r="C701" s="176"/>
      <c r="D701" s="152"/>
      <c r="E701" s="152"/>
      <c r="F701" s="152"/>
      <c r="G701" s="152"/>
      <c r="H701" s="152"/>
      <c r="I701" s="152"/>
      <c r="J701" s="152"/>
      <c r="K701" s="152"/>
      <c r="L701" s="152"/>
      <c r="M701" s="152"/>
      <c r="N701" s="152"/>
      <c r="O701" s="152"/>
      <c r="P701" s="152"/>
      <c r="Q701" s="152"/>
      <c r="R701" s="152"/>
      <c r="S701" s="152"/>
      <c r="T701" s="152"/>
      <c r="U701" s="152"/>
      <c r="V701" s="152"/>
      <c r="W701" s="152"/>
      <c r="X701" s="152"/>
      <c r="Y701" s="152"/>
      <c r="Z701" s="152"/>
    </row>
    <row r="702" ht="12.8" customHeight="1" spans="1:26">
      <c r="A702" s="176"/>
      <c r="B702" s="176"/>
      <c r="C702" s="176"/>
      <c r="D702" s="152"/>
      <c r="E702" s="152"/>
      <c r="F702" s="152"/>
      <c r="G702" s="152"/>
      <c r="H702" s="152"/>
      <c r="I702" s="152"/>
      <c r="J702" s="152"/>
      <c r="K702" s="152"/>
      <c r="L702" s="152"/>
      <c r="M702" s="152"/>
      <c r="N702" s="152"/>
      <c r="O702" s="152"/>
      <c r="P702" s="152"/>
      <c r="Q702" s="152"/>
      <c r="R702" s="152"/>
      <c r="S702" s="152"/>
      <c r="T702" s="152"/>
      <c r="U702" s="152"/>
      <c r="V702" s="152"/>
      <c r="W702" s="152"/>
      <c r="X702" s="152"/>
      <c r="Y702" s="152"/>
      <c r="Z702" s="152"/>
    </row>
    <row r="703" ht="12.8" customHeight="1" spans="1:26">
      <c r="A703" s="176"/>
      <c r="B703" s="176"/>
      <c r="C703" s="176"/>
      <c r="D703" s="152"/>
      <c r="E703" s="152"/>
      <c r="F703" s="152"/>
      <c r="G703" s="152"/>
      <c r="H703" s="152"/>
      <c r="I703" s="152"/>
      <c r="J703" s="152"/>
      <c r="K703" s="152"/>
      <c r="L703" s="152"/>
      <c r="M703" s="152"/>
      <c r="N703" s="152"/>
      <c r="O703" s="152"/>
      <c r="P703" s="152"/>
      <c r="Q703" s="152"/>
      <c r="R703" s="152"/>
      <c r="S703" s="152"/>
      <c r="T703" s="152"/>
      <c r="U703" s="152"/>
      <c r="V703" s="152"/>
      <c r="W703" s="152"/>
      <c r="X703" s="152"/>
      <c r="Y703" s="152"/>
      <c r="Z703" s="152"/>
    </row>
    <row r="704" ht="12.8" customHeight="1" spans="1:26">
      <c r="A704" s="176"/>
      <c r="B704" s="176"/>
      <c r="C704" s="176"/>
      <c r="D704" s="152"/>
      <c r="E704" s="152"/>
      <c r="F704" s="152"/>
      <c r="G704" s="152"/>
      <c r="H704" s="152"/>
      <c r="I704" s="152"/>
      <c r="J704" s="152"/>
      <c r="K704" s="152"/>
      <c r="L704" s="152"/>
      <c r="M704" s="152"/>
      <c r="N704" s="152"/>
      <c r="O704" s="152"/>
      <c r="P704" s="152"/>
      <c r="Q704" s="152"/>
      <c r="R704" s="152"/>
      <c r="S704" s="152"/>
      <c r="T704" s="152"/>
      <c r="U704" s="152"/>
      <c r="V704" s="152"/>
      <c r="W704" s="152"/>
      <c r="X704" s="152"/>
      <c r="Y704" s="152"/>
      <c r="Z704" s="152"/>
    </row>
    <row r="705" ht="12.8" customHeight="1" spans="1:26">
      <c r="A705" s="176"/>
      <c r="B705" s="176"/>
      <c r="C705" s="176"/>
      <c r="D705" s="152"/>
      <c r="E705" s="152"/>
      <c r="F705" s="152"/>
      <c r="G705" s="152"/>
      <c r="H705" s="152"/>
      <c r="I705" s="152"/>
      <c r="J705" s="152"/>
      <c r="K705" s="152"/>
      <c r="L705" s="152"/>
      <c r="M705" s="152"/>
      <c r="N705" s="152"/>
      <c r="O705" s="152"/>
      <c r="P705" s="152"/>
      <c r="Q705" s="152"/>
      <c r="R705" s="152"/>
      <c r="S705" s="152"/>
      <c r="T705" s="152"/>
      <c r="U705" s="152"/>
      <c r="V705" s="152"/>
      <c r="W705" s="152"/>
      <c r="X705" s="152"/>
      <c r="Y705" s="152"/>
      <c r="Z705" s="152"/>
    </row>
    <row r="706" ht="12.8" customHeight="1" spans="1:26">
      <c r="A706" s="176"/>
      <c r="B706" s="176"/>
      <c r="C706" s="176"/>
      <c r="D706" s="152"/>
      <c r="E706" s="152"/>
      <c r="F706" s="152"/>
      <c r="G706" s="152"/>
      <c r="H706" s="152"/>
      <c r="I706" s="152"/>
      <c r="J706" s="152"/>
      <c r="K706" s="152"/>
      <c r="L706" s="152"/>
      <c r="M706" s="152"/>
      <c r="N706" s="152"/>
      <c r="O706" s="152"/>
      <c r="P706" s="152"/>
      <c r="Q706" s="152"/>
      <c r="R706" s="152"/>
      <c r="S706" s="152"/>
      <c r="T706" s="152"/>
      <c r="U706" s="152"/>
      <c r="V706" s="152"/>
      <c r="W706" s="152"/>
      <c r="X706" s="152"/>
      <c r="Y706" s="152"/>
      <c r="Z706" s="152"/>
    </row>
    <row r="707" ht="12.8" customHeight="1" spans="1:26">
      <c r="A707" s="176"/>
      <c r="B707" s="176"/>
      <c r="C707" s="176"/>
      <c r="D707" s="152"/>
      <c r="E707" s="152"/>
      <c r="F707" s="152"/>
      <c r="G707" s="152"/>
      <c r="H707" s="152"/>
      <c r="I707" s="152"/>
      <c r="J707" s="152"/>
      <c r="K707" s="152"/>
      <c r="L707" s="152"/>
      <c r="M707" s="152"/>
      <c r="N707" s="152"/>
      <c r="O707" s="152"/>
      <c r="P707" s="152"/>
      <c r="Q707" s="152"/>
      <c r="R707" s="152"/>
      <c r="S707" s="152"/>
      <c r="T707" s="152"/>
      <c r="U707" s="152"/>
      <c r="V707" s="152"/>
      <c r="W707" s="152"/>
      <c r="X707" s="152"/>
      <c r="Y707" s="152"/>
      <c r="Z707" s="152"/>
    </row>
    <row r="708" ht="12.8" customHeight="1" spans="1:26">
      <c r="A708" s="176"/>
      <c r="B708" s="176"/>
      <c r="C708" s="176"/>
      <c r="D708" s="152"/>
      <c r="E708" s="152"/>
      <c r="F708" s="152"/>
      <c r="G708" s="152"/>
      <c r="H708" s="152"/>
      <c r="I708" s="152"/>
      <c r="J708" s="152"/>
      <c r="K708" s="152"/>
      <c r="L708" s="152"/>
      <c r="M708" s="152"/>
      <c r="N708" s="152"/>
      <c r="O708" s="152"/>
      <c r="P708" s="152"/>
      <c r="Q708" s="152"/>
      <c r="R708" s="152"/>
      <c r="S708" s="152"/>
      <c r="T708" s="152"/>
      <c r="U708" s="152"/>
      <c r="V708" s="152"/>
      <c r="W708" s="152"/>
      <c r="X708" s="152"/>
      <c r="Y708" s="152"/>
      <c r="Z708" s="152"/>
    </row>
    <row r="709" ht="12.8" customHeight="1" spans="1:26">
      <c r="A709" s="176"/>
      <c r="B709" s="176"/>
      <c r="C709" s="176"/>
      <c r="D709" s="152"/>
      <c r="E709" s="152"/>
      <c r="F709" s="152"/>
      <c r="G709" s="152"/>
      <c r="H709" s="152"/>
      <c r="I709" s="152"/>
      <c r="J709" s="152"/>
      <c r="K709" s="152"/>
      <c r="L709" s="152"/>
      <c r="M709" s="152"/>
      <c r="N709" s="152"/>
      <c r="O709" s="152"/>
      <c r="P709" s="152"/>
      <c r="Q709" s="152"/>
      <c r="R709" s="152"/>
      <c r="S709" s="152"/>
      <c r="T709" s="152"/>
      <c r="U709" s="152"/>
      <c r="V709" s="152"/>
      <c r="W709" s="152"/>
      <c r="X709" s="152"/>
      <c r="Y709" s="152"/>
      <c r="Z709" s="152"/>
    </row>
    <row r="710" ht="12.8" customHeight="1" spans="1:26">
      <c r="A710" s="176"/>
      <c r="B710" s="176"/>
      <c r="C710" s="176"/>
      <c r="D710" s="152"/>
      <c r="E710" s="152"/>
      <c r="F710" s="152"/>
      <c r="G710" s="152"/>
      <c r="H710" s="152"/>
      <c r="I710" s="152"/>
      <c r="J710" s="152"/>
      <c r="K710" s="152"/>
      <c r="L710" s="152"/>
      <c r="M710" s="152"/>
      <c r="N710" s="152"/>
      <c r="O710" s="152"/>
      <c r="P710" s="152"/>
      <c r="Q710" s="152"/>
      <c r="R710" s="152"/>
      <c r="S710" s="152"/>
      <c r="T710" s="152"/>
      <c r="U710" s="152"/>
      <c r="V710" s="152"/>
      <c r="W710" s="152"/>
      <c r="X710" s="152"/>
      <c r="Y710" s="152"/>
      <c r="Z710" s="152"/>
    </row>
    <row r="711" ht="12.8" customHeight="1" spans="1:26">
      <c r="A711" s="176"/>
      <c r="B711" s="176"/>
      <c r="C711" s="176"/>
      <c r="D711" s="152"/>
      <c r="E711" s="152"/>
      <c r="F711" s="152"/>
      <c r="G711" s="152"/>
      <c r="H711" s="152"/>
      <c r="I711" s="152"/>
      <c r="J711" s="152"/>
      <c r="K711" s="152"/>
      <c r="L711" s="152"/>
      <c r="M711" s="152"/>
      <c r="N711" s="152"/>
      <c r="O711" s="152"/>
      <c r="P711" s="152"/>
      <c r="Q711" s="152"/>
      <c r="R711" s="152"/>
      <c r="S711" s="152"/>
      <c r="T711" s="152"/>
      <c r="U711" s="152"/>
      <c r="V711" s="152"/>
      <c r="W711" s="152"/>
      <c r="X711" s="152"/>
      <c r="Y711" s="152"/>
      <c r="Z711" s="152"/>
    </row>
    <row r="712" ht="12.8" customHeight="1" spans="1:26">
      <c r="A712" s="176"/>
      <c r="B712" s="176"/>
      <c r="C712" s="176"/>
      <c r="D712" s="152"/>
      <c r="E712" s="152"/>
      <c r="F712" s="152"/>
      <c r="G712" s="152"/>
      <c r="H712" s="152"/>
      <c r="I712" s="152"/>
      <c r="J712" s="152"/>
      <c r="K712" s="152"/>
      <c r="L712" s="152"/>
      <c r="M712" s="152"/>
      <c r="N712" s="152"/>
      <c r="O712" s="152"/>
      <c r="P712" s="152"/>
      <c r="Q712" s="152"/>
      <c r="R712" s="152"/>
      <c r="S712" s="152"/>
      <c r="T712" s="152"/>
      <c r="U712" s="152"/>
      <c r="V712" s="152"/>
      <c r="W712" s="152"/>
      <c r="X712" s="152"/>
      <c r="Y712" s="152"/>
      <c r="Z712" s="152"/>
    </row>
    <row r="713" ht="12.8" customHeight="1" spans="1:26">
      <c r="A713" s="176"/>
      <c r="B713" s="176"/>
      <c r="C713" s="176"/>
      <c r="D713" s="152"/>
      <c r="E713" s="152"/>
      <c r="F713" s="152"/>
      <c r="G713" s="152"/>
      <c r="H713" s="152"/>
      <c r="I713" s="152"/>
      <c r="J713" s="152"/>
      <c r="K713" s="152"/>
      <c r="L713" s="152"/>
      <c r="M713" s="152"/>
      <c r="N713" s="152"/>
      <c r="O713" s="152"/>
      <c r="P713" s="152"/>
      <c r="Q713" s="152"/>
      <c r="R713" s="152"/>
      <c r="S713" s="152"/>
      <c r="T713" s="152"/>
      <c r="U713" s="152"/>
      <c r="V713" s="152"/>
      <c r="W713" s="152"/>
      <c r="X713" s="152"/>
      <c r="Y713" s="152"/>
      <c r="Z713" s="152"/>
    </row>
    <row r="714" ht="12.8" customHeight="1" spans="1:26">
      <c r="A714" s="176"/>
      <c r="B714" s="176"/>
      <c r="C714" s="176"/>
      <c r="D714" s="152"/>
      <c r="E714" s="152"/>
      <c r="F714" s="152"/>
      <c r="G714" s="152"/>
      <c r="H714" s="152"/>
      <c r="I714" s="152"/>
      <c r="J714" s="152"/>
      <c r="K714" s="152"/>
      <c r="L714" s="152"/>
      <c r="M714" s="152"/>
      <c r="N714" s="152"/>
      <c r="O714" s="152"/>
      <c r="P714" s="152"/>
      <c r="Q714" s="152"/>
      <c r="R714" s="152"/>
      <c r="S714" s="152"/>
      <c r="T714" s="152"/>
      <c r="U714" s="152"/>
      <c r="V714" s="152"/>
      <c r="W714" s="152"/>
      <c r="X714" s="152"/>
      <c r="Y714" s="152"/>
      <c r="Z714" s="152"/>
    </row>
    <row r="715" ht="12.8" customHeight="1" spans="1:26">
      <c r="A715" s="176"/>
      <c r="B715" s="176"/>
      <c r="C715" s="176"/>
      <c r="D715" s="152"/>
      <c r="E715" s="152"/>
      <c r="F715" s="152"/>
      <c r="G715" s="152"/>
      <c r="H715" s="152"/>
      <c r="I715" s="152"/>
      <c r="J715" s="152"/>
      <c r="K715" s="152"/>
      <c r="L715" s="152"/>
      <c r="M715" s="152"/>
      <c r="N715" s="152"/>
      <c r="O715" s="152"/>
      <c r="P715" s="152"/>
      <c r="Q715" s="152"/>
      <c r="R715" s="152"/>
      <c r="S715" s="152"/>
      <c r="T715" s="152"/>
      <c r="U715" s="152"/>
      <c r="V715" s="152"/>
      <c r="W715" s="152"/>
      <c r="X715" s="152"/>
      <c r="Y715" s="152"/>
      <c r="Z715" s="152"/>
    </row>
    <row r="716" ht="12.8" customHeight="1" spans="1:26">
      <c r="A716" s="176"/>
      <c r="B716" s="176"/>
      <c r="C716" s="176"/>
      <c r="D716" s="152"/>
      <c r="E716" s="152"/>
      <c r="F716" s="152"/>
      <c r="G716" s="152"/>
      <c r="H716" s="152"/>
      <c r="I716" s="152"/>
      <c r="J716" s="152"/>
      <c r="K716" s="152"/>
      <c r="L716" s="152"/>
      <c r="M716" s="152"/>
      <c r="N716" s="152"/>
      <c r="O716" s="152"/>
      <c r="P716" s="152"/>
      <c r="Q716" s="152"/>
      <c r="R716" s="152"/>
      <c r="S716" s="152"/>
      <c r="T716" s="152"/>
      <c r="U716" s="152"/>
      <c r="V716" s="152"/>
      <c r="W716" s="152"/>
      <c r="X716" s="152"/>
      <c r="Y716" s="152"/>
      <c r="Z716" s="152"/>
    </row>
    <row r="717" ht="12.8" customHeight="1" spans="1:26">
      <c r="A717" s="176"/>
      <c r="B717" s="176"/>
      <c r="C717" s="176"/>
      <c r="D717" s="152"/>
      <c r="E717" s="152"/>
      <c r="F717" s="152"/>
      <c r="G717" s="152"/>
      <c r="H717" s="152"/>
      <c r="I717" s="152"/>
      <c r="J717" s="152"/>
      <c r="K717" s="152"/>
      <c r="L717" s="152"/>
      <c r="M717" s="152"/>
      <c r="N717" s="152"/>
      <c r="O717" s="152"/>
      <c r="P717" s="152"/>
      <c r="Q717" s="152"/>
      <c r="R717" s="152"/>
      <c r="S717" s="152"/>
      <c r="T717" s="152"/>
      <c r="U717" s="152"/>
      <c r="V717" s="152"/>
      <c r="W717" s="152"/>
      <c r="X717" s="152"/>
      <c r="Y717" s="152"/>
      <c r="Z717" s="152"/>
    </row>
    <row r="718" ht="12.8" customHeight="1" spans="1:26">
      <c r="A718" s="176"/>
      <c r="B718" s="176"/>
      <c r="C718" s="176"/>
      <c r="D718" s="152"/>
      <c r="E718" s="152"/>
      <c r="F718" s="152"/>
      <c r="G718" s="152"/>
      <c r="H718" s="152"/>
      <c r="I718" s="152"/>
      <c r="J718" s="152"/>
      <c r="K718" s="152"/>
      <c r="L718" s="152"/>
      <c r="M718" s="152"/>
      <c r="N718" s="152"/>
      <c r="O718" s="152"/>
      <c r="P718" s="152"/>
      <c r="Q718" s="152"/>
      <c r="R718" s="152"/>
      <c r="S718" s="152"/>
      <c r="T718" s="152"/>
      <c r="U718" s="152"/>
      <c r="V718" s="152"/>
      <c r="W718" s="152"/>
      <c r="X718" s="152"/>
      <c r="Y718" s="152"/>
      <c r="Z718" s="152"/>
    </row>
    <row r="719" ht="12.8" customHeight="1" spans="1:26">
      <c r="A719" s="176"/>
      <c r="B719" s="176"/>
      <c r="C719" s="176"/>
      <c r="D719" s="152"/>
      <c r="E719" s="152"/>
      <c r="F719" s="152"/>
      <c r="G719" s="152"/>
      <c r="H719" s="152"/>
      <c r="I719" s="152"/>
      <c r="J719" s="152"/>
      <c r="K719" s="152"/>
      <c r="L719" s="152"/>
      <c r="M719" s="152"/>
      <c r="N719" s="152"/>
      <c r="O719" s="152"/>
      <c r="P719" s="152"/>
      <c r="Q719" s="152"/>
      <c r="R719" s="152"/>
      <c r="S719" s="152"/>
      <c r="T719" s="152"/>
      <c r="U719" s="152"/>
      <c r="V719" s="152"/>
      <c r="W719" s="152"/>
      <c r="X719" s="152"/>
      <c r="Y719" s="152"/>
      <c r="Z719" s="152"/>
    </row>
    <row r="720" ht="12.8" customHeight="1" spans="1:26">
      <c r="A720" s="176"/>
      <c r="B720" s="176"/>
      <c r="C720" s="176"/>
      <c r="D720" s="152"/>
      <c r="E720" s="152"/>
      <c r="F720" s="152"/>
      <c r="G720" s="152"/>
      <c r="H720" s="152"/>
      <c r="I720" s="152"/>
      <c r="J720" s="152"/>
      <c r="K720" s="152"/>
      <c r="L720" s="152"/>
      <c r="M720" s="152"/>
      <c r="N720" s="152"/>
      <c r="O720" s="152"/>
      <c r="P720" s="152"/>
      <c r="Q720" s="152"/>
      <c r="R720" s="152"/>
      <c r="S720" s="152"/>
      <c r="T720" s="152"/>
      <c r="U720" s="152"/>
      <c r="V720" s="152"/>
      <c r="W720" s="152"/>
      <c r="X720" s="152"/>
      <c r="Y720" s="152"/>
      <c r="Z720" s="152"/>
    </row>
    <row r="721" ht="12.8" customHeight="1" spans="1:26">
      <c r="A721" s="176"/>
      <c r="B721" s="176"/>
      <c r="C721" s="176"/>
      <c r="D721" s="152"/>
      <c r="E721" s="152"/>
      <c r="F721" s="152"/>
      <c r="G721" s="152"/>
      <c r="H721" s="152"/>
      <c r="I721" s="152"/>
      <c r="J721" s="152"/>
      <c r="K721" s="152"/>
      <c r="L721" s="152"/>
      <c r="M721" s="152"/>
      <c r="N721" s="152"/>
      <c r="O721" s="152"/>
      <c r="P721" s="152"/>
      <c r="Q721" s="152"/>
      <c r="R721" s="152"/>
      <c r="S721" s="152"/>
      <c r="T721" s="152"/>
      <c r="U721" s="152"/>
      <c r="V721" s="152"/>
      <c r="W721" s="152"/>
      <c r="X721" s="152"/>
      <c r="Y721" s="152"/>
      <c r="Z721" s="152"/>
    </row>
    <row r="722" ht="12.8" customHeight="1" spans="1:26">
      <c r="A722" s="176"/>
      <c r="B722" s="176"/>
      <c r="C722" s="176"/>
      <c r="D722" s="152"/>
      <c r="E722" s="152"/>
      <c r="F722" s="152"/>
      <c r="G722" s="152"/>
      <c r="H722" s="152"/>
      <c r="I722" s="152"/>
      <c r="J722" s="152"/>
      <c r="K722" s="152"/>
      <c r="L722" s="152"/>
      <c r="M722" s="152"/>
      <c r="N722" s="152"/>
      <c r="O722" s="152"/>
      <c r="P722" s="152"/>
      <c r="Q722" s="152"/>
      <c r="R722" s="152"/>
      <c r="S722" s="152"/>
      <c r="T722" s="152"/>
      <c r="U722" s="152"/>
      <c r="V722" s="152"/>
      <c r="W722" s="152"/>
      <c r="X722" s="152"/>
      <c r="Y722" s="152"/>
      <c r="Z722" s="152"/>
    </row>
    <row r="723" ht="12.8" customHeight="1" spans="1:26">
      <c r="A723" s="176"/>
      <c r="B723" s="176"/>
      <c r="C723" s="176"/>
      <c r="D723" s="152"/>
      <c r="E723" s="152"/>
      <c r="F723" s="152"/>
      <c r="G723" s="152"/>
      <c r="H723" s="152"/>
      <c r="I723" s="152"/>
      <c r="J723" s="152"/>
      <c r="K723" s="152"/>
      <c r="L723" s="152"/>
      <c r="M723" s="152"/>
      <c r="N723" s="152"/>
      <c r="O723" s="152"/>
      <c r="P723" s="152"/>
      <c r="Q723" s="152"/>
      <c r="R723" s="152"/>
      <c r="S723" s="152"/>
      <c r="T723" s="152"/>
      <c r="U723" s="152"/>
      <c r="V723" s="152"/>
      <c r="W723" s="152"/>
      <c r="X723" s="152"/>
      <c r="Y723" s="152"/>
      <c r="Z723" s="152"/>
    </row>
    <row r="724" ht="12.8" customHeight="1" spans="1:26">
      <c r="A724" s="176"/>
      <c r="B724" s="176"/>
      <c r="C724" s="176"/>
      <c r="D724" s="152"/>
      <c r="E724" s="152"/>
      <c r="F724" s="152"/>
      <c r="G724" s="152"/>
      <c r="H724" s="152"/>
      <c r="I724" s="152"/>
      <c r="J724" s="152"/>
      <c r="K724" s="152"/>
      <c r="L724" s="152"/>
      <c r="M724" s="152"/>
      <c r="N724" s="152"/>
      <c r="O724" s="152"/>
      <c r="P724" s="152"/>
      <c r="Q724" s="152"/>
      <c r="R724" s="152"/>
      <c r="S724" s="152"/>
      <c r="T724" s="152"/>
      <c r="U724" s="152"/>
      <c r="V724" s="152"/>
      <c r="W724" s="152"/>
      <c r="X724" s="152"/>
      <c r="Y724" s="152"/>
      <c r="Z724" s="152"/>
    </row>
    <row r="725" ht="12.8" customHeight="1" spans="1:26">
      <c r="A725" s="176"/>
      <c r="B725" s="176"/>
      <c r="C725" s="176"/>
      <c r="D725" s="152"/>
      <c r="E725" s="152"/>
      <c r="F725" s="152"/>
      <c r="G725" s="152"/>
      <c r="H725" s="152"/>
      <c r="I725" s="152"/>
      <c r="J725" s="152"/>
      <c r="K725" s="152"/>
      <c r="L725" s="152"/>
      <c r="M725" s="152"/>
      <c r="N725" s="152"/>
      <c r="O725" s="152"/>
      <c r="P725" s="152"/>
      <c r="Q725" s="152"/>
      <c r="R725" s="152"/>
      <c r="S725" s="152"/>
      <c r="T725" s="152"/>
      <c r="U725" s="152"/>
      <c r="V725" s="152"/>
      <c r="W725" s="152"/>
      <c r="X725" s="152"/>
      <c r="Y725" s="152"/>
      <c r="Z725" s="152"/>
    </row>
    <row r="726" ht="12.8" customHeight="1" spans="1:26">
      <c r="A726" s="176"/>
      <c r="B726" s="176"/>
      <c r="C726" s="176"/>
      <c r="D726" s="152"/>
      <c r="E726" s="152"/>
      <c r="F726" s="152"/>
      <c r="G726" s="152"/>
      <c r="H726" s="152"/>
      <c r="I726" s="152"/>
      <c r="J726" s="152"/>
      <c r="K726" s="152"/>
      <c r="L726" s="152"/>
      <c r="M726" s="152"/>
      <c r="N726" s="152"/>
      <c r="O726" s="152"/>
      <c r="P726" s="152"/>
      <c r="Q726" s="152"/>
      <c r="R726" s="152"/>
      <c r="S726" s="152"/>
      <c r="T726" s="152"/>
      <c r="U726" s="152"/>
      <c r="V726" s="152"/>
      <c r="W726" s="152"/>
      <c r="X726" s="152"/>
      <c r="Y726" s="152"/>
      <c r="Z726" s="152"/>
    </row>
    <row r="727" ht="12.8" customHeight="1" spans="1:26">
      <c r="A727" s="176"/>
      <c r="B727" s="176"/>
      <c r="C727" s="176"/>
      <c r="D727" s="152"/>
      <c r="E727" s="152"/>
      <c r="F727" s="152"/>
      <c r="G727" s="152"/>
      <c r="H727" s="152"/>
      <c r="I727" s="152"/>
      <c r="J727" s="152"/>
      <c r="K727" s="152"/>
      <c r="L727" s="152"/>
      <c r="M727" s="152"/>
      <c r="N727" s="152"/>
      <c r="O727" s="152"/>
      <c r="P727" s="152"/>
      <c r="Q727" s="152"/>
      <c r="R727" s="152"/>
      <c r="S727" s="152"/>
      <c r="T727" s="152"/>
      <c r="U727" s="152"/>
      <c r="V727" s="152"/>
      <c r="W727" s="152"/>
      <c r="X727" s="152"/>
      <c r="Y727" s="152"/>
      <c r="Z727" s="152"/>
    </row>
    <row r="728" ht="12.8" customHeight="1" spans="1:26">
      <c r="A728" s="176"/>
      <c r="B728" s="176"/>
      <c r="C728" s="176"/>
      <c r="D728" s="152"/>
      <c r="E728" s="152"/>
      <c r="F728" s="152"/>
      <c r="G728" s="152"/>
      <c r="H728" s="152"/>
      <c r="I728" s="152"/>
      <c r="J728" s="152"/>
      <c r="K728" s="152"/>
      <c r="L728" s="152"/>
      <c r="M728" s="152"/>
      <c r="N728" s="152"/>
      <c r="O728" s="152"/>
      <c r="P728" s="152"/>
      <c r="Q728" s="152"/>
      <c r="R728" s="152"/>
      <c r="S728" s="152"/>
      <c r="T728" s="152"/>
      <c r="U728" s="152"/>
      <c r="V728" s="152"/>
      <c r="W728" s="152"/>
      <c r="X728" s="152"/>
      <c r="Y728" s="152"/>
      <c r="Z728" s="152"/>
    </row>
    <row r="729" ht="12.8" customHeight="1" spans="1:26">
      <c r="A729" s="176"/>
      <c r="B729" s="176"/>
      <c r="C729" s="176"/>
      <c r="D729" s="152"/>
      <c r="E729" s="152"/>
      <c r="F729" s="152"/>
      <c r="G729" s="152"/>
      <c r="H729" s="152"/>
      <c r="I729" s="152"/>
      <c r="J729" s="152"/>
      <c r="K729" s="152"/>
      <c r="L729" s="152"/>
      <c r="M729" s="152"/>
      <c r="N729" s="152"/>
      <c r="O729" s="152"/>
      <c r="P729" s="152"/>
      <c r="Q729" s="152"/>
      <c r="R729" s="152"/>
      <c r="S729" s="152"/>
      <c r="T729" s="152"/>
      <c r="U729" s="152"/>
      <c r="V729" s="152"/>
      <c r="W729" s="152"/>
      <c r="X729" s="152"/>
      <c r="Y729" s="152"/>
      <c r="Z729" s="152"/>
    </row>
    <row r="730" ht="12.8" customHeight="1" spans="1:26">
      <c r="A730" s="176"/>
      <c r="B730" s="176"/>
      <c r="C730" s="176"/>
      <c r="D730" s="152"/>
      <c r="E730" s="152"/>
      <c r="F730" s="152"/>
      <c r="G730" s="152"/>
      <c r="H730" s="152"/>
      <c r="I730" s="152"/>
      <c r="J730" s="152"/>
      <c r="K730" s="152"/>
      <c r="L730" s="152"/>
      <c r="M730" s="152"/>
      <c r="N730" s="152"/>
      <c r="O730" s="152"/>
      <c r="P730" s="152"/>
      <c r="Q730" s="152"/>
      <c r="R730" s="152"/>
      <c r="S730" s="152"/>
      <c r="T730" s="152"/>
      <c r="U730" s="152"/>
      <c r="V730" s="152"/>
      <c r="W730" s="152"/>
      <c r="X730" s="152"/>
      <c r="Y730" s="152"/>
      <c r="Z730" s="152"/>
    </row>
    <row r="731" ht="12.8" customHeight="1" spans="1:26">
      <c r="A731" s="176"/>
      <c r="B731" s="176"/>
      <c r="C731" s="176"/>
      <c r="D731" s="152"/>
      <c r="E731" s="152"/>
      <c r="F731" s="152"/>
      <c r="G731" s="152"/>
      <c r="H731" s="152"/>
      <c r="I731" s="152"/>
      <c r="J731" s="152"/>
      <c r="K731" s="152"/>
      <c r="L731" s="152"/>
      <c r="M731" s="152"/>
      <c r="N731" s="152"/>
      <c r="O731" s="152"/>
      <c r="P731" s="152"/>
      <c r="Q731" s="152"/>
      <c r="R731" s="152"/>
      <c r="S731" s="152"/>
      <c r="T731" s="152"/>
      <c r="U731" s="152"/>
      <c r="V731" s="152"/>
      <c r="W731" s="152"/>
      <c r="X731" s="152"/>
      <c r="Y731" s="152"/>
      <c r="Z731" s="152"/>
    </row>
    <row r="732" ht="12.8" customHeight="1" spans="1:26">
      <c r="A732" s="176"/>
      <c r="B732" s="176"/>
      <c r="C732" s="176"/>
      <c r="D732" s="152"/>
      <c r="E732" s="152"/>
      <c r="F732" s="152"/>
      <c r="G732" s="152"/>
      <c r="H732" s="152"/>
      <c r="I732" s="152"/>
      <c r="J732" s="152"/>
      <c r="K732" s="152"/>
      <c r="L732" s="152"/>
      <c r="M732" s="152"/>
      <c r="N732" s="152"/>
      <c r="O732" s="152"/>
      <c r="P732" s="152"/>
      <c r="Q732" s="152"/>
      <c r="R732" s="152"/>
      <c r="S732" s="152"/>
      <c r="T732" s="152"/>
      <c r="U732" s="152"/>
      <c r="V732" s="152"/>
      <c r="W732" s="152"/>
      <c r="X732" s="152"/>
      <c r="Y732" s="152"/>
      <c r="Z732" s="152"/>
    </row>
    <row r="733" ht="12.8" customHeight="1" spans="1:26">
      <c r="A733" s="176"/>
      <c r="B733" s="176"/>
      <c r="C733" s="176"/>
      <c r="D733" s="152"/>
      <c r="E733" s="152"/>
      <c r="F733" s="152"/>
      <c r="G733" s="152"/>
      <c r="H733" s="152"/>
      <c r="I733" s="152"/>
      <c r="J733" s="152"/>
      <c r="K733" s="152"/>
      <c r="L733" s="152"/>
      <c r="M733" s="152"/>
      <c r="N733" s="152"/>
      <c r="O733" s="152"/>
      <c r="P733" s="152"/>
      <c r="Q733" s="152"/>
      <c r="R733" s="152"/>
      <c r="S733" s="152"/>
      <c r="T733" s="152"/>
      <c r="U733" s="152"/>
      <c r="V733" s="152"/>
      <c r="W733" s="152"/>
      <c r="X733" s="152"/>
      <c r="Y733" s="152"/>
      <c r="Z733" s="152"/>
    </row>
    <row r="734" ht="12.8" customHeight="1" spans="1:26">
      <c r="A734" s="176"/>
      <c r="B734" s="176"/>
      <c r="C734" s="176"/>
      <c r="D734" s="152"/>
      <c r="E734" s="152"/>
      <c r="F734" s="152"/>
      <c r="G734" s="152"/>
      <c r="H734" s="152"/>
      <c r="I734" s="152"/>
      <c r="J734" s="152"/>
      <c r="K734" s="152"/>
      <c r="L734" s="152"/>
      <c r="M734" s="152"/>
      <c r="N734" s="152"/>
      <c r="O734" s="152"/>
      <c r="P734" s="152"/>
      <c r="Q734" s="152"/>
      <c r="R734" s="152"/>
      <c r="S734" s="152"/>
      <c r="T734" s="152"/>
      <c r="U734" s="152"/>
      <c r="V734" s="152"/>
      <c r="W734" s="152"/>
      <c r="X734" s="152"/>
      <c r="Y734" s="152"/>
      <c r="Z734" s="152"/>
    </row>
    <row r="735" ht="12.8" customHeight="1" spans="1:26">
      <c r="A735" s="176"/>
      <c r="B735" s="176"/>
      <c r="C735" s="176"/>
      <c r="D735" s="152"/>
      <c r="E735" s="152"/>
      <c r="F735" s="152"/>
      <c r="G735" s="152"/>
      <c r="H735" s="152"/>
      <c r="I735" s="152"/>
      <c r="J735" s="152"/>
      <c r="K735" s="152"/>
      <c r="L735" s="152"/>
      <c r="M735" s="152"/>
      <c r="N735" s="152"/>
      <c r="O735" s="152"/>
      <c r="P735" s="152"/>
      <c r="Q735" s="152"/>
      <c r="R735" s="152"/>
      <c r="S735" s="152"/>
      <c r="T735" s="152"/>
      <c r="U735" s="152"/>
      <c r="V735" s="152"/>
      <c r="W735" s="152"/>
      <c r="X735" s="152"/>
      <c r="Y735" s="152"/>
      <c r="Z735" s="152"/>
    </row>
    <row r="736" ht="12.8" customHeight="1" spans="1:26">
      <c r="A736" s="176"/>
      <c r="B736" s="176"/>
      <c r="C736" s="176"/>
      <c r="D736" s="152"/>
      <c r="E736" s="152"/>
      <c r="F736" s="152"/>
      <c r="G736" s="152"/>
      <c r="H736" s="152"/>
      <c r="I736" s="152"/>
      <c r="J736" s="152"/>
      <c r="K736" s="152"/>
      <c r="L736" s="152"/>
      <c r="M736" s="152"/>
      <c r="N736" s="152"/>
      <c r="O736" s="152"/>
      <c r="P736" s="152"/>
      <c r="Q736" s="152"/>
      <c r="R736" s="152"/>
      <c r="S736" s="152"/>
      <c r="T736" s="152"/>
      <c r="U736" s="152"/>
      <c r="V736" s="152"/>
      <c r="W736" s="152"/>
      <c r="X736" s="152"/>
      <c r="Y736" s="152"/>
      <c r="Z736" s="152"/>
    </row>
    <row r="737" ht="12.8" customHeight="1" spans="1:26">
      <c r="A737" s="176"/>
      <c r="B737" s="176"/>
      <c r="C737" s="176"/>
      <c r="D737" s="152"/>
      <c r="E737" s="152"/>
      <c r="F737" s="152"/>
      <c r="G737" s="152"/>
      <c r="H737" s="152"/>
      <c r="I737" s="152"/>
      <c r="J737" s="152"/>
      <c r="K737" s="152"/>
      <c r="L737" s="152"/>
      <c r="M737" s="152"/>
      <c r="N737" s="152"/>
      <c r="O737" s="152"/>
      <c r="P737" s="152"/>
      <c r="Q737" s="152"/>
      <c r="R737" s="152"/>
      <c r="S737" s="152"/>
      <c r="T737" s="152"/>
      <c r="U737" s="152"/>
      <c r="V737" s="152"/>
      <c r="W737" s="152"/>
      <c r="X737" s="152"/>
      <c r="Y737" s="152"/>
      <c r="Z737" s="152"/>
    </row>
    <row r="738" ht="12.8" customHeight="1" spans="1:26">
      <c r="A738" s="176"/>
      <c r="B738" s="176"/>
      <c r="C738" s="176"/>
      <c r="D738" s="152"/>
      <c r="E738" s="152"/>
      <c r="F738" s="152"/>
      <c r="G738" s="152"/>
      <c r="H738" s="152"/>
      <c r="I738" s="152"/>
      <c r="J738" s="152"/>
      <c r="K738" s="152"/>
      <c r="L738" s="152"/>
      <c r="M738" s="152"/>
      <c r="N738" s="152"/>
      <c r="O738" s="152"/>
      <c r="P738" s="152"/>
      <c r="Q738" s="152"/>
      <c r="R738" s="152"/>
      <c r="S738" s="152"/>
      <c r="T738" s="152"/>
      <c r="U738" s="152"/>
      <c r="V738" s="152"/>
      <c r="W738" s="152"/>
      <c r="X738" s="152"/>
      <c r="Y738" s="152"/>
      <c r="Z738" s="152"/>
    </row>
    <row r="739" ht="12.8" customHeight="1" spans="1:26">
      <c r="A739" s="176"/>
      <c r="B739" s="176"/>
      <c r="C739" s="176"/>
      <c r="D739" s="152"/>
      <c r="E739" s="152"/>
      <c r="F739" s="152"/>
      <c r="G739" s="152"/>
      <c r="H739" s="152"/>
      <c r="I739" s="152"/>
      <c r="J739" s="152"/>
      <c r="K739" s="152"/>
      <c r="L739" s="152"/>
      <c r="M739" s="152"/>
      <c r="N739" s="152"/>
      <c r="O739" s="152"/>
      <c r="P739" s="152"/>
      <c r="Q739" s="152"/>
      <c r="R739" s="152"/>
      <c r="S739" s="152"/>
      <c r="T739" s="152"/>
      <c r="U739" s="152"/>
      <c r="V739" s="152"/>
      <c r="W739" s="152"/>
      <c r="X739" s="152"/>
      <c r="Y739" s="152"/>
      <c r="Z739" s="152"/>
    </row>
    <row r="740" ht="12.8" customHeight="1" spans="1:26">
      <c r="A740" s="176"/>
      <c r="B740" s="176"/>
      <c r="C740" s="176"/>
      <c r="D740" s="152"/>
      <c r="E740" s="152"/>
      <c r="F740" s="152"/>
      <c r="G740" s="152"/>
      <c r="H740" s="152"/>
      <c r="I740" s="152"/>
      <c r="J740" s="152"/>
      <c r="K740" s="152"/>
      <c r="L740" s="152"/>
      <c r="M740" s="152"/>
      <c r="N740" s="152"/>
      <c r="O740" s="152"/>
      <c r="P740" s="152"/>
      <c r="Q740" s="152"/>
      <c r="R740" s="152"/>
      <c r="S740" s="152"/>
      <c r="T740" s="152"/>
      <c r="U740" s="152"/>
      <c r="V740" s="152"/>
      <c r="W740" s="152"/>
      <c r="X740" s="152"/>
      <c r="Y740" s="152"/>
      <c r="Z740" s="152"/>
    </row>
    <row r="741" ht="12.8" customHeight="1" spans="1:26">
      <c r="A741" s="176"/>
      <c r="B741" s="176"/>
      <c r="C741" s="176"/>
      <c r="D741" s="152"/>
      <c r="E741" s="152"/>
      <c r="F741" s="152"/>
      <c r="G741" s="152"/>
      <c r="H741" s="152"/>
      <c r="I741" s="152"/>
      <c r="J741" s="152"/>
      <c r="K741" s="152"/>
      <c r="L741" s="152"/>
      <c r="M741" s="152"/>
      <c r="N741" s="152"/>
      <c r="O741" s="152"/>
      <c r="P741" s="152"/>
      <c r="Q741" s="152"/>
      <c r="R741" s="152"/>
      <c r="S741" s="152"/>
      <c r="T741" s="152"/>
      <c r="U741" s="152"/>
      <c r="V741" s="152"/>
      <c r="W741" s="152"/>
      <c r="X741" s="152"/>
      <c r="Y741" s="152"/>
      <c r="Z741" s="152"/>
    </row>
    <row r="742" ht="12.8" customHeight="1" spans="1:26">
      <c r="A742" s="176"/>
      <c r="B742" s="176"/>
      <c r="C742" s="176"/>
      <c r="D742" s="152"/>
      <c r="E742" s="152"/>
      <c r="F742" s="152"/>
      <c r="G742" s="152"/>
      <c r="H742" s="152"/>
      <c r="I742" s="152"/>
      <c r="J742" s="152"/>
      <c r="K742" s="152"/>
      <c r="L742" s="152"/>
      <c r="M742" s="152"/>
      <c r="N742" s="152"/>
      <c r="O742" s="152"/>
      <c r="P742" s="152"/>
      <c r="Q742" s="152"/>
      <c r="R742" s="152"/>
      <c r="S742" s="152"/>
      <c r="T742" s="152"/>
      <c r="U742" s="152"/>
      <c r="V742" s="152"/>
      <c r="W742" s="152"/>
      <c r="X742" s="152"/>
      <c r="Y742" s="152"/>
      <c r="Z742" s="152"/>
    </row>
    <row r="743" ht="12.8" customHeight="1" spans="1:26">
      <c r="A743" s="176"/>
      <c r="B743" s="176"/>
      <c r="C743" s="176"/>
      <c r="D743" s="152"/>
      <c r="E743" s="152"/>
      <c r="F743" s="152"/>
      <c r="G743" s="152"/>
      <c r="H743" s="152"/>
      <c r="I743" s="152"/>
      <c r="J743" s="152"/>
      <c r="K743" s="152"/>
      <c r="L743" s="152"/>
      <c r="M743" s="152"/>
      <c r="N743" s="152"/>
      <c r="O743" s="152"/>
      <c r="P743" s="152"/>
      <c r="Q743" s="152"/>
      <c r="R743" s="152"/>
      <c r="S743" s="152"/>
      <c r="T743" s="152"/>
      <c r="U743" s="152"/>
      <c r="V743" s="152"/>
      <c r="W743" s="152"/>
      <c r="X743" s="152"/>
      <c r="Y743" s="152"/>
      <c r="Z743" s="152"/>
    </row>
    <row r="744" ht="12.8" customHeight="1" spans="1:26">
      <c r="A744" s="176"/>
      <c r="B744" s="176"/>
      <c r="C744" s="176"/>
      <c r="D744" s="152"/>
      <c r="E744" s="152"/>
      <c r="F744" s="152"/>
      <c r="G744" s="152"/>
      <c r="H744" s="152"/>
      <c r="I744" s="152"/>
      <c r="J744" s="152"/>
      <c r="K744" s="152"/>
      <c r="L744" s="152"/>
      <c r="M744" s="152"/>
      <c r="N744" s="152"/>
      <c r="O744" s="152"/>
      <c r="P744" s="152"/>
      <c r="Q744" s="152"/>
      <c r="R744" s="152"/>
      <c r="S744" s="152"/>
      <c r="T744" s="152"/>
      <c r="U744" s="152"/>
      <c r="V744" s="152"/>
      <c r="W744" s="152"/>
      <c r="X744" s="152"/>
      <c r="Y744" s="152"/>
      <c r="Z744" s="152"/>
    </row>
    <row r="745" ht="12.8" customHeight="1" spans="1:26">
      <c r="A745" s="176"/>
      <c r="B745" s="176"/>
      <c r="C745" s="176"/>
      <c r="D745" s="152"/>
      <c r="E745" s="152"/>
      <c r="F745" s="152"/>
      <c r="G745" s="152"/>
      <c r="H745" s="152"/>
      <c r="I745" s="152"/>
      <c r="J745" s="152"/>
      <c r="K745" s="152"/>
      <c r="L745" s="152"/>
      <c r="M745" s="152"/>
      <c r="N745" s="152"/>
      <c r="O745" s="152"/>
      <c r="P745" s="152"/>
      <c r="Q745" s="152"/>
      <c r="R745" s="152"/>
      <c r="S745" s="152"/>
      <c r="T745" s="152"/>
      <c r="U745" s="152"/>
      <c r="V745" s="152"/>
      <c r="W745" s="152"/>
      <c r="X745" s="152"/>
      <c r="Y745" s="152"/>
      <c r="Z745" s="152"/>
    </row>
    <row r="746" ht="12.8" customHeight="1" spans="1:26">
      <c r="A746" s="176"/>
      <c r="B746" s="176"/>
      <c r="C746" s="176"/>
      <c r="D746" s="152"/>
      <c r="E746" s="152"/>
      <c r="F746" s="152"/>
      <c r="G746" s="152"/>
      <c r="H746" s="152"/>
      <c r="I746" s="152"/>
      <c r="J746" s="152"/>
      <c r="K746" s="152"/>
      <c r="L746" s="152"/>
      <c r="M746" s="152"/>
      <c r="N746" s="152"/>
      <c r="O746" s="152"/>
      <c r="P746" s="152"/>
      <c r="Q746" s="152"/>
      <c r="R746" s="152"/>
      <c r="S746" s="152"/>
      <c r="T746" s="152"/>
      <c r="U746" s="152"/>
      <c r="V746" s="152"/>
      <c r="W746" s="152"/>
      <c r="X746" s="152"/>
      <c r="Y746" s="152"/>
      <c r="Z746" s="152"/>
    </row>
    <row r="747" ht="12.8" customHeight="1" spans="1:26">
      <c r="A747" s="176"/>
      <c r="B747" s="176"/>
      <c r="C747" s="176"/>
      <c r="D747" s="152"/>
      <c r="E747" s="152"/>
      <c r="F747" s="152"/>
      <c r="G747" s="152"/>
      <c r="H747" s="152"/>
      <c r="I747" s="152"/>
      <c r="J747" s="152"/>
      <c r="K747" s="152"/>
      <c r="L747" s="152"/>
      <c r="M747" s="152"/>
      <c r="N747" s="152"/>
      <c r="O747" s="152"/>
      <c r="P747" s="152"/>
      <c r="Q747" s="152"/>
      <c r="R747" s="152"/>
      <c r="S747" s="152"/>
      <c r="T747" s="152"/>
      <c r="U747" s="152"/>
      <c r="V747" s="152"/>
      <c r="W747" s="152"/>
      <c r="X747" s="152"/>
      <c r="Y747" s="152"/>
      <c r="Z747" s="152"/>
    </row>
    <row r="748" ht="12.8" customHeight="1" spans="1:26">
      <c r="A748" s="176"/>
      <c r="B748" s="176"/>
      <c r="C748" s="176"/>
      <c r="D748" s="152"/>
      <c r="E748" s="152"/>
      <c r="F748" s="152"/>
      <c r="G748" s="152"/>
      <c r="H748" s="152"/>
      <c r="I748" s="152"/>
      <c r="J748" s="152"/>
      <c r="K748" s="152"/>
      <c r="L748" s="152"/>
      <c r="M748" s="152"/>
      <c r="N748" s="152"/>
      <c r="O748" s="152"/>
      <c r="P748" s="152"/>
      <c r="Q748" s="152"/>
      <c r="R748" s="152"/>
      <c r="S748" s="152"/>
      <c r="T748" s="152"/>
      <c r="U748" s="152"/>
      <c r="V748" s="152"/>
      <c r="W748" s="152"/>
      <c r="X748" s="152"/>
      <c r="Y748" s="152"/>
      <c r="Z748" s="152"/>
    </row>
    <row r="749" ht="12.8" customHeight="1" spans="1:26">
      <c r="A749" s="176"/>
      <c r="B749" s="176"/>
      <c r="C749" s="176"/>
      <c r="D749" s="152"/>
      <c r="E749" s="152"/>
      <c r="F749" s="152"/>
      <c r="G749" s="152"/>
      <c r="H749" s="152"/>
      <c r="I749" s="152"/>
      <c r="J749" s="152"/>
      <c r="K749" s="152"/>
      <c r="L749" s="152"/>
      <c r="M749" s="152"/>
      <c r="N749" s="152"/>
      <c r="O749" s="152"/>
      <c r="P749" s="152"/>
      <c r="Q749" s="152"/>
      <c r="R749" s="152"/>
      <c r="S749" s="152"/>
      <c r="T749" s="152"/>
      <c r="U749" s="152"/>
      <c r="V749" s="152"/>
      <c r="W749" s="152"/>
      <c r="X749" s="152"/>
      <c r="Y749" s="152"/>
      <c r="Z749" s="152"/>
    </row>
    <row r="750" ht="12.8" customHeight="1" spans="1:26">
      <c r="A750" s="176"/>
      <c r="B750" s="176"/>
      <c r="C750" s="176"/>
      <c r="D750" s="152"/>
      <c r="E750" s="152"/>
      <c r="F750" s="152"/>
      <c r="G750" s="152"/>
      <c r="H750" s="152"/>
      <c r="I750" s="152"/>
      <c r="J750" s="152"/>
      <c r="K750" s="152"/>
      <c r="L750" s="152"/>
      <c r="M750" s="152"/>
      <c r="N750" s="152"/>
      <c r="O750" s="152"/>
      <c r="P750" s="152"/>
      <c r="Q750" s="152"/>
      <c r="R750" s="152"/>
      <c r="S750" s="152"/>
      <c r="T750" s="152"/>
      <c r="U750" s="152"/>
      <c r="V750" s="152"/>
      <c r="W750" s="152"/>
      <c r="X750" s="152"/>
      <c r="Y750" s="152"/>
      <c r="Z750" s="152"/>
    </row>
    <row r="751" ht="12.8" customHeight="1" spans="1:26">
      <c r="A751" s="176"/>
      <c r="B751" s="176"/>
      <c r="C751" s="176"/>
      <c r="D751" s="152"/>
      <c r="E751" s="152"/>
      <c r="F751" s="152"/>
      <c r="G751" s="152"/>
      <c r="H751" s="152"/>
      <c r="I751" s="152"/>
      <c r="J751" s="152"/>
      <c r="K751" s="152"/>
      <c r="L751" s="152"/>
      <c r="M751" s="152"/>
      <c r="N751" s="152"/>
      <c r="O751" s="152"/>
      <c r="P751" s="152"/>
      <c r="Q751" s="152"/>
      <c r="R751" s="152"/>
      <c r="S751" s="152"/>
      <c r="T751" s="152"/>
      <c r="U751" s="152"/>
      <c r="V751" s="152"/>
      <c r="W751" s="152"/>
      <c r="X751" s="152"/>
      <c r="Y751" s="152"/>
      <c r="Z751" s="152"/>
    </row>
    <row r="752" ht="12.8" customHeight="1" spans="1:26">
      <c r="A752" s="176"/>
      <c r="B752" s="176"/>
      <c r="C752" s="176"/>
      <c r="D752" s="152"/>
      <c r="E752" s="152"/>
      <c r="F752" s="152"/>
      <c r="G752" s="152"/>
      <c r="H752" s="152"/>
      <c r="I752" s="152"/>
      <c r="J752" s="152"/>
      <c r="K752" s="152"/>
      <c r="L752" s="152"/>
      <c r="M752" s="152"/>
      <c r="N752" s="152"/>
      <c r="O752" s="152"/>
      <c r="P752" s="152"/>
      <c r="Q752" s="152"/>
      <c r="R752" s="152"/>
      <c r="S752" s="152"/>
      <c r="T752" s="152"/>
      <c r="U752" s="152"/>
      <c r="V752" s="152"/>
      <c r="W752" s="152"/>
      <c r="X752" s="152"/>
      <c r="Y752" s="152"/>
      <c r="Z752" s="152"/>
    </row>
    <row r="753" ht="12.8" customHeight="1" spans="1:26">
      <c r="A753" s="176"/>
      <c r="B753" s="176"/>
      <c r="C753" s="176"/>
      <c r="D753" s="152"/>
      <c r="E753" s="152"/>
      <c r="F753" s="152"/>
      <c r="G753" s="152"/>
      <c r="H753" s="152"/>
      <c r="I753" s="152"/>
      <c r="J753" s="152"/>
      <c r="K753" s="152"/>
      <c r="L753" s="152"/>
      <c r="M753" s="152"/>
      <c r="N753" s="152"/>
      <c r="O753" s="152"/>
      <c r="P753" s="152"/>
      <c r="Q753" s="152"/>
      <c r="R753" s="152"/>
      <c r="S753" s="152"/>
      <c r="T753" s="152"/>
      <c r="U753" s="152"/>
      <c r="V753" s="152"/>
      <c r="W753" s="152"/>
      <c r="X753" s="152"/>
      <c r="Y753" s="152"/>
      <c r="Z753" s="152"/>
    </row>
    <row r="754" ht="12.8" customHeight="1" spans="1:26">
      <c r="A754" s="176"/>
      <c r="B754" s="176"/>
      <c r="C754" s="176"/>
      <c r="D754" s="152"/>
      <c r="E754" s="152"/>
      <c r="F754" s="152"/>
      <c r="G754" s="152"/>
      <c r="H754" s="152"/>
      <c r="I754" s="152"/>
      <c r="J754" s="152"/>
      <c r="K754" s="152"/>
      <c r="L754" s="152"/>
      <c r="M754" s="152"/>
      <c r="N754" s="152"/>
      <c r="O754" s="152"/>
      <c r="P754" s="152"/>
      <c r="Q754" s="152"/>
      <c r="R754" s="152"/>
      <c r="S754" s="152"/>
      <c r="T754" s="152"/>
      <c r="U754" s="152"/>
      <c r="V754" s="152"/>
      <c r="W754" s="152"/>
      <c r="X754" s="152"/>
      <c r="Y754" s="152"/>
      <c r="Z754" s="152"/>
    </row>
    <row r="755" ht="12.8" customHeight="1" spans="1:26">
      <c r="A755" s="176"/>
      <c r="B755" s="176"/>
      <c r="C755" s="176"/>
      <c r="D755" s="152"/>
      <c r="E755" s="152"/>
      <c r="F755" s="152"/>
      <c r="G755" s="152"/>
      <c r="H755" s="152"/>
      <c r="I755" s="152"/>
      <c r="J755" s="152"/>
      <c r="K755" s="152"/>
      <c r="L755" s="152"/>
      <c r="M755" s="152"/>
      <c r="N755" s="152"/>
      <c r="O755" s="152"/>
      <c r="P755" s="152"/>
      <c r="Q755" s="152"/>
      <c r="R755" s="152"/>
      <c r="S755" s="152"/>
      <c r="T755" s="152"/>
      <c r="U755" s="152"/>
      <c r="V755" s="152"/>
      <c r="W755" s="152"/>
      <c r="X755" s="152"/>
      <c r="Y755" s="152"/>
      <c r="Z755" s="152"/>
    </row>
    <row r="756" ht="12.8" customHeight="1" spans="1:26">
      <c r="A756" s="176"/>
      <c r="B756" s="176"/>
      <c r="C756" s="176"/>
      <c r="D756" s="152"/>
      <c r="E756" s="152"/>
      <c r="F756" s="152"/>
      <c r="G756" s="152"/>
      <c r="H756" s="152"/>
      <c r="I756" s="152"/>
      <c r="J756" s="152"/>
      <c r="K756" s="152"/>
      <c r="L756" s="152"/>
      <c r="M756" s="152"/>
      <c r="N756" s="152"/>
      <c r="O756" s="152"/>
      <c r="P756" s="152"/>
      <c r="Q756" s="152"/>
      <c r="R756" s="152"/>
      <c r="S756" s="152"/>
      <c r="T756" s="152"/>
      <c r="U756" s="152"/>
      <c r="V756" s="152"/>
      <c r="W756" s="152"/>
      <c r="X756" s="152"/>
      <c r="Y756" s="152"/>
      <c r="Z756" s="152"/>
    </row>
    <row r="757" ht="12.8" customHeight="1" spans="1:26">
      <c r="A757" s="176"/>
      <c r="B757" s="176"/>
      <c r="C757" s="176"/>
      <c r="D757" s="152"/>
      <c r="E757" s="152"/>
      <c r="F757" s="152"/>
      <c r="G757" s="152"/>
      <c r="H757" s="152"/>
      <c r="I757" s="152"/>
      <c r="J757" s="152"/>
      <c r="K757" s="152"/>
      <c r="L757" s="152"/>
      <c r="M757" s="152"/>
      <c r="N757" s="152"/>
      <c r="O757" s="152"/>
      <c r="P757" s="152"/>
      <c r="Q757" s="152"/>
      <c r="R757" s="152"/>
      <c r="S757" s="152"/>
      <c r="T757" s="152"/>
      <c r="U757" s="152"/>
      <c r="V757" s="152"/>
      <c r="W757" s="152"/>
      <c r="X757" s="152"/>
      <c r="Y757" s="152"/>
      <c r="Z757" s="152"/>
    </row>
    <row r="758" ht="12.8" customHeight="1" spans="1:26">
      <c r="A758" s="176"/>
      <c r="B758" s="176"/>
      <c r="C758" s="176"/>
      <c r="D758" s="152"/>
      <c r="E758" s="152"/>
      <c r="F758" s="152"/>
      <c r="G758" s="152"/>
      <c r="H758" s="152"/>
      <c r="I758" s="152"/>
      <c r="J758" s="152"/>
      <c r="K758" s="152"/>
      <c r="L758" s="152"/>
      <c r="M758" s="152"/>
      <c r="N758" s="152"/>
      <c r="O758" s="152"/>
      <c r="P758" s="152"/>
      <c r="Q758" s="152"/>
      <c r="R758" s="152"/>
      <c r="S758" s="152"/>
      <c r="T758" s="152"/>
      <c r="U758" s="152"/>
      <c r="V758" s="152"/>
      <c r="W758" s="152"/>
      <c r="X758" s="152"/>
      <c r="Y758" s="152"/>
      <c r="Z758" s="152"/>
    </row>
    <row r="759" ht="12.8" customHeight="1" spans="1:26">
      <c r="A759" s="176"/>
      <c r="B759" s="176"/>
      <c r="C759" s="176"/>
      <c r="D759" s="152"/>
      <c r="E759" s="152"/>
      <c r="F759" s="152"/>
      <c r="G759" s="152"/>
      <c r="H759" s="152"/>
      <c r="I759" s="152"/>
      <c r="J759" s="152"/>
      <c r="K759" s="152"/>
      <c r="L759" s="152"/>
      <c r="M759" s="152"/>
      <c r="N759" s="152"/>
      <c r="O759" s="152"/>
      <c r="P759" s="152"/>
      <c r="Q759" s="152"/>
      <c r="R759" s="152"/>
      <c r="S759" s="152"/>
      <c r="T759" s="152"/>
      <c r="U759" s="152"/>
      <c r="V759" s="152"/>
      <c r="W759" s="152"/>
      <c r="X759" s="152"/>
      <c r="Y759" s="152"/>
      <c r="Z759" s="152"/>
    </row>
    <row r="760" ht="12.8" customHeight="1" spans="1:26">
      <c r="A760" s="176"/>
      <c r="B760" s="176"/>
      <c r="C760" s="176"/>
      <c r="D760" s="152"/>
      <c r="E760" s="152"/>
      <c r="F760" s="152"/>
      <c r="G760" s="152"/>
      <c r="H760" s="152"/>
      <c r="I760" s="152"/>
      <c r="J760" s="152"/>
      <c r="K760" s="152"/>
      <c r="L760" s="152"/>
      <c r="M760" s="152"/>
      <c r="N760" s="152"/>
      <c r="O760" s="152"/>
      <c r="P760" s="152"/>
      <c r="Q760" s="152"/>
      <c r="R760" s="152"/>
      <c r="S760" s="152"/>
      <c r="T760" s="152"/>
      <c r="U760" s="152"/>
      <c r="V760" s="152"/>
      <c r="W760" s="152"/>
      <c r="X760" s="152"/>
      <c r="Y760" s="152"/>
      <c r="Z760" s="152"/>
    </row>
    <row r="761" ht="12.8" customHeight="1" spans="1:26">
      <c r="A761" s="176"/>
      <c r="B761" s="176"/>
      <c r="C761" s="176"/>
      <c r="D761" s="152"/>
      <c r="E761" s="152"/>
      <c r="F761" s="152"/>
      <c r="G761" s="152"/>
      <c r="H761" s="152"/>
      <c r="I761" s="152"/>
      <c r="J761" s="152"/>
      <c r="K761" s="152"/>
      <c r="L761" s="152"/>
      <c r="M761" s="152"/>
      <c r="N761" s="152"/>
      <c r="O761" s="152"/>
      <c r="P761" s="152"/>
      <c r="Q761" s="152"/>
      <c r="R761" s="152"/>
      <c r="S761" s="152"/>
      <c r="T761" s="152"/>
      <c r="U761" s="152"/>
      <c r="V761" s="152"/>
      <c r="W761" s="152"/>
      <c r="X761" s="152"/>
      <c r="Y761" s="152"/>
      <c r="Z761" s="152"/>
    </row>
    <row r="762" ht="12.8" customHeight="1" spans="1:26">
      <c r="A762" s="176"/>
      <c r="B762" s="176"/>
      <c r="C762" s="176"/>
      <c r="D762" s="152"/>
      <c r="E762" s="152"/>
      <c r="F762" s="152"/>
      <c r="G762" s="152"/>
      <c r="H762" s="152"/>
      <c r="I762" s="152"/>
      <c r="J762" s="152"/>
      <c r="K762" s="152"/>
      <c r="L762" s="152"/>
      <c r="M762" s="152"/>
      <c r="N762" s="152"/>
      <c r="O762" s="152"/>
      <c r="P762" s="152"/>
      <c r="Q762" s="152"/>
      <c r="R762" s="152"/>
      <c r="S762" s="152"/>
      <c r="T762" s="152"/>
      <c r="U762" s="152"/>
      <c r="V762" s="152"/>
      <c r="W762" s="152"/>
      <c r="X762" s="152"/>
      <c r="Y762" s="152"/>
      <c r="Z762" s="152"/>
    </row>
    <row r="763" ht="12.8" customHeight="1" spans="1:26">
      <c r="A763" s="176"/>
      <c r="B763" s="176"/>
      <c r="C763" s="176"/>
      <c r="D763" s="152"/>
      <c r="E763" s="152"/>
      <c r="F763" s="152"/>
      <c r="G763" s="152"/>
      <c r="H763" s="152"/>
      <c r="I763" s="152"/>
      <c r="J763" s="152"/>
      <c r="K763" s="152"/>
      <c r="L763" s="152"/>
      <c r="M763" s="152"/>
      <c r="N763" s="152"/>
      <c r="O763" s="152"/>
      <c r="P763" s="152"/>
      <c r="Q763" s="152"/>
      <c r="R763" s="152"/>
      <c r="S763" s="152"/>
      <c r="T763" s="152"/>
      <c r="U763" s="152"/>
      <c r="V763" s="152"/>
      <c r="W763" s="152"/>
      <c r="X763" s="152"/>
      <c r="Y763" s="152"/>
      <c r="Z763" s="152"/>
    </row>
    <row r="764" ht="12.8" customHeight="1" spans="1:26">
      <c r="A764" s="176"/>
      <c r="B764" s="176"/>
      <c r="C764" s="176"/>
      <c r="D764" s="152"/>
      <c r="E764" s="152"/>
      <c r="F764" s="152"/>
      <c r="G764" s="152"/>
      <c r="H764" s="152"/>
      <c r="I764" s="152"/>
      <c r="J764" s="152"/>
      <c r="K764" s="152"/>
      <c r="L764" s="152"/>
      <c r="M764" s="152"/>
      <c r="N764" s="152"/>
      <c r="O764" s="152"/>
      <c r="P764" s="152"/>
      <c r="Q764" s="152"/>
      <c r="R764" s="152"/>
      <c r="S764" s="152"/>
      <c r="T764" s="152"/>
      <c r="U764" s="152"/>
      <c r="V764" s="152"/>
      <c r="W764" s="152"/>
      <c r="X764" s="152"/>
      <c r="Y764" s="152"/>
      <c r="Z764" s="152"/>
    </row>
    <row r="765" ht="12.8" customHeight="1" spans="1:26">
      <c r="A765" s="176"/>
      <c r="B765" s="176"/>
      <c r="C765" s="176"/>
      <c r="D765" s="152"/>
      <c r="E765" s="152"/>
      <c r="F765" s="152"/>
      <c r="G765" s="152"/>
      <c r="H765" s="152"/>
      <c r="I765" s="152"/>
      <c r="J765" s="152"/>
      <c r="K765" s="152"/>
      <c r="L765" s="152"/>
      <c r="M765" s="152"/>
      <c r="N765" s="152"/>
      <c r="O765" s="152"/>
      <c r="P765" s="152"/>
      <c r="Q765" s="152"/>
      <c r="R765" s="152"/>
      <c r="S765" s="152"/>
      <c r="T765" s="152"/>
      <c r="U765" s="152"/>
      <c r="V765" s="152"/>
      <c r="W765" s="152"/>
      <c r="X765" s="152"/>
      <c r="Y765" s="152"/>
      <c r="Z765" s="152"/>
    </row>
    <row r="766" ht="12.8" customHeight="1" spans="1:26">
      <c r="A766" s="176"/>
      <c r="B766" s="176"/>
      <c r="C766" s="176"/>
      <c r="D766" s="152"/>
      <c r="E766" s="152"/>
      <c r="F766" s="152"/>
      <c r="G766" s="152"/>
      <c r="H766" s="152"/>
      <c r="I766" s="152"/>
      <c r="J766" s="152"/>
      <c r="K766" s="152"/>
      <c r="L766" s="152"/>
      <c r="M766" s="152"/>
      <c r="N766" s="152"/>
      <c r="O766" s="152"/>
      <c r="P766" s="152"/>
      <c r="Q766" s="152"/>
      <c r="R766" s="152"/>
      <c r="S766" s="152"/>
      <c r="T766" s="152"/>
      <c r="U766" s="152"/>
      <c r="V766" s="152"/>
      <c r="W766" s="152"/>
      <c r="X766" s="152"/>
      <c r="Y766" s="152"/>
      <c r="Z766" s="152"/>
    </row>
    <row r="767" ht="12.8" customHeight="1" spans="1:26">
      <c r="A767" s="176"/>
      <c r="B767" s="176"/>
      <c r="C767" s="176"/>
      <c r="D767" s="152"/>
      <c r="E767" s="152"/>
      <c r="F767" s="152"/>
      <c r="G767" s="152"/>
      <c r="H767" s="152"/>
      <c r="I767" s="152"/>
      <c r="J767" s="152"/>
      <c r="K767" s="152"/>
      <c r="L767" s="152"/>
      <c r="M767" s="152"/>
      <c r="N767" s="152"/>
      <c r="O767" s="152"/>
      <c r="P767" s="152"/>
      <c r="Q767" s="152"/>
      <c r="R767" s="152"/>
      <c r="S767" s="152"/>
      <c r="T767" s="152"/>
      <c r="U767" s="152"/>
      <c r="V767" s="152"/>
      <c r="W767" s="152"/>
      <c r="X767" s="152"/>
      <c r="Y767" s="152"/>
      <c r="Z767" s="152"/>
    </row>
    <row r="768" ht="12.8" customHeight="1" spans="1:26">
      <c r="A768" s="176"/>
      <c r="B768" s="176"/>
      <c r="C768" s="176"/>
      <c r="D768" s="152"/>
      <c r="E768" s="152"/>
      <c r="F768" s="152"/>
      <c r="G768" s="152"/>
      <c r="H768" s="152"/>
      <c r="I768" s="152"/>
      <c r="J768" s="152"/>
      <c r="K768" s="152"/>
      <c r="L768" s="152"/>
      <c r="M768" s="152"/>
      <c r="N768" s="152"/>
      <c r="O768" s="152"/>
      <c r="P768" s="152"/>
      <c r="Q768" s="152"/>
      <c r="R768" s="152"/>
      <c r="S768" s="152"/>
      <c r="T768" s="152"/>
      <c r="U768" s="152"/>
      <c r="V768" s="152"/>
      <c r="W768" s="152"/>
      <c r="X768" s="152"/>
      <c r="Y768" s="152"/>
      <c r="Z768" s="152"/>
    </row>
    <row r="769" ht="12.8" customHeight="1" spans="1:26">
      <c r="A769" s="176"/>
      <c r="B769" s="176"/>
      <c r="C769" s="176"/>
      <c r="D769" s="152"/>
      <c r="E769" s="152"/>
      <c r="F769" s="152"/>
      <c r="G769" s="152"/>
      <c r="H769" s="152"/>
      <c r="I769" s="152"/>
      <c r="J769" s="152"/>
      <c r="K769" s="152"/>
      <c r="L769" s="152"/>
      <c r="M769" s="152"/>
      <c r="N769" s="152"/>
      <c r="O769" s="152"/>
      <c r="P769" s="152"/>
      <c r="Q769" s="152"/>
      <c r="R769" s="152"/>
      <c r="S769" s="152"/>
      <c r="T769" s="152"/>
      <c r="U769" s="152"/>
      <c r="V769" s="152"/>
      <c r="W769" s="152"/>
      <c r="X769" s="152"/>
      <c r="Y769" s="152"/>
      <c r="Z769" s="152"/>
    </row>
    <row r="770" ht="12.8" customHeight="1" spans="1:26">
      <c r="A770" s="176"/>
      <c r="B770" s="176"/>
      <c r="C770" s="176"/>
      <c r="D770" s="152"/>
      <c r="E770" s="152"/>
      <c r="F770" s="152"/>
      <c r="G770" s="152"/>
      <c r="H770" s="152"/>
      <c r="I770" s="152"/>
      <c r="J770" s="152"/>
      <c r="K770" s="152"/>
      <c r="L770" s="152"/>
      <c r="M770" s="152"/>
      <c r="N770" s="152"/>
      <c r="O770" s="152"/>
      <c r="P770" s="152"/>
      <c r="Q770" s="152"/>
      <c r="R770" s="152"/>
      <c r="S770" s="152"/>
      <c r="T770" s="152"/>
      <c r="U770" s="152"/>
      <c r="V770" s="152"/>
      <c r="W770" s="152"/>
      <c r="X770" s="152"/>
      <c r="Y770" s="152"/>
      <c r="Z770" s="152"/>
    </row>
    <row r="771" ht="12.8" customHeight="1" spans="1:26">
      <c r="A771" s="176"/>
      <c r="B771" s="176"/>
      <c r="C771" s="176"/>
      <c r="D771" s="152"/>
      <c r="E771" s="152"/>
      <c r="F771" s="152"/>
      <c r="G771" s="152"/>
      <c r="H771" s="152"/>
      <c r="I771" s="152"/>
      <c r="J771" s="152"/>
      <c r="K771" s="152"/>
      <c r="L771" s="152"/>
      <c r="M771" s="152"/>
      <c r="N771" s="152"/>
      <c r="O771" s="152"/>
      <c r="P771" s="152"/>
      <c r="Q771" s="152"/>
      <c r="R771" s="152"/>
      <c r="S771" s="152"/>
      <c r="T771" s="152"/>
      <c r="U771" s="152"/>
      <c r="V771" s="152"/>
      <c r="W771" s="152"/>
      <c r="X771" s="152"/>
      <c r="Y771" s="152"/>
      <c r="Z771" s="152"/>
    </row>
    <row r="772" ht="12.8" customHeight="1" spans="1:26">
      <c r="A772" s="176"/>
      <c r="B772" s="176"/>
      <c r="C772" s="176"/>
      <c r="D772" s="152"/>
      <c r="E772" s="152"/>
      <c r="F772" s="152"/>
      <c r="G772" s="152"/>
      <c r="H772" s="152"/>
      <c r="I772" s="152"/>
      <c r="J772" s="152"/>
      <c r="K772" s="152"/>
      <c r="L772" s="152"/>
      <c r="M772" s="152"/>
      <c r="N772" s="152"/>
      <c r="O772" s="152"/>
      <c r="P772" s="152"/>
      <c r="Q772" s="152"/>
      <c r="R772" s="152"/>
      <c r="S772" s="152"/>
      <c r="T772" s="152"/>
      <c r="U772" s="152"/>
      <c r="V772" s="152"/>
      <c r="W772" s="152"/>
      <c r="X772" s="152"/>
      <c r="Y772" s="152"/>
      <c r="Z772" s="152"/>
    </row>
    <row r="773" ht="12.8" customHeight="1" spans="1:26">
      <c r="A773" s="176"/>
      <c r="B773" s="176"/>
      <c r="C773" s="176"/>
      <c r="D773" s="152"/>
      <c r="E773" s="152"/>
      <c r="F773" s="152"/>
      <c r="G773" s="152"/>
      <c r="H773" s="152"/>
      <c r="I773" s="152"/>
      <c r="J773" s="152"/>
      <c r="K773" s="152"/>
      <c r="L773" s="152"/>
      <c r="M773" s="152"/>
      <c r="N773" s="152"/>
      <c r="O773" s="152"/>
      <c r="P773" s="152"/>
      <c r="Q773" s="152"/>
      <c r="R773" s="152"/>
      <c r="S773" s="152"/>
      <c r="T773" s="152"/>
      <c r="U773" s="152"/>
      <c r="V773" s="152"/>
      <c r="W773" s="152"/>
      <c r="X773" s="152"/>
      <c r="Y773" s="152"/>
      <c r="Z773" s="152"/>
    </row>
    <row r="774" ht="12.8" customHeight="1" spans="1:26">
      <c r="A774" s="176"/>
      <c r="B774" s="176"/>
      <c r="C774" s="176"/>
      <c r="D774" s="152"/>
      <c r="E774" s="152"/>
      <c r="F774" s="152"/>
      <c r="G774" s="152"/>
      <c r="H774" s="152"/>
      <c r="I774" s="152"/>
      <c r="J774" s="152"/>
      <c r="K774" s="152"/>
      <c r="L774" s="152"/>
      <c r="M774" s="152"/>
      <c r="N774" s="152"/>
      <c r="O774" s="152"/>
      <c r="P774" s="152"/>
      <c r="Q774" s="152"/>
      <c r="R774" s="152"/>
      <c r="S774" s="152"/>
      <c r="T774" s="152"/>
      <c r="U774" s="152"/>
      <c r="V774" s="152"/>
      <c r="W774" s="152"/>
      <c r="X774" s="152"/>
      <c r="Y774" s="152"/>
      <c r="Z774" s="152"/>
    </row>
    <row r="775" ht="12.8" customHeight="1" spans="1:26">
      <c r="A775" s="176"/>
      <c r="B775" s="176"/>
      <c r="C775" s="176"/>
      <c r="D775" s="152"/>
      <c r="E775" s="152"/>
      <c r="F775" s="152"/>
      <c r="G775" s="152"/>
      <c r="H775" s="152"/>
      <c r="I775" s="152"/>
      <c r="J775" s="152"/>
      <c r="K775" s="152"/>
      <c r="L775" s="152"/>
      <c r="M775" s="152"/>
      <c r="N775" s="152"/>
      <c r="O775" s="152"/>
      <c r="P775" s="152"/>
      <c r="Q775" s="152"/>
      <c r="R775" s="152"/>
      <c r="S775" s="152"/>
      <c r="T775" s="152"/>
      <c r="U775" s="152"/>
      <c r="V775" s="152"/>
      <c r="W775" s="152"/>
      <c r="X775" s="152"/>
      <c r="Y775" s="152"/>
      <c r="Z775" s="152"/>
    </row>
    <row r="776" ht="12.8" customHeight="1" spans="1:26">
      <c r="A776" s="176"/>
      <c r="B776" s="176"/>
      <c r="C776" s="176"/>
      <c r="D776" s="152"/>
      <c r="E776" s="152"/>
      <c r="F776" s="152"/>
      <c r="G776" s="152"/>
      <c r="H776" s="152"/>
      <c r="I776" s="152"/>
      <c r="J776" s="152"/>
      <c r="K776" s="152"/>
      <c r="L776" s="152"/>
      <c r="M776" s="152"/>
      <c r="N776" s="152"/>
      <c r="O776" s="152"/>
      <c r="P776" s="152"/>
      <c r="Q776" s="152"/>
      <c r="R776" s="152"/>
      <c r="S776" s="152"/>
      <c r="T776" s="152"/>
      <c r="U776" s="152"/>
      <c r="V776" s="152"/>
      <c r="W776" s="152"/>
      <c r="X776" s="152"/>
      <c r="Y776" s="152"/>
      <c r="Z776" s="152"/>
    </row>
    <row r="777" ht="12.8" customHeight="1" spans="1:26">
      <c r="A777" s="176"/>
      <c r="B777" s="176"/>
      <c r="C777" s="176"/>
      <c r="D777" s="152"/>
      <c r="E777" s="152"/>
      <c r="F777" s="152"/>
      <c r="G777" s="152"/>
      <c r="H777" s="152"/>
      <c r="I777" s="152"/>
      <c r="J777" s="152"/>
      <c r="K777" s="152"/>
      <c r="L777" s="152"/>
      <c r="M777" s="152"/>
      <c r="N777" s="152"/>
      <c r="O777" s="152"/>
      <c r="P777" s="152"/>
      <c r="Q777" s="152"/>
      <c r="R777" s="152"/>
      <c r="S777" s="152"/>
      <c r="T777" s="152"/>
      <c r="U777" s="152"/>
      <c r="V777" s="152"/>
      <c r="W777" s="152"/>
      <c r="X777" s="152"/>
      <c r="Y777" s="152"/>
      <c r="Z777" s="152"/>
    </row>
    <row r="778" ht="12.8" customHeight="1" spans="1:26">
      <c r="A778" s="176"/>
      <c r="B778" s="176"/>
      <c r="C778" s="176"/>
      <c r="D778" s="152"/>
      <c r="E778" s="152"/>
      <c r="F778" s="152"/>
      <c r="G778" s="152"/>
      <c r="H778" s="152"/>
      <c r="I778" s="152"/>
      <c r="J778" s="152"/>
      <c r="K778" s="152"/>
      <c r="L778" s="152"/>
      <c r="M778" s="152"/>
      <c r="N778" s="152"/>
      <c r="O778" s="152"/>
      <c r="P778" s="152"/>
      <c r="Q778" s="152"/>
      <c r="R778" s="152"/>
      <c r="S778" s="152"/>
      <c r="T778" s="152"/>
      <c r="U778" s="152"/>
      <c r="V778" s="152"/>
      <c r="W778" s="152"/>
      <c r="X778" s="152"/>
      <c r="Y778" s="152"/>
      <c r="Z778" s="152"/>
    </row>
    <row r="779" ht="12.8" customHeight="1" spans="1:26">
      <c r="A779" s="176"/>
      <c r="B779" s="176"/>
      <c r="C779" s="176"/>
      <c r="D779" s="152"/>
      <c r="E779" s="152"/>
      <c r="F779" s="152"/>
      <c r="G779" s="152"/>
      <c r="H779" s="152"/>
      <c r="I779" s="152"/>
      <c r="J779" s="152"/>
      <c r="K779" s="152"/>
      <c r="L779" s="152"/>
      <c r="M779" s="152"/>
      <c r="N779" s="152"/>
      <c r="O779" s="152"/>
      <c r="P779" s="152"/>
      <c r="Q779" s="152"/>
      <c r="R779" s="152"/>
      <c r="S779" s="152"/>
      <c r="T779" s="152"/>
      <c r="U779" s="152"/>
      <c r="V779" s="152"/>
      <c r="W779" s="152"/>
      <c r="X779" s="152"/>
      <c r="Y779" s="152"/>
      <c r="Z779" s="152"/>
    </row>
    <row r="780" ht="12.8" customHeight="1" spans="1:26">
      <c r="A780" s="176"/>
      <c r="B780" s="176"/>
      <c r="C780" s="176"/>
      <c r="D780" s="152"/>
      <c r="E780" s="152"/>
      <c r="F780" s="152"/>
      <c r="G780" s="152"/>
      <c r="H780" s="152"/>
      <c r="I780" s="152"/>
      <c r="J780" s="152"/>
      <c r="K780" s="152"/>
      <c r="L780" s="152"/>
      <c r="M780" s="152"/>
      <c r="N780" s="152"/>
      <c r="O780" s="152"/>
      <c r="P780" s="152"/>
      <c r="Q780" s="152"/>
      <c r="R780" s="152"/>
      <c r="S780" s="152"/>
      <c r="T780" s="152"/>
      <c r="U780" s="152"/>
      <c r="V780" s="152"/>
      <c r="W780" s="152"/>
      <c r="X780" s="152"/>
      <c r="Y780" s="152"/>
      <c r="Z780" s="152"/>
    </row>
    <row r="781" ht="12.8" customHeight="1" spans="1:26">
      <c r="A781" s="176"/>
      <c r="B781" s="176"/>
      <c r="C781" s="176"/>
      <c r="D781" s="152"/>
      <c r="E781" s="152"/>
      <c r="F781" s="152"/>
      <c r="G781" s="152"/>
      <c r="H781" s="152"/>
      <c r="I781" s="152"/>
      <c r="J781" s="152"/>
      <c r="K781" s="152"/>
      <c r="L781" s="152"/>
      <c r="M781" s="152"/>
      <c r="N781" s="152"/>
      <c r="O781" s="152"/>
      <c r="P781" s="152"/>
      <c r="Q781" s="152"/>
      <c r="R781" s="152"/>
      <c r="S781" s="152"/>
      <c r="T781" s="152"/>
      <c r="U781" s="152"/>
      <c r="V781" s="152"/>
      <c r="W781" s="152"/>
      <c r="X781" s="152"/>
      <c r="Y781" s="152"/>
      <c r="Z781" s="152"/>
    </row>
    <row r="782" ht="12.8" customHeight="1" spans="1:26">
      <c r="A782" s="176"/>
      <c r="B782" s="176"/>
      <c r="C782" s="176"/>
      <c r="D782" s="152"/>
      <c r="E782" s="152"/>
      <c r="F782" s="152"/>
      <c r="G782" s="152"/>
      <c r="H782" s="152"/>
      <c r="I782" s="152"/>
      <c r="J782" s="152"/>
      <c r="K782" s="152"/>
      <c r="L782" s="152"/>
      <c r="M782" s="152"/>
      <c r="N782" s="152"/>
      <c r="O782" s="152"/>
      <c r="P782" s="152"/>
      <c r="Q782" s="152"/>
      <c r="R782" s="152"/>
      <c r="S782" s="152"/>
      <c r="T782" s="152"/>
      <c r="U782" s="152"/>
      <c r="V782" s="152"/>
      <c r="W782" s="152"/>
      <c r="X782" s="152"/>
      <c r="Y782" s="152"/>
      <c r="Z782" s="152"/>
    </row>
    <row r="783" ht="12.8" customHeight="1" spans="1:26">
      <c r="A783" s="176"/>
      <c r="B783" s="176"/>
      <c r="C783" s="176"/>
      <c r="D783" s="152"/>
      <c r="E783" s="152"/>
      <c r="F783" s="152"/>
      <c r="G783" s="152"/>
      <c r="H783" s="152"/>
      <c r="I783" s="152"/>
      <c r="J783" s="152"/>
      <c r="K783" s="152"/>
      <c r="L783" s="152"/>
      <c r="M783" s="152"/>
      <c r="N783" s="152"/>
      <c r="O783" s="152"/>
      <c r="P783" s="152"/>
      <c r="Q783" s="152"/>
      <c r="R783" s="152"/>
      <c r="S783" s="152"/>
      <c r="T783" s="152"/>
      <c r="U783" s="152"/>
      <c r="V783" s="152"/>
      <c r="W783" s="152"/>
      <c r="X783" s="152"/>
      <c r="Y783" s="152"/>
      <c r="Z783" s="152"/>
    </row>
    <row r="784" ht="12.8" customHeight="1" spans="1:26">
      <c r="A784" s="176"/>
      <c r="B784" s="176"/>
      <c r="C784" s="176"/>
      <c r="D784" s="152"/>
      <c r="E784" s="152"/>
      <c r="F784" s="152"/>
      <c r="G784" s="152"/>
      <c r="H784" s="152"/>
      <c r="I784" s="152"/>
      <c r="J784" s="152"/>
      <c r="K784" s="152"/>
      <c r="L784" s="152"/>
      <c r="M784" s="152"/>
      <c r="N784" s="152"/>
      <c r="O784" s="152"/>
      <c r="P784" s="152"/>
      <c r="Q784" s="152"/>
      <c r="R784" s="152"/>
      <c r="S784" s="152"/>
      <c r="T784" s="152"/>
      <c r="U784" s="152"/>
      <c r="V784" s="152"/>
      <c r="W784" s="152"/>
      <c r="X784" s="152"/>
      <c r="Y784" s="152"/>
      <c r="Z784" s="152"/>
    </row>
    <row r="785" ht="12.8" customHeight="1" spans="1:26">
      <c r="A785" s="176"/>
      <c r="B785" s="176"/>
      <c r="C785" s="176"/>
      <c r="D785" s="152"/>
      <c r="E785" s="152"/>
      <c r="F785" s="152"/>
      <c r="G785" s="152"/>
      <c r="H785" s="152"/>
      <c r="I785" s="152"/>
      <c r="J785" s="152"/>
      <c r="K785" s="152"/>
      <c r="L785" s="152"/>
      <c r="M785" s="152"/>
      <c r="N785" s="152"/>
      <c r="O785" s="152"/>
      <c r="P785" s="152"/>
      <c r="Q785" s="152"/>
      <c r="R785" s="152"/>
      <c r="S785" s="152"/>
      <c r="T785" s="152"/>
      <c r="U785" s="152"/>
      <c r="V785" s="152"/>
      <c r="W785" s="152"/>
      <c r="X785" s="152"/>
      <c r="Y785" s="152"/>
      <c r="Z785" s="152"/>
    </row>
    <row r="786" ht="12.8" customHeight="1" spans="1:26">
      <c r="A786" s="176"/>
      <c r="B786" s="176"/>
      <c r="C786" s="176"/>
      <c r="D786" s="152"/>
      <c r="E786" s="152"/>
      <c r="F786" s="152"/>
      <c r="G786" s="152"/>
      <c r="H786" s="152"/>
      <c r="I786" s="152"/>
      <c r="J786" s="152"/>
      <c r="K786" s="152"/>
      <c r="L786" s="152"/>
      <c r="M786" s="152"/>
      <c r="N786" s="152"/>
      <c r="O786" s="152"/>
      <c r="P786" s="152"/>
      <c r="Q786" s="152"/>
      <c r="R786" s="152"/>
      <c r="S786" s="152"/>
      <c r="T786" s="152"/>
      <c r="U786" s="152"/>
      <c r="V786" s="152"/>
      <c r="W786" s="152"/>
      <c r="X786" s="152"/>
      <c r="Y786" s="152"/>
      <c r="Z786" s="152"/>
    </row>
    <row r="787" ht="12.8" customHeight="1" spans="1:26">
      <c r="A787" s="176"/>
      <c r="B787" s="176"/>
      <c r="C787" s="176"/>
      <c r="D787" s="152"/>
      <c r="E787" s="152"/>
      <c r="F787" s="152"/>
      <c r="G787" s="152"/>
      <c r="H787" s="152"/>
      <c r="I787" s="152"/>
      <c r="J787" s="152"/>
      <c r="K787" s="152"/>
      <c r="L787" s="152"/>
      <c r="M787" s="152"/>
      <c r="N787" s="152"/>
      <c r="O787" s="152"/>
      <c r="P787" s="152"/>
      <c r="Q787" s="152"/>
      <c r="R787" s="152"/>
      <c r="S787" s="152"/>
      <c r="T787" s="152"/>
      <c r="U787" s="152"/>
      <c r="V787" s="152"/>
      <c r="W787" s="152"/>
      <c r="X787" s="152"/>
      <c r="Y787" s="152"/>
      <c r="Z787" s="152"/>
    </row>
    <row r="788" ht="12.8" customHeight="1" spans="1:26">
      <c r="A788" s="176"/>
      <c r="B788" s="176"/>
      <c r="C788" s="176"/>
      <c r="D788" s="152"/>
      <c r="E788" s="152"/>
      <c r="F788" s="152"/>
      <c r="G788" s="152"/>
      <c r="H788" s="152"/>
      <c r="I788" s="152"/>
      <c r="J788" s="152"/>
      <c r="K788" s="152"/>
      <c r="L788" s="152"/>
      <c r="M788" s="152"/>
      <c r="N788" s="152"/>
      <c r="O788" s="152"/>
      <c r="P788" s="152"/>
      <c r="Q788" s="152"/>
      <c r="R788" s="152"/>
      <c r="S788" s="152"/>
      <c r="T788" s="152"/>
      <c r="U788" s="152"/>
      <c r="V788" s="152"/>
      <c r="W788" s="152"/>
      <c r="X788" s="152"/>
      <c r="Y788" s="152"/>
      <c r="Z788" s="152"/>
    </row>
    <row r="789" ht="12.8" customHeight="1" spans="1:26">
      <c r="A789" s="176"/>
      <c r="B789" s="176"/>
      <c r="C789" s="176"/>
      <c r="D789" s="152"/>
      <c r="E789" s="152"/>
      <c r="F789" s="152"/>
      <c r="G789" s="152"/>
      <c r="H789" s="152"/>
      <c r="I789" s="152"/>
      <c r="J789" s="152"/>
      <c r="K789" s="152"/>
      <c r="L789" s="152"/>
      <c r="M789" s="152"/>
      <c r="N789" s="152"/>
      <c r="O789" s="152"/>
      <c r="P789" s="152"/>
      <c r="Q789" s="152"/>
      <c r="R789" s="152"/>
      <c r="S789" s="152"/>
      <c r="T789" s="152"/>
      <c r="U789" s="152"/>
      <c r="V789" s="152"/>
      <c r="W789" s="152"/>
      <c r="X789" s="152"/>
      <c r="Y789" s="152"/>
      <c r="Z789" s="152"/>
    </row>
    <row r="790" ht="12.8" customHeight="1" spans="1:26">
      <c r="A790" s="176"/>
      <c r="B790" s="176"/>
      <c r="C790" s="176"/>
      <c r="D790" s="152"/>
      <c r="E790" s="152"/>
      <c r="F790" s="152"/>
      <c r="G790" s="152"/>
      <c r="H790" s="152"/>
      <c r="I790" s="152"/>
      <c r="J790" s="152"/>
      <c r="K790" s="152"/>
      <c r="L790" s="152"/>
      <c r="M790" s="152"/>
      <c r="N790" s="152"/>
      <c r="O790" s="152"/>
      <c r="P790" s="152"/>
      <c r="Q790" s="152"/>
      <c r="R790" s="152"/>
      <c r="S790" s="152"/>
      <c r="T790" s="152"/>
      <c r="U790" s="152"/>
      <c r="V790" s="152"/>
      <c r="W790" s="152"/>
      <c r="X790" s="152"/>
      <c r="Y790" s="152"/>
      <c r="Z790" s="152"/>
    </row>
    <row r="791" ht="12.8" customHeight="1" spans="1:26">
      <c r="A791" s="176"/>
      <c r="B791" s="176"/>
      <c r="C791" s="176"/>
      <c r="D791" s="152"/>
      <c r="E791" s="152"/>
      <c r="F791" s="152"/>
      <c r="G791" s="152"/>
      <c r="H791" s="152"/>
      <c r="I791" s="152"/>
      <c r="J791" s="152"/>
      <c r="K791" s="152"/>
      <c r="L791" s="152"/>
      <c r="M791" s="152"/>
      <c r="N791" s="152"/>
      <c r="O791" s="152"/>
      <c r="P791" s="152"/>
      <c r="Q791" s="152"/>
      <c r="R791" s="152"/>
      <c r="S791" s="152"/>
      <c r="T791" s="152"/>
      <c r="U791" s="152"/>
      <c r="V791" s="152"/>
      <c r="W791" s="152"/>
      <c r="X791" s="152"/>
      <c r="Y791" s="152"/>
      <c r="Z791" s="152"/>
    </row>
    <row r="792" ht="12.8" customHeight="1" spans="1:26">
      <c r="A792" s="176"/>
      <c r="B792" s="176"/>
      <c r="C792" s="176"/>
      <c r="D792" s="152"/>
      <c r="E792" s="152"/>
      <c r="F792" s="152"/>
      <c r="G792" s="152"/>
      <c r="H792" s="152"/>
      <c r="I792" s="152"/>
      <c r="J792" s="152"/>
      <c r="K792" s="152"/>
      <c r="L792" s="152"/>
      <c r="M792" s="152"/>
      <c r="N792" s="152"/>
      <c r="O792" s="152"/>
      <c r="P792" s="152"/>
      <c r="Q792" s="152"/>
      <c r="R792" s="152"/>
      <c r="S792" s="152"/>
      <c r="T792" s="152"/>
      <c r="U792" s="152"/>
      <c r="V792" s="152"/>
      <c r="W792" s="152"/>
      <c r="X792" s="152"/>
      <c r="Y792" s="152"/>
      <c r="Z792" s="152"/>
    </row>
    <row r="793" ht="12.8" customHeight="1" spans="1:26">
      <c r="A793" s="176"/>
      <c r="B793" s="176"/>
      <c r="C793" s="176"/>
      <c r="D793" s="152"/>
      <c r="E793" s="152"/>
      <c r="F793" s="152"/>
      <c r="G793" s="152"/>
      <c r="H793" s="152"/>
      <c r="I793" s="152"/>
      <c r="J793" s="152"/>
      <c r="K793" s="152"/>
      <c r="L793" s="152"/>
      <c r="M793" s="152"/>
      <c r="N793" s="152"/>
      <c r="O793" s="152"/>
      <c r="P793" s="152"/>
      <c r="Q793" s="152"/>
      <c r="R793" s="152"/>
      <c r="S793" s="152"/>
      <c r="T793" s="152"/>
      <c r="U793" s="152"/>
      <c r="V793" s="152"/>
      <c r="W793" s="152"/>
      <c r="X793" s="152"/>
      <c r="Y793" s="152"/>
      <c r="Z793" s="152"/>
    </row>
    <row r="794" ht="12.8" customHeight="1" spans="1:26">
      <c r="A794" s="176"/>
      <c r="B794" s="176"/>
      <c r="C794" s="176"/>
      <c r="D794" s="152"/>
      <c r="E794" s="152"/>
      <c r="F794" s="152"/>
      <c r="G794" s="152"/>
      <c r="H794" s="152"/>
      <c r="I794" s="152"/>
      <c r="J794" s="152"/>
      <c r="K794" s="152"/>
      <c r="L794" s="152"/>
      <c r="M794" s="152"/>
      <c r="N794" s="152"/>
      <c r="O794" s="152"/>
      <c r="P794" s="152"/>
      <c r="Q794" s="152"/>
      <c r="R794" s="152"/>
      <c r="S794" s="152"/>
      <c r="T794" s="152"/>
      <c r="U794" s="152"/>
      <c r="V794" s="152"/>
      <c r="W794" s="152"/>
      <c r="X794" s="152"/>
      <c r="Y794" s="152"/>
      <c r="Z794" s="152"/>
    </row>
    <row r="795" ht="12.8" customHeight="1" spans="1:26">
      <c r="A795" s="176"/>
      <c r="B795" s="176"/>
      <c r="C795" s="176"/>
      <c r="D795" s="152"/>
      <c r="E795" s="152"/>
      <c r="F795" s="152"/>
      <c r="G795" s="152"/>
      <c r="H795" s="152"/>
      <c r="I795" s="152"/>
      <c r="J795" s="152"/>
      <c r="K795" s="152"/>
      <c r="L795" s="152"/>
      <c r="M795" s="152"/>
      <c r="N795" s="152"/>
      <c r="O795" s="152"/>
      <c r="P795" s="152"/>
      <c r="Q795" s="152"/>
      <c r="R795" s="152"/>
      <c r="S795" s="152"/>
      <c r="T795" s="152"/>
      <c r="U795" s="152"/>
      <c r="V795" s="152"/>
      <c r="W795" s="152"/>
      <c r="X795" s="152"/>
      <c r="Y795" s="152"/>
      <c r="Z795" s="152"/>
    </row>
    <row r="796" ht="12.8" customHeight="1" spans="1:26">
      <c r="A796" s="176"/>
      <c r="B796" s="176"/>
      <c r="C796" s="176"/>
      <c r="D796" s="152"/>
      <c r="E796" s="152"/>
      <c r="F796" s="152"/>
      <c r="G796" s="152"/>
      <c r="H796" s="152"/>
      <c r="I796" s="152"/>
      <c r="J796" s="152"/>
      <c r="K796" s="152"/>
      <c r="L796" s="152"/>
      <c r="M796" s="152"/>
      <c r="N796" s="152"/>
      <c r="O796" s="152"/>
      <c r="P796" s="152"/>
      <c r="Q796" s="152"/>
      <c r="R796" s="152"/>
      <c r="S796" s="152"/>
      <c r="T796" s="152"/>
      <c r="U796" s="152"/>
      <c r="V796" s="152"/>
      <c r="W796" s="152"/>
      <c r="X796" s="152"/>
      <c r="Y796" s="152"/>
      <c r="Z796" s="152"/>
    </row>
    <row r="797" ht="12.8" customHeight="1" spans="1:26">
      <c r="A797" s="176"/>
      <c r="B797" s="176"/>
      <c r="C797" s="176"/>
      <c r="D797" s="152"/>
      <c r="E797" s="152"/>
      <c r="F797" s="152"/>
      <c r="G797" s="152"/>
      <c r="H797" s="152"/>
      <c r="I797" s="152"/>
      <c r="J797" s="152"/>
      <c r="K797" s="152"/>
      <c r="L797" s="152"/>
      <c r="M797" s="152"/>
      <c r="N797" s="152"/>
      <c r="O797" s="152"/>
      <c r="P797" s="152"/>
      <c r="Q797" s="152"/>
      <c r="R797" s="152"/>
      <c r="S797" s="152"/>
      <c r="T797" s="152"/>
      <c r="U797" s="152"/>
      <c r="V797" s="152"/>
      <c r="W797" s="152"/>
      <c r="X797" s="152"/>
      <c r="Y797" s="152"/>
      <c r="Z797" s="152"/>
    </row>
    <row r="798" ht="12.8" customHeight="1" spans="1:26">
      <c r="A798" s="176"/>
      <c r="B798" s="176"/>
      <c r="C798" s="176"/>
      <c r="D798" s="152"/>
      <c r="E798" s="152"/>
      <c r="F798" s="152"/>
      <c r="G798" s="152"/>
      <c r="H798" s="152"/>
      <c r="I798" s="152"/>
      <c r="J798" s="152"/>
      <c r="K798" s="152"/>
      <c r="L798" s="152"/>
      <c r="M798" s="152"/>
      <c r="N798" s="152"/>
      <c r="O798" s="152"/>
      <c r="P798" s="152"/>
      <c r="Q798" s="152"/>
      <c r="R798" s="152"/>
      <c r="S798" s="152"/>
      <c r="T798" s="152"/>
      <c r="U798" s="152"/>
      <c r="V798" s="152"/>
      <c r="W798" s="152"/>
      <c r="X798" s="152"/>
      <c r="Y798" s="152"/>
      <c r="Z798" s="152"/>
    </row>
    <row r="799" ht="12.8" customHeight="1" spans="1:26">
      <c r="A799" s="176"/>
      <c r="B799" s="176"/>
      <c r="C799" s="176"/>
      <c r="D799" s="152"/>
      <c r="E799" s="152"/>
      <c r="F799" s="152"/>
      <c r="G799" s="152"/>
      <c r="H799" s="152"/>
      <c r="I799" s="152"/>
      <c r="J799" s="152"/>
      <c r="K799" s="152"/>
      <c r="L799" s="152"/>
      <c r="M799" s="152"/>
      <c r="N799" s="152"/>
      <c r="O799" s="152"/>
      <c r="P799" s="152"/>
      <c r="Q799" s="152"/>
      <c r="R799" s="152"/>
      <c r="S799" s="152"/>
      <c r="T799" s="152"/>
      <c r="U799" s="152"/>
      <c r="V799" s="152"/>
      <c r="W799" s="152"/>
      <c r="X799" s="152"/>
      <c r="Y799" s="152"/>
      <c r="Z799" s="152"/>
    </row>
    <row r="800" ht="12.8" customHeight="1" spans="1:26">
      <c r="A800" s="176"/>
      <c r="B800" s="176"/>
      <c r="C800" s="176"/>
      <c r="D800" s="152"/>
      <c r="E800" s="152"/>
      <c r="F800" s="152"/>
      <c r="G800" s="152"/>
      <c r="H800" s="152"/>
      <c r="I800" s="152"/>
      <c r="J800" s="152"/>
      <c r="K800" s="152"/>
      <c r="L800" s="152"/>
      <c r="M800" s="152"/>
      <c r="N800" s="152"/>
      <c r="O800" s="152"/>
      <c r="P800" s="152"/>
      <c r="Q800" s="152"/>
      <c r="R800" s="152"/>
      <c r="S800" s="152"/>
      <c r="T800" s="152"/>
      <c r="U800" s="152"/>
      <c r="V800" s="152"/>
      <c r="W800" s="152"/>
      <c r="X800" s="152"/>
      <c r="Y800" s="152"/>
      <c r="Z800" s="152"/>
    </row>
    <row r="801" ht="12.8" customHeight="1" spans="1:26">
      <c r="A801" s="176"/>
      <c r="B801" s="176"/>
      <c r="C801" s="176"/>
      <c r="D801" s="152"/>
      <c r="E801" s="152"/>
      <c r="F801" s="152"/>
      <c r="G801" s="152"/>
      <c r="H801" s="152"/>
      <c r="I801" s="152"/>
      <c r="J801" s="152"/>
      <c r="K801" s="152"/>
      <c r="L801" s="152"/>
      <c r="M801" s="152"/>
      <c r="N801" s="152"/>
      <c r="O801" s="152"/>
      <c r="P801" s="152"/>
      <c r="Q801" s="152"/>
      <c r="R801" s="152"/>
      <c r="S801" s="152"/>
      <c r="T801" s="152"/>
      <c r="U801" s="152"/>
      <c r="V801" s="152"/>
      <c r="W801" s="152"/>
      <c r="X801" s="152"/>
      <c r="Y801" s="152"/>
      <c r="Z801" s="152"/>
    </row>
    <row r="802" ht="12.8" customHeight="1" spans="1:26">
      <c r="A802" s="176"/>
      <c r="B802" s="176"/>
      <c r="C802" s="176"/>
      <c r="D802" s="152"/>
      <c r="E802" s="152"/>
      <c r="F802" s="152"/>
      <c r="G802" s="152"/>
      <c r="H802" s="152"/>
      <c r="I802" s="152"/>
      <c r="J802" s="152"/>
      <c r="K802" s="152"/>
      <c r="L802" s="152"/>
      <c r="M802" s="152"/>
      <c r="N802" s="152"/>
      <c r="O802" s="152"/>
      <c r="P802" s="152"/>
      <c r="Q802" s="152"/>
      <c r="R802" s="152"/>
      <c r="S802" s="152"/>
      <c r="T802" s="152"/>
      <c r="U802" s="152"/>
      <c r="V802" s="152"/>
      <c r="W802" s="152"/>
      <c r="X802" s="152"/>
      <c r="Y802" s="152"/>
      <c r="Z802" s="152"/>
    </row>
    <row r="803" ht="12.8" customHeight="1" spans="1:26">
      <c r="A803" s="176"/>
      <c r="B803" s="176"/>
      <c r="C803" s="176"/>
      <c r="D803" s="152"/>
      <c r="E803" s="152"/>
      <c r="F803" s="152"/>
      <c r="G803" s="152"/>
      <c r="H803" s="152"/>
      <c r="I803" s="152"/>
      <c r="J803" s="152"/>
      <c r="K803" s="152"/>
      <c r="L803" s="152"/>
      <c r="M803" s="152"/>
      <c r="N803" s="152"/>
      <c r="O803" s="152"/>
      <c r="P803" s="152"/>
      <c r="Q803" s="152"/>
      <c r="R803" s="152"/>
      <c r="S803" s="152"/>
      <c r="T803" s="152"/>
      <c r="U803" s="152"/>
      <c r="V803" s="152"/>
      <c r="W803" s="152"/>
      <c r="X803" s="152"/>
      <c r="Y803" s="152"/>
      <c r="Z803" s="152"/>
    </row>
    <row r="804" ht="12.8" customHeight="1" spans="1:26">
      <c r="A804" s="176"/>
      <c r="B804" s="176"/>
      <c r="C804" s="176"/>
      <c r="D804" s="152"/>
      <c r="E804" s="152"/>
      <c r="F804" s="152"/>
      <c r="G804" s="152"/>
      <c r="H804" s="152"/>
      <c r="I804" s="152"/>
      <c r="J804" s="152"/>
      <c r="K804" s="152"/>
      <c r="L804" s="152"/>
      <c r="M804" s="152"/>
      <c r="N804" s="152"/>
      <c r="O804" s="152"/>
      <c r="P804" s="152"/>
      <c r="Q804" s="152"/>
      <c r="R804" s="152"/>
      <c r="S804" s="152"/>
      <c r="T804" s="152"/>
      <c r="U804" s="152"/>
      <c r="V804" s="152"/>
      <c r="W804" s="152"/>
      <c r="X804" s="152"/>
      <c r="Y804" s="152"/>
      <c r="Z804" s="152"/>
    </row>
    <row r="805" ht="12.8" customHeight="1" spans="1:26">
      <c r="A805" s="176"/>
      <c r="B805" s="176"/>
      <c r="C805" s="176"/>
      <c r="D805" s="152"/>
      <c r="E805" s="152"/>
      <c r="F805" s="152"/>
      <c r="G805" s="152"/>
      <c r="H805" s="152"/>
      <c r="I805" s="152"/>
      <c r="J805" s="152"/>
      <c r="K805" s="152"/>
      <c r="L805" s="152"/>
      <c r="M805" s="152"/>
      <c r="N805" s="152"/>
      <c r="O805" s="152"/>
      <c r="P805" s="152"/>
      <c r="Q805" s="152"/>
      <c r="R805" s="152"/>
      <c r="S805" s="152"/>
      <c r="T805" s="152"/>
      <c r="U805" s="152"/>
      <c r="V805" s="152"/>
      <c r="W805" s="152"/>
      <c r="X805" s="152"/>
      <c r="Y805" s="152"/>
      <c r="Z805" s="152"/>
    </row>
    <row r="806" ht="12.8" customHeight="1" spans="1:26">
      <c r="A806" s="176"/>
      <c r="B806" s="176"/>
      <c r="C806" s="176"/>
      <c r="D806" s="152"/>
      <c r="E806" s="152"/>
      <c r="F806" s="152"/>
      <c r="G806" s="152"/>
      <c r="H806" s="152"/>
      <c r="I806" s="152"/>
      <c r="J806" s="152"/>
      <c r="K806" s="152"/>
      <c r="L806" s="152"/>
      <c r="M806" s="152"/>
      <c r="N806" s="152"/>
      <c r="O806" s="152"/>
      <c r="P806" s="152"/>
      <c r="Q806" s="152"/>
      <c r="R806" s="152"/>
      <c r="S806" s="152"/>
      <c r="T806" s="152"/>
      <c r="U806" s="152"/>
      <c r="V806" s="152"/>
      <c r="W806" s="152"/>
      <c r="X806" s="152"/>
      <c r="Y806" s="152"/>
      <c r="Z806" s="152"/>
    </row>
    <row r="807" ht="12.8" customHeight="1" spans="1:26">
      <c r="A807" s="176"/>
      <c r="B807" s="176"/>
      <c r="C807" s="176"/>
      <c r="D807" s="152"/>
      <c r="E807" s="152"/>
      <c r="F807" s="152"/>
      <c r="G807" s="152"/>
      <c r="H807" s="152"/>
      <c r="I807" s="152"/>
      <c r="J807" s="152"/>
      <c r="K807" s="152"/>
      <c r="L807" s="152"/>
      <c r="M807" s="152"/>
      <c r="N807" s="152"/>
      <c r="O807" s="152"/>
      <c r="P807" s="152"/>
      <c r="Q807" s="152"/>
      <c r="R807" s="152"/>
      <c r="S807" s="152"/>
      <c r="T807" s="152"/>
      <c r="U807" s="152"/>
      <c r="V807" s="152"/>
      <c r="W807" s="152"/>
      <c r="X807" s="152"/>
      <c r="Y807" s="152"/>
      <c r="Z807" s="152"/>
    </row>
    <row r="808" ht="12.8" customHeight="1" spans="1:26">
      <c r="A808" s="176"/>
      <c r="B808" s="176"/>
      <c r="C808" s="176"/>
      <c r="D808" s="152"/>
      <c r="E808" s="152"/>
      <c r="F808" s="152"/>
      <c r="G808" s="152"/>
      <c r="H808" s="152"/>
      <c r="I808" s="152"/>
      <c r="J808" s="152"/>
      <c r="K808" s="152"/>
      <c r="L808" s="152"/>
      <c r="M808" s="152"/>
      <c r="N808" s="152"/>
      <c r="O808" s="152"/>
      <c r="P808" s="152"/>
      <c r="Q808" s="152"/>
      <c r="R808" s="152"/>
      <c r="S808" s="152"/>
      <c r="T808" s="152"/>
      <c r="U808" s="152"/>
      <c r="V808" s="152"/>
      <c r="W808" s="152"/>
      <c r="X808" s="152"/>
      <c r="Y808" s="152"/>
      <c r="Z808" s="152"/>
    </row>
    <row r="809" ht="12.8" customHeight="1" spans="1:26">
      <c r="A809" s="176"/>
      <c r="B809" s="176"/>
      <c r="C809" s="176"/>
      <c r="D809" s="152"/>
      <c r="E809" s="152"/>
      <c r="F809" s="152"/>
      <c r="G809" s="152"/>
      <c r="H809" s="152"/>
      <c r="I809" s="152"/>
      <c r="J809" s="152"/>
      <c r="K809" s="152"/>
      <c r="L809" s="152"/>
      <c r="M809" s="152"/>
      <c r="N809" s="152"/>
      <c r="O809" s="152"/>
      <c r="P809" s="152"/>
      <c r="Q809" s="152"/>
      <c r="R809" s="152"/>
      <c r="S809" s="152"/>
      <c r="T809" s="152"/>
      <c r="U809" s="152"/>
      <c r="V809" s="152"/>
      <c r="W809" s="152"/>
      <c r="X809" s="152"/>
      <c r="Y809" s="152"/>
      <c r="Z809" s="152"/>
    </row>
    <row r="810" ht="12.8" customHeight="1" spans="1:26">
      <c r="A810" s="176"/>
      <c r="B810" s="176"/>
      <c r="C810" s="176"/>
      <c r="D810" s="152"/>
      <c r="E810" s="152"/>
      <c r="F810" s="152"/>
      <c r="G810" s="152"/>
      <c r="H810" s="152"/>
      <c r="I810" s="152"/>
      <c r="J810" s="152"/>
      <c r="K810" s="152"/>
      <c r="L810" s="152"/>
      <c r="M810" s="152"/>
      <c r="N810" s="152"/>
      <c r="O810" s="152"/>
      <c r="P810" s="152"/>
      <c r="Q810" s="152"/>
      <c r="R810" s="152"/>
      <c r="S810" s="152"/>
      <c r="T810" s="152"/>
      <c r="U810" s="152"/>
      <c r="V810" s="152"/>
      <c r="W810" s="152"/>
      <c r="X810" s="152"/>
      <c r="Y810" s="152"/>
      <c r="Z810" s="152"/>
    </row>
    <row r="811" ht="12.8" customHeight="1" spans="1:26">
      <c r="A811" s="176"/>
      <c r="B811" s="176"/>
      <c r="C811" s="176"/>
      <c r="D811" s="152"/>
      <c r="E811" s="152"/>
      <c r="F811" s="152"/>
      <c r="G811" s="152"/>
      <c r="H811" s="152"/>
      <c r="I811" s="152"/>
      <c r="J811" s="152"/>
      <c r="K811" s="152"/>
      <c r="L811" s="152"/>
      <c r="M811" s="152"/>
      <c r="N811" s="152"/>
      <c r="O811" s="152"/>
      <c r="P811" s="152"/>
      <c r="Q811" s="152"/>
      <c r="R811" s="152"/>
      <c r="S811" s="152"/>
      <c r="T811" s="152"/>
      <c r="U811" s="152"/>
      <c r="V811" s="152"/>
      <c r="W811" s="152"/>
      <c r="X811" s="152"/>
      <c r="Y811" s="152"/>
      <c r="Z811" s="152"/>
    </row>
    <row r="812" ht="12.8" customHeight="1" spans="1:26">
      <c r="A812" s="176"/>
      <c r="B812" s="176"/>
      <c r="C812" s="176"/>
      <c r="D812" s="152"/>
      <c r="E812" s="152"/>
      <c r="F812" s="152"/>
      <c r="G812" s="152"/>
      <c r="H812" s="152"/>
      <c r="I812" s="152"/>
      <c r="J812" s="152"/>
      <c r="K812" s="152"/>
      <c r="L812" s="152"/>
      <c r="M812" s="152"/>
      <c r="N812" s="152"/>
      <c r="O812" s="152"/>
      <c r="P812" s="152"/>
      <c r="Q812" s="152"/>
      <c r="R812" s="152"/>
      <c r="S812" s="152"/>
      <c r="T812" s="152"/>
      <c r="U812" s="152"/>
      <c r="V812" s="152"/>
      <c r="W812" s="152"/>
      <c r="X812" s="152"/>
      <c r="Y812" s="152"/>
      <c r="Z812" s="152"/>
    </row>
    <row r="813" ht="12.8" customHeight="1" spans="1:26">
      <c r="A813" s="176"/>
      <c r="B813" s="176"/>
      <c r="C813" s="176"/>
      <c r="D813" s="152"/>
      <c r="E813" s="152"/>
      <c r="F813" s="152"/>
      <c r="G813" s="152"/>
      <c r="H813" s="152"/>
      <c r="I813" s="152"/>
      <c r="J813" s="152"/>
      <c r="K813" s="152"/>
      <c r="L813" s="152"/>
      <c r="M813" s="152"/>
      <c r="N813" s="152"/>
      <c r="O813" s="152"/>
      <c r="P813" s="152"/>
      <c r="Q813" s="152"/>
      <c r="R813" s="152"/>
      <c r="S813" s="152"/>
      <c r="T813" s="152"/>
      <c r="U813" s="152"/>
      <c r="V813" s="152"/>
      <c r="W813" s="152"/>
      <c r="X813" s="152"/>
      <c r="Y813" s="152"/>
      <c r="Z813" s="152"/>
    </row>
    <row r="814" ht="12.8" customHeight="1" spans="1:26">
      <c r="A814" s="176"/>
      <c r="B814" s="176"/>
      <c r="C814" s="176"/>
      <c r="D814" s="152"/>
      <c r="E814" s="152"/>
      <c r="F814" s="152"/>
      <c r="G814" s="152"/>
      <c r="H814" s="152"/>
      <c r="I814" s="152"/>
      <c r="J814" s="152"/>
      <c r="K814" s="152"/>
      <c r="L814" s="152"/>
      <c r="M814" s="152"/>
      <c r="N814" s="152"/>
      <c r="O814" s="152"/>
      <c r="P814" s="152"/>
      <c r="Q814" s="152"/>
      <c r="R814" s="152"/>
      <c r="S814" s="152"/>
      <c r="T814" s="152"/>
      <c r="U814" s="152"/>
      <c r="V814" s="152"/>
      <c r="W814" s="152"/>
      <c r="X814" s="152"/>
      <c r="Y814" s="152"/>
      <c r="Z814" s="152"/>
    </row>
    <row r="815" ht="12.8" customHeight="1" spans="1:26">
      <c r="A815" s="176"/>
      <c r="B815" s="176"/>
      <c r="C815" s="176"/>
      <c r="D815" s="152"/>
      <c r="E815" s="152"/>
      <c r="F815" s="152"/>
      <c r="G815" s="152"/>
      <c r="H815" s="152"/>
      <c r="I815" s="152"/>
      <c r="J815" s="152"/>
      <c r="K815" s="152"/>
      <c r="L815" s="152"/>
      <c r="M815" s="152"/>
      <c r="N815" s="152"/>
      <c r="O815" s="152"/>
      <c r="P815" s="152"/>
      <c r="Q815" s="152"/>
      <c r="R815" s="152"/>
      <c r="S815" s="152"/>
      <c r="T815" s="152"/>
      <c r="U815" s="152"/>
      <c r="V815" s="152"/>
      <c r="W815" s="152"/>
      <c r="X815" s="152"/>
      <c r="Y815" s="152"/>
      <c r="Z815" s="152"/>
    </row>
    <row r="816" ht="12.8" customHeight="1" spans="1:26">
      <c r="A816" s="176"/>
      <c r="B816" s="176"/>
      <c r="C816" s="176"/>
      <c r="D816" s="152"/>
      <c r="E816" s="152"/>
      <c r="F816" s="152"/>
      <c r="G816" s="152"/>
      <c r="H816" s="152"/>
      <c r="I816" s="152"/>
      <c r="J816" s="152"/>
      <c r="K816" s="152"/>
      <c r="L816" s="152"/>
      <c r="M816" s="152"/>
      <c r="N816" s="152"/>
      <c r="O816" s="152"/>
      <c r="P816" s="152"/>
      <c r="Q816" s="152"/>
      <c r="R816" s="152"/>
      <c r="S816" s="152"/>
      <c r="T816" s="152"/>
      <c r="U816" s="152"/>
      <c r="V816" s="152"/>
      <c r="W816" s="152"/>
      <c r="X816" s="152"/>
      <c r="Y816" s="152"/>
      <c r="Z816" s="152"/>
    </row>
    <row r="817" ht="12.8" customHeight="1" spans="1:26">
      <c r="A817" s="176"/>
      <c r="B817" s="176"/>
      <c r="C817" s="176"/>
      <c r="D817" s="152"/>
      <c r="E817" s="152"/>
      <c r="F817" s="152"/>
      <c r="G817" s="152"/>
      <c r="H817" s="152"/>
      <c r="I817" s="152"/>
      <c r="J817" s="152"/>
      <c r="K817" s="152"/>
      <c r="L817" s="152"/>
      <c r="M817" s="152"/>
      <c r="N817" s="152"/>
      <c r="O817" s="152"/>
      <c r="P817" s="152"/>
      <c r="Q817" s="152"/>
      <c r="R817" s="152"/>
      <c r="S817" s="152"/>
      <c r="T817" s="152"/>
      <c r="U817" s="152"/>
      <c r="V817" s="152"/>
      <c r="W817" s="152"/>
      <c r="X817" s="152"/>
      <c r="Y817" s="152"/>
      <c r="Z817" s="152"/>
    </row>
    <row r="818" ht="12.8" customHeight="1" spans="1:26">
      <c r="A818" s="176"/>
      <c r="B818" s="176"/>
      <c r="C818" s="176"/>
      <c r="D818" s="152"/>
      <c r="E818" s="152"/>
      <c r="F818" s="152"/>
      <c r="G818" s="152"/>
      <c r="H818" s="152"/>
      <c r="I818" s="152"/>
      <c r="J818" s="152"/>
      <c r="K818" s="152"/>
      <c r="L818" s="152"/>
      <c r="M818" s="152"/>
      <c r="N818" s="152"/>
      <c r="O818" s="152"/>
      <c r="P818" s="152"/>
      <c r="Q818" s="152"/>
      <c r="R818" s="152"/>
      <c r="S818" s="152"/>
      <c r="T818" s="152"/>
      <c r="U818" s="152"/>
      <c r="V818" s="152"/>
      <c r="W818" s="152"/>
      <c r="X818" s="152"/>
      <c r="Y818" s="152"/>
      <c r="Z818" s="152"/>
    </row>
    <row r="819" ht="12.8" customHeight="1" spans="1:26">
      <c r="A819" s="176"/>
      <c r="B819" s="176"/>
      <c r="C819" s="176"/>
      <c r="D819" s="152"/>
      <c r="E819" s="152"/>
      <c r="F819" s="152"/>
      <c r="G819" s="152"/>
      <c r="H819" s="152"/>
      <c r="I819" s="152"/>
      <c r="J819" s="152"/>
      <c r="K819" s="152"/>
      <c r="L819" s="152"/>
      <c r="M819" s="152"/>
      <c r="N819" s="152"/>
      <c r="O819" s="152"/>
      <c r="P819" s="152"/>
      <c r="Q819" s="152"/>
      <c r="R819" s="152"/>
      <c r="S819" s="152"/>
      <c r="T819" s="152"/>
      <c r="U819" s="152"/>
      <c r="V819" s="152"/>
      <c r="W819" s="152"/>
      <c r="X819" s="152"/>
      <c r="Y819" s="152"/>
      <c r="Z819" s="152"/>
    </row>
    <row r="820" ht="12.8" customHeight="1" spans="1:26">
      <c r="A820" s="176"/>
      <c r="B820" s="176"/>
      <c r="C820" s="176"/>
      <c r="D820" s="152"/>
      <c r="E820" s="152"/>
      <c r="F820" s="152"/>
      <c r="G820" s="152"/>
      <c r="H820" s="152"/>
      <c r="I820" s="152"/>
      <c r="J820" s="152"/>
      <c r="K820" s="152"/>
      <c r="L820" s="152"/>
      <c r="M820" s="152"/>
      <c r="N820" s="152"/>
      <c r="O820" s="152"/>
      <c r="P820" s="152"/>
      <c r="Q820" s="152"/>
      <c r="R820" s="152"/>
      <c r="S820" s="152"/>
      <c r="T820" s="152"/>
      <c r="U820" s="152"/>
      <c r="V820" s="152"/>
      <c r="W820" s="152"/>
      <c r="X820" s="152"/>
      <c r="Y820" s="152"/>
      <c r="Z820" s="152"/>
    </row>
    <row r="821" ht="12.8" customHeight="1" spans="1:26">
      <c r="A821" s="176"/>
      <c r="B821" s="176"/>
      <c r="C821" s="176"/>
      <c r="D821" s="152"/>
      <c r="E821" s="152"/>
      <c r="F821" s="152"/>
      <c r="G821" s="152"/>
      <c r="H821" s="152"/>
      <c r="I821" s="152"/>
      <c r="J821" s="152"/>
      <c r="K821" s="152"/>
      <c r="L821" s="152"/>
      <c r="M821" s="152"/>
      <c r="N821" s="152"/>
      <c r="O821" s="152"/>
      <c r="P821" s="152"/>
      <c r="Q821" s="152"/>
      <c r="R821" s="152"/>
      <c r="S821" s="152"/>
      <c r="T821" s="152"/>
      <c r="U821" s="152"/>
      <c r="V821" s="152"/>
      <c r="W821" s="152"/>
      <c r="X821" s="152"/>
      <c r="Y821" s="152"/>
      <c r="Z821" s="152"/>
    </row>
    <row r="822" ht="12.8" customHeight="1" spans="1:26">
      <c r="A822" s="176"/>
      <c r="B822" s="176"/>
      <c r="C822" s="176"/>
      <c r="D822" s="152"/>
      <c r="E822" s="152"/>
      <c r="F822" s="152"/>
      <c r="G822" s="152"/>
      <c r="H822" s="152"/>
      <c r="I822" s="152"/>
      <c r="J822" s="152"/>
      <c r="K822" s="152"/>
      <c r="L822" s="152"/>
      <c r="M822" s="152"/>
      <c r="N822" s="152"/>
      <c r="O822" s="152"/>
      <c r="P822" s="152"/>
      <c r="Q822" s="152"/>
      <c r="R822" s="152"/>
      <c r="S822" s="152"/>
      <c r="T822" s="152"/>
      <c r="U822" s="152"/>
      <c r="V822" s="152"/>
      <c r="W822" s="152"/>
      <c r="X822" s="152"/>
      <c r="Y822" s="152"/>
      <c r="Z822" s="152"/>
    </row>
    <row r="823" ht="12.8" customHeight="1" spans="1:26">
      <c r="A823" s="176"/>
      <c r="B823" s="176"/>
      <c r="C823" s="176"/>
      <c r="D823" s="152"/>
      <c r="E823" s="152"/>
      <c r="F823" s="152"/>
      <c r="G823" s="152"/>
      <c r="H823" s="152"/>
      <c r="I823" s="152"/>
      <c r="J823" s="152"/>
      <c r="K823" s="152"/>
      <c r="L823" s="152"/>
      <c r="M823" s="152"/>
      <c r="N823" s="152"/>
      <c r="O823" s="152"/>
      <c r="P823" s="152"/>
      <c r="Q823" s="152"/>
      <c r="R823" s="152"/>
      <c r="S823" s="152"/>
      <c r="T823" s="152"/>
      <c r="U823" s="152"/>
      <c r="V823" s="152"/>
      <c r="W823" s="152"/>
      <c r="X823" s="152"/>
      <c r="Y823" s="152"/>
      <c r="Z823" s="152"/>
    </row>
    <row r="824" ht="12.8" customHeight="1" spans="1:26">
      <c r="A824" s="176"/>
      <c r="B824" s="176"/>
      <c r="C824" s="176"/>
      <c r="D824" s="152"/>
      <c r="E824" s="152"/>
      <c r="F824" s="152"/>
      <c r="G824" s="152"/>
      <c r="H824" s="152"/>
      <c r="I824" s="152"/>
      <c r="J824" s="152"/>
      <c r="K824" s="152"/>
      <c r="L824" s="152"/>
      <c r="M824" s="152"/>
      <c r="N824" s="152"/>
      <c r="O824" s="152"/>
      <c r="P824" s="152"/>
      <c r="Q824" s="152"/>
      <c r="R824" s="152"/>
      <c r="S824" s="152"/>
      <c r="T824" s="152"/>
      <c r="U824" s="152"/>
      <c r="V824" s="152"/>
      <c r="W824" s="152"/>
      <c r="X824" s="152"/>
      <c r="Y824" s="152"/>
      <c r="Z824" s="152"/>
    </row>
    <row r="825" ht="12.8" customHeight="1" spans="1:26">
      <c r="A825" s="176"/>
      <c r="B825" s="176"/>
      <c r="C825" s="176"/>
      <c r="D825" s="152"/>
      <c r="E825" s="152"/>
      <c r="F825" s="152"/>
      <c r="G825" s="152"/>
      <c r="H825" s="152"/>
      <c r="I825" s="152"/>
      <c r="J825" s="152"/>
      <c r="K825" s="152"/>
      <c r="L825" s="152"/>
      <c r="M825" s="152"/>
      <c r="N825" s="152"/>
      <c r="O825" s="152"/>
      <c r="P825" s="152"/>
      <c r="Q825" s="152"/>
      <c r="R825" s="152"/>
      <c r="S825" s="152"/>
      <c r="T825" s="152"/>
      <c r="U825" s="152"/>
      <c r="V825" s="152"/>
      <c r="W825" s="152"/>
      <c r="X825" s="152"/>
      <c r="Y825" s="152"/>
      <c r="Z825" s="152"/>
    </row>
    <row r="826" ht="12.8" customHeight="1" spans="1:26">
      <c r="A826" s="176"/>
      <c r="B826" s="176"/>
      <c r="C826" s="176"/>
      <c r="D826" s="152"/>
      <c r="E826" s="152"/>
      <c r="F826" s="152"/>
      <c r="G826" s="152"/>
      <c r="H826" s="152"/>
      <c r="I826" s="152"/>
      <c r="J826" s="152"/>
      <c r="K826" s="152"/>
      <c r="L826" s="152"/>
      <c r="M826" s="152"/>
      <c r="N826" s="152"/>
      <c r="O826" s="152"/>
      <c r="P826" s="152"/>
      <c r="Q826" s="152"/>
      <c r="R826" s="152"/>
      <c r="S826" s="152"/>
      <c r="T826" s="152"/>
      <c r="U826" s="152"/>
      <c r="V826" s="152"/>
      <c r="W826" s="152"/>
      <c r="X826" s="152"/>
      <c r="Y826" s="152"/>
      <c r="Z826" s="152"/>
    </row>
    <row r="827" ht="12.8" customHeight="1" spans="1:26">
      <c r="A827" s="176"/>
      <c r="B827" s="176"/>
      <c r="C827" s="176"/>
      <c r="D827" s="152"/>
      <c r="E827" s="152"/>
      <c r="F827" s="152"/>
      <c r="G827" s="152"/>
      <c r="H827" s="152"/>
      <c r="I827" s="152"/>
      <c r="J827" s="152"/>
      <c r="K827" s="152"/>
      <c r="L827" s="152"/>
      <c r="M827" s="152"/>
      <c r="N827" s="152"/>
      <c r="O827" s="152"/>
      <c r="P827" s="152"/>
      <c r="Q827" s="152"/>
      <c r="R827" s="152"/>
      <c r="S827" s="152"/>
      <c r="T827" s="152"/>
      <c r="U827" s="152"/>
      <c r="V827" s="152"/>
      <c r="W827" s="152"/>
      <c r="X827" s="152"/>
      <c r="Y827" s="152"/>
      <c r="Z827" s="152"/>
    </row>
    <row r="828" ht="12.8" customHeight="1" spans="1:26">
      <c r="A828" s="176"/>
      <c r="B828" s="176"/>
      <c r="C828" s="176"/>
      <c r="D828" s="152"/>
      <c r="E828" s="152"/>
      <c r="F828" s="152"/>
      <c r="G828" s="152"/>
      <c r="H828" s="152"/>
      <c r="I828" s="152"/>
      <c r="J828" s="152"/>
      <c r="K828" s="152"/>
      <c r="L828" s="152"/>
      <c r="M828" s="152"/>
      <c r="N828" s="152"/>
      <c r="O828" s="152"/>
      <c r="P828" s="152"/>
      <c r="Q828" s="152"/>
      <c r="R828" s="152"/>
      <c r="S828" s="152"/>
      <c r="T828" s="152"/>
      <c r="U828" s="152"/>
      <c r="V828" s="152"/>
      <c r="W828" s="152"/>
      <c r="X828" s="152"/>
      <c r="Y828" s="152"/>
      <c r="Z828" s="152"/>
    </row>
    <row r="829" ht="12.8" customHeight="1" spans="1:26">
      <c r="A829" s="176"/>
      <c r="B829" s="176"/>
      <c r="C829" s="176"/>
      <c r="D829" s="152"/>
      <c r="E829" s="152"/>
      <c r="F829" s="152"/>
      <c r="G829" s="152"/>
      <c r="H829" s="152"/>
      <c r="I829" s="152"/>
      <c r="J829" s="152"/>
      <c r="K829" s="152"/>
      <c r="L829" s="152"/>
      <c r="M829" s="152"/>
      <c r="N829" s="152"/>
      <c r="O829" s="152"/>
      <c r="P829" s="152"/>
      <c r="Q829" s="152"/>
      <c r="R829" s="152"/>
      <c r="S829" s="152"/>
      <c r="T829" s="152"/>
      <c r="U829" s="152"/>
      <c r="V829" s="152"/>
      <c r="W829" s="152"/>
      <c r="X829" s="152"/>
      <c r="Y829" s="152"/>
      <c r="Z829" s="152"/>
    </row>
    <row r="830" ht="12.8" customHeight="1" spans="1:26">
      <c r="A830" s="176"/>
      <c r="B830" s="176"/>
      <c r="C830" s="176"/>
      <c r="D830" s="152"/>
      <c r="E830" s="152"/>
      <c r="F830" s="152"/>
      <c r="G830" s="152"/>
      <c r="H830" s="152"/>
      <c r="I830" s="152"/>
      <c r="J830" s="152"/>
      <c r="K830" s="152"/>
      <c r="L830" s="152"/>
      <c r="M830" s="152"/>
      <c r="N830" s="152"/>
      <c r="O830" s="152"/>
      <c r="P830" s="152"/>
      <c r="Q830" s="152"/>
      <c r="R830" s="152"/>
      <c r="S830" s="152"/>
      <c r="T830" s="152"/>
      <c r="U830" s="152"/>
      <c r="V830" s="152"/>
      <c r="W830" s="152"/>
      <c r="X830" s="152"/>
      <c r="Y830" s="152"/>
      <c r="Z830" s="152"/>
    </row>
    <row r="831" ht="12.8" customHeight="1" spans="1:26">
      <c r="A831" s="176"/>
      <c r="B831" s="176"/>
      <c r="C831" s="176"/>
      <c r="D831" s="152"/>
      <c r="E831" s="152"/>
      <c r="F831" s="152"/>
      <c r="G831" s="152"/>
      <c r="H831" s="152"/>
      <c r="I831" s="152"/>
      <c r="J831" s="152"/>
      <c r="K831" s="152"/>
      <c r="L831" s="152"/>
      <c r="M831" s="152"/>
      <c r="N831" s="152"/>
      <c r="O831" s="152"/>
      <c r="P831" s="152"/>
      <c r="Q831" s="152"/>
      <c r="R831" s="152"/>
      <c r="S831" s="152"/>
      <c r="T831" s="152"/>
      <c r="U831" s="152"/>
      <c r="V831" s="152"/>
      <c r="W831" s="152"/>
      <c r="X831" s="152"/>
      <c r="Y831" s="152"/>
      <c r="Z831" s="152"/>
    </row>
    <row r="832" ht="12.8" customHeight="1" spans="1:26">
      <c r="A832" s="176"/>
      <c r="B832" s="176"/>
      <c r="C832" s="176"/>
      <c r="D832" s="152"/>
      <c r="E832" s="152"/>
      <c r="F832" s="152"/>
      <c r="G832" s="152"/>
      <c r="H832" s="152"/>
      <c r="I832" s="152"/>
      <c r="J832" s="152"/>
      <c r="K832" s="152"/>
      <c r="L832" s="152"/>
      <c r="M832" s="152"/>
      <c r="N832" s="152"/>
      <c r="O832" s="152"/>
      <c r="P832" s="152"/>
      <c r="Q832" s="152"/>
      <c r="R832" s="152"/>
      <c r="S832" s="152"/>
      <c r="T832" s="152"/>
      <c r="U832" s="152"/>
      <c r="V832" s="152"/>
      <c r="W832" s="152"/>
      <c r="X832" s="152"/>
      <c r="Y832" s="152"/>
      <c r="Z832" s="152"/>
    </row>
    <row r="833" ht="12.8" customHeight="1" spans="1:26">
      <c r="A833" s="176"/>
      <c r="B833" s="176"/>
      <c r="C833" s="176"/>
      <c r="D833" s="152"/>
      <c r="E833" s="152"/>
      <c r="F833" s="152"/>
      <c r="G833" s="152"/>
      <c r="H833" s="152"/>
      <c r="I833" s="152"/>
      <c r="J833" s="152"/>
      <c r="K833" s="152"/>
      <c r="L833" s="152"/>
      <c r="M833" s="152"/>
      <c r="N833" s="152"/>
      <c r="O833" s="152"/>
      <c r="P833" s="152"/>
      <c r="Q833" s="152"/>
      <c r="R833" s="152"/>
      <c r="S833" s="152"/>
      <c r="T833" s="152"/>
      <c r="U833" s="152"/>
      <c r="V833" s="152"/>
      <c r="W833" s="152"/>
      <c r="X833" s="152"/>
      <c r="Y833" s="152"/>
      <c r="Z833" s="152"/>
    </row>
    <row r="834" ht="12.8" customHeight="1" spans="1:26">
      <c r="A834" s="176"/>
      <c r="B834" s="176"/>
      <c r="C834" s="176"/>
      <c r="D834" s="152"/>
      <c r="E834" s="152"/>
      <c r="F834" s="152"/>
      <c r="G834" s="152"/>
      <c r="H834" s="152"/>
      <c r="I834" s="152"/>
      <c r="J834" s="152"/>
      <c r="K834" s="152"/>
      <c r="L834" s="152"/>
      <c r="M834" s="152"/>
      <c r="N834" s="152"/>
      <c r="O834" s="152"/>
      <c r="P834" s="152"/>
      <c r="Q834" s="152"/>
      <c r="R834" s="152"/>
      <c r="S834" s="152"/>
      <c r="T834" s="152"/>
      <c r="U834" s="152"/>
      <c r="V834" s="152"/>
      <c r="W834" s="152"/>
      <c r="X834" s="152"/>
      <c r="Y834" s="152"/>
      <c r="Z834" s="152"/>
    </row>
    <row r="835" ht="12.8" customHeight="1" spans="1:26">
      <c r="A835" s="176"/>
      <c r="B835" s="176"/>
      <c r="C835" s="176"/>
      <c r="D835" s="152"/>
      <c r="E835" s="152"/>
      <c r="F835" s="152"/>
      <c r="G835" s="152"/>
      <c r="H835" s="152"/>
      <c r="I835" s="152"/>
      <c r="J835" s="152"/>
      <c r="K835" s="152"/>
      <c r="L835" s="152"/>
      <c r="M835" s="152"/>
      <c r="N835" s="152"/>
      <c r="O835" s="152"/>
      <c r="P835" s="152"/>
      <c r="Q835" s="152"/>
      <c r="R835" s="152"/>
      <c r="S835" s="152"/>
      <c r="T835" s="152"/>
      <c r="U835" s="152"/>
      <c r="V835" s="152"/>
      <c r="W835" s="152"/>
      <c r="X835" s="152"/>
      <c r="Y835" s="152"/>
      <c r="Z835" s="152"/>
    </row>
    <row r="836" ht="12.8" customHeight="1" spans="1:26">
      <c r="A836" s="176"/>
      <c r="B836" s="176"/>
      <c r="C836" s="176"/>
      <c r="D836" s="152"/>
      <c r="E836" s="152"/>
      <c r="F836" s="152"/>
      <c r="G836" s="152"/>
      <c r="H836" s="152"/>
      <c r="I836" s="152"/>
      <c r="J836" s="152"/>
      <c r="K836" s="152"/>
      <c r="L836" s="152"/>
      <c r="M836" s="152"/>
      <c r="N836" s="152"/>
      <c r="O836" s="152"/>
      <c r="P836" s="152"/>
      <c r="Q836" s="152"/>
      <c r="R836" s="152"/>
      <c r="S836" s="152"/>
      <c r="T836" s="152"/>
      <c r="U836" s="152"/>
      <c r="V836" s="152"/>
      <c r="W836" s="152"/>
      <c r="X836" s="152"/>
      <c r="Y836" s="152"/>
      <c r="Z836" s="152"/>
    </row>
    <row r="837" ht="12.8" customHeight="1" spans="1:26">
      <c r="A837" s="176"/>
      <c r="B837" s="176"/>
      <c r="C837" s="176"/>
      <c r="D837" s="152"/>
      <c r="E837" s="152"/>
      <c r="F837" s="152"/>
      <c r="G837" s="152"/>
      <c r="H837" s="152"/>
      <c r="I837" s="152"/>
      <c r="J837" s="152"/>
      <c r="K837" s="152"/>
      <c r="L837" s="152"/>
      <c r="M837" s="152"/>
      <c r="N837" s="152"/>
      <c r="O837" s="152"/>
      <c r="P837" s="152"/>
      <c r="Q837" s="152"/>
      <c r="R837" s="152"/>
      <c r="S837" s="152"/>
      <c r="T837" s="152"/>
      <c r="U837" s="152"/>
      <c r="V837" s="152"/>
      <c r="W837" s="152"/>
      <c r="X837" s="152"/>
      <c r="Y837" s="152"/>
      <c r="Z837" s="152"/>
    </row>
    <row r="838" ht="12.8" customHeight="1" spans="1:26">
      <c r="A838" s="176"/>
      <c r="B838" s="176"/>
      <c r="C838" s="176"/>
      <c r="D838" s="152"/>
      <c r="E838" s="152"/>
      <c r="F838" s="152"/>
      <c r="G838" s="152"/>
      <c r="H838" s="152"/>
      <c r="I838" s="152"/>
      <c r="J838" s="152"/>
      <c r="K838" s="152"/>
      <c r="L838" s="152"/>
      <c r="M838" s="152"/>
      <c r="N838" s="152"/>
      <c r="O838" s="152"/>
      <c r="P838" s="152"/>
      <c r="Q838" s="152"/>
      <c r="R838" s="152"/>
      <c r="S838" s="152"/>
      <c r="T838" s="152"/>
      <c r="U838" s="152"/>
      <c r="V838" s="152"/>
      <c r="W838" s="152"/>
      <c r="X838" s="152"/>
      <c r="Y838" s="152"/>
      <c r="Z838" s="152"/>
    </row>
    <row r="839" ht="12.8" customHeight="1" spans="1:26">
      <c r="A839" s="176"/>
      <c r="B839" s="176"/>
      <c r="C839" s="176"/>
      <c r="D839" s="152"/>
      <c r="E839" s="152"/>
      <c r="F839" s="152"/>
      <c r="G839" s="152"/>
      <c r="H839" s="152"/>
      <c r="I839" s="152"/>
      <c r="J839" s="152"/>
      <c r="K839" s="152"/>
      <c r="L839" s="152"/>
      <c r="M839" s="152"/>
      <c r="N839" s="152"/>
      <c r="O839" s="152"/>
      <c r="P839" s="152"/>
      <c r="Q839" s="152"/>
      <c r="R839" s="152"/>
      <c r="S839" s="152"/>
      <c r="T839" s="152"/>
      <c r="U839" s="152"/>
      <c r="V839" s="152"/>
      <c r="W839" s="152"/>
      <c r="X839" s="152"/>
      <c r="Y839" s="152"/>
      <c r="Z839" s="152"/>
    </row>
    <row r="840" ht="12.8" customHeight="1" spans="1:26">
      <c r="A840" s="176"/>
      <c r="B840" s="176"/>
      <c r="C840" s="176"/>
      <c r="D840" s="152"/>
      <c r="E840" s="152"/>
      <c r="F840" s="152"/>
      <c r="G840" s="152"/>
      <c r="H840" s="152"/>
      <c r="I840" s="152"/>
      <c r="J840" s="152"/>
      <c r="K840" s="152"/>
      <c r="L840" s="152"/>
      <c r="M840" s="152"/>
      <c r="N840" s="152"/>
      <c r="O840" s="152"/>
      <c r="P840" s="152"/>
      <c r="Q840" s="152"/>
      <c r="R840" s="152"/>
      <c r="S840" s="152"/>
      <c r="T840" s="152"/>
      <c r="U840" s="152"/>
      <c r="V840" s="152"/>
      <c r="W840" s="152"/>
      <c r="X840" s="152"/>
      <c r="Y840" s="152"/>
      <c r="Z840" s="152"/>
    </row>
    <row r="841" ht="12.8" customHeight="1" spans="1:26">
      <c r="A841" s="176"/>
      <c r="B841" s="176"/>
      <c r="C841" s="176"/>
      <c r="D841" s="152"/>
      <c r="E841" s="152"/>
      <c r="F841" s="152"/>
      <c r="G841" s="152"/>
      <c r="H841" s="152"/>
      <c r="I841" s="152"/>
      <c r="J841" s="152"/>
      <c r="K841" s="152"/>
      <c r="L841" s="152"/>
      <c r="M841" s="152"/>
      <c r="N841" s="152"/>
      <c r="O841" s="152"/>
      <c r="P841" s="152"/>
      <c r="Q841" s="152"/>
      <c r="R841" s="152"/>
      <c r="S841" s="152"/>
      <c r="T841" s="152"/>
      <c r="U841" s="152"/>
      <c r="V841" s="152"/>
      <c r="W841" s="152"/>
      <c r="X841" s="152"/>
      <c r="Y841" s="152"/>
      <c r="Z841" s="152"/>
    </row>
    <row r="842" ht="12.8" customHeight="1" spans="1:26">
      <c r="A842" s="176"/>
      <c r="B842" s="176"/>
      <c r="C842" s="176"/>
      <c r="D842" s="152"/>
      <c r="E842" s="152"/>
      <c r="F842" s="152"/>
      <c r="G842" s="152"/>
      <c r="H842" s="152"/>
      <c r="I842" s="152"/>
      <c r="J842" s="152"/>
      <c r="K842" s="152"/>
      <c r="L842" s="152"/>
      <c r="M842" s="152"/>
      <c r="N842" s="152"/>
      <c r="O842" s="152"/>
      <c r="P842" s="152"/>
      <c r="Q842" s="152"/>
      <c r="R842" s="152"/>
      <c r="S842" s="152"/>
      <c r="T842" s="152"/>
      <c r="U842" s="152"/>
      <c r="V842" s="152"/>
      <c r="W842" s="152"/>
      <c r="X842" s="152"/>
      <c r="Y842" s="152"/>
      <c r="Z842" s="152"/>
    </row>
    <row r="843" ht="12.8" customHeight="1" spans="1:26">
      <c r="A843" s="176"/>
      <c r="B843" s="176"/>
      <c r="C843" s="176"/>
      <c r="D843" s="152"/>
      <c r="E843" s="152"/>
      <c r="F843" s="152"/>
      <c r="G843" s="152"/>
      <c r="H843" s="152"/>
      <c r="I843" s="152"/>
      <c r="J843" s="152"/>
      <c r="K843" s="152"/>
      <c r="L843" s="152"/>
      <c r="M843" s="152"/>
      <c r="N843" s="152"/>
      <c r="O843" s="152"/>
      <c r="P843" s="152"/>
      <c r="Q843" s="152"/>
      <c r="R843" s="152"/>
      <c r="S843" s="152"/>
      <c r="T843" s="152"/>
      <c r="U843" s="152"/>
      <c r="V843" s="152"/>
      <c r="W843" s="152"/>
      <c r="X843" s="152"/>
      <c r="Y843" s="152"/>
      <c r="Z843" s="152"/>
    </row>
    <row r="844" ht="12.8" customHeight="1" spans="1:26">
      <c r="A844" s="176"/>
      <c r="B844" s="176"/>
      <c r="C844" s="176"/>
      <c r="D844" s="152"/>
      <c r="E844" s="152"/>
      <c r="F844" s="152"/>
      <c r="G844" s="152"/>
      <c r="H844" s="152"/>
      <c r="I844" s="152"/>
      <c r="J844" s="152"/>
      <c r="K844" s="152"/>
      <c r="L844" s="152"/>
      <c r="M844" s="152"/>
      <c r="N844" s="152"/>
      <c r="O844" s="152"/>
      <c r="P844" s="152"/>
      <c r="Q844" s="152"/>
      <c r="R844" s="152"/>
      <c r="S844" s="152"/>
      <c r="T844" s="152"/>
      <c r="U844" s="152"/>
      <c r="V844" s="152"/>
      <c r="W844" s="152"/>
      <c r="X844" s="152"/>
      <c r="Y844" s="152"/>
      <c r="Z844" s="152"/>
    </row>
    <row r="845" ht="12.8" customHeight="1" spans="1:26">
      <c r="A845" s="176"/>
      <c r="B845" s="176"/>
      <c r="C845" s="176"/>
      <c r="D845" s="152"/>
      <c r="E845" s="152"/>
      <c r="F845" s="152"/>
      <c r="G845" s="152"/>
      <c r="H845" s="152"/>
      <c r="I845" s="152"/>
      <c r="J845" s="152"/>
      <c r="K845" s="152"/>
      <c r="L845" s="152"/>
      <c r="M845" s="152"/>
      <c r="N845" s="152"/>
      <c r="O845" s="152"/>
      <c r="P845" s="152"/>
      <c r="Q845" s="152"/>
      <c r="R845" s="152"/>
      <c r="S845" s="152"/>
      <c r="T845" s="152"/>
      <c r="U845" s="152"/>
      <c r="V845" s="152"/>
      <c r="W845" s="152"/>
      <c r="X845" s="152"/>
      <c r="Y845" s="152"/>
      <c r="Z845" s="152"/>
    </row>
    <row r="846" ht="12.8" customHeight="1" spans="1:26">
      <c r="A846" s="176"/>
      <c r="B846" s="176"/>
      <c r="C846" s="176"/>
      <c r="D846" s="152"/>
      <c r="E846" s="152"/>
      <c r="F846" s="152"/>
      <c r="G846" s="152"/>
      <c r="H846" s="152"/>
      <c r="I846" s="152"/>
      <c r="J846" s="152"/>
      <c r="K846" s="152"/>
      <c r="L846" s="152"/>
      <c r="M846" s="152"/>
      <c r="N846" s="152"/>
      <c r="O846" s="152"/>
      <c r="P846" s="152"/>
      <c r="Q846" s="152"/>
      <c r="R846" s="152"/>
      <c r="S846" s="152"/>
      <c r="T846" s="152"/>
      <c r="U846" s="152"/>
      <c r="V846" s="152"/>
      <c r="W846" s="152"/>
      <c r="X846" s="152"/>
      <c r="Y846" s="152"/>
      <c r="Z846" s="152"/>
    </row>
    <row r="847" ht="12.8" customHeight="1" spans="1:26">
      <c r="A847" s="176"/>
      <c r="B847" s="176"/>
      <c r="C847" s="176"/>
      <c r="D847" s="152"/>
      <c r="E847" s="152"/>
      <c r="F847" s="152"/>
      <c r="G847" s="152"/>
      <c r="H847" s="152"/>
      <c r="I847" s="152"/>
      <c r="J847" s="152"/>
      <c r="K847" s="152"/>
      <c r="L847" s="152"/>
      <c r="M847" s="152"/>
      <c r="N847" s="152"/>
      <c r="O847" s="152"/>
      <c r="P847" s="152"/>
      <c r="Q847" s="152"/>
      <c r="R847" s="152"/>
      <c r="S847" s="152"/>
      <c r="T847" s="152"/>
      <c r="U847" s="152"/>
      <c r="V847" s="152"/>
      <c r="W847" s="152"/>
      <c r="X847" s="152"/>
      <c r="Y847" s="152"/>
      <c r="Z847" s="152"/>
    </row>
    <row r="848" ht="12.8" customHeight="1" spans="1:26">
      <c r="A848" s="176"/>
      <c r="B848" s="176"/>
      <c r="C848" s="176"/>
      <c r="D848" s="152"/>
      <c r="E848" s="152"/>
      <c r="F848" s="152"/>
      <c r="G848" s="152"/>
      <c r="H848" s="152"/>
      <c r="I848" s="152"/>
      <c r="J848" s="152"/>
      <c r="K848" s="152"/>
      <c r="L848" s="152"/>
      <c r="M848" s="152"/>
      <c r="N848" s="152"/>
      <c r="O848" s="152"/>
      <c r="P848" s="152"/>
      <c r="Q848" s="152"/>
      <c r="R848" s="152"/>
      <c r="S848" s="152"/>
      <c r="T848" s="152"/>
      <c r="U848" s="152"/>
      <c r="V848" s="152"/>
      <c r="W848" s="152"/>
      <c r="X848" s="152"/>
      <c r="Y848" s="152"/>
      <c r="Z848" s="152"/>
    </row>
    <row r="849" ht="12.8" customHeight="1" spans="1:26">
      <c r="A849" s="176"/>
      <c r="B849" s="176"/>
      <c r="C849" s="176"/>
      <c r="D849" s="152"/>
      <c r="E849" s="152"/>
      <c r="F849" s="152"/>
      <c r="G849" s="152"/>
      <c r="H849" s="152"/>
      <c r="I849" s="152"/>
      <c r="J849" s="152"/>
      <c r="K849" s="152"/>
      <c r="L849" s="152"/>
      <c r="M849" s="152"/>
      <c r="N849" s="152"/>
      <c r="O849" s="152"/>
      <c r="P849" s="152"/>
      <c r="Q849" s="152"/>
      <c r="R849" s="152"/>
      <c r="S849" s="152"/>
      <c r="T849" s="152"/>
      <c r="U849" s="152"/>
      <c r="V849" s="152"/>
      <c r="W849" s="152"/>
      <c r="X849" s="152"/>
      <c r="Y849" s="152"/>
      <c r="Z849" s="152"/>
    </row>
    <row r="850" ht="12.8" customHeight="1" spans="1:26">
      <c r="A850" s="176"/>
      <c r="B850" s="176"/>
      <c r="C850" s="176"/>
      <c r="D850" s="152"/>
      <c r="E850" s="152"/>
      <c r="F850" s="152"/>
      <c r="G850" s="152"/>
      <c r="H850" s="152"/>
      <c r="I850" s="152"/>
      <c r="J850" s="152"/>
      <c r="K850" s="152"/>
      <c r="L850" s="152"/>
      <c r="M850" s="152"/>
      <c r="N850" s="152"/>
      <c r="O850" s="152"/>
      <c r="P850" s="152"/>
      <c r="Q850" s="152"/>
      <c r="R850" s="152"/>
      <c r="S850" s="152"/>
      <c r="T850" s="152"/>
      <c r="U850" s="152"/>
      <c r="V850" s="152"/>
      <c r="W850" s="152"/>
      <c r="X850" s="152"/>
      <c r="Y850" s="152"/>
      <c r="Z850" s="152"/>
    </row>
    <row r="851" ht="12.8" customHeight="1" spans="1:26">
      <c r="A851" s="176"/>
      <c r="B851" s="176"/>
      <c r="C851" s="176"/>
      <c r="D851" s="152"/>
      <c r="E851" s="152"/>
      <c r="F851" s="152"/>
      <c r="G851" s="152"/>
      <c r="H851" s="152"/>
      <c r="I851" s="152"/>
      <c r="J851" s="152"/>
      <c r="K851" s="152"/>
      <c r="L851" s="152"/>
      <c r="M851" s="152"/>
      <c r="N851" s="152"/>
      <c r="O851" s="152"/>
      <c r="P851" s="152"/>
      <c r="Q851" s="152"/>
      <c r="R851" s="152"/>
      <c r="S851" s="152"/>
      <c r="T851" s="152"/>
      <c r="U851" s="152"/>
      <c r="V851" s="152"/>
      <c r="W851" s="152"/>
      <c r="X851" s="152"/>
      <c r="Y851" s="152"/>
      <c r="Z851" s="152"/>
    </row>
    <row r="852" ht="12.8" customHeight="1" spans="1:26">
      <c r="A852" s="176"/>
      <c r="B852" s="176"/>
      <c r="C852" s="176"/>
      <c r="D852" s="152"/>
      <c r="E852" s="152"/>
      <c r="F852" s="152"/>
      <c r="G852" s="152"/>
      <c r="H852" s="152"/>
      <c r="I852" s="152"/>
      <c r="J852" s="152"/>
      <c r="K852" s="152"/>
      <c r="L852" s="152"/>
      <c r="M852" s="152"/>
      <c r="N852" s="152"/>
      <c r="O852" s="152"/>
      <c r="P852" s="152"/>
      <c r="Q852" s="152"/>
      <c r="R852" s="152"/>
      <c r="S852" s="152"/>
      <c r="T852" s="152"/>
      <c r="U852" s="152"/>
      <c r="V852" s="152"/>
      <c r="W852" s="152"/>
      <c r="X852" s="152"/>
      <c r="Y852" s="152"/>
      <c r="Z852" s="152"/>
    </row>
    <row r="853" ht="12.8" customHeight="1" spans="1:26">
      <c r="A853" s="176"/>
      <c r="B853" s="176"/>
      <c r="C853" s="176"/>
      <c r="D853" s="152"/>
      <c r="E853" s="152"/>
      <c r="F853" s="152"/>
      <c r="G853" s="152"/>
      <c r="H853" s="152"/>
      <c r="I853" s="152"/>
      <c r="J853" s="152"/>
      <c r="K853" s="152"/>
      <c r="L853" s="152"/>
      <c r="M853" s="152"/>
      <c r="N853" s="152"/>
      <c r="O853" s="152"/>
      <c r="P853" s="152"/>
      <c r="Q853" s="152"/>
      <c r="R853" s="152"/>
      <c r="S853" s="152"/>
      <c r="T853" s="152"/>
      <c r="U853" s="152"/>
      <c r="V853" s="152"/>
      <c r="W853" s="152"/>
      <c r="X853" s="152"/>
      <c r="Y853" s="152"/>
      <c r="Z853" s="152"/>
    </row>
    <row r="854" ht="12.8" customHeight="1" spans="1:26">
      <c r="A854" s="176"/>
      <c r="B854" s="176"/>
      <c r="C854" s="176"/>
      <c r="D854" s="152"/>
      <c r="E854" s="152"/>
      <c r="F854" s="152"/>
      <c r="G854" s="152"/>
      <c r="H854" s="152"/>
      <c r="I854" s="152"/>
      <c r="J854" s="152"/>
      <c r="K854" s="152"/>
      <c r="L854" s="152"/>
      <c r="M854" s="152"/>
      <c r="N854" s="152"/>
      <c r="O854" s="152"/>
      <c r="P854" s="152"/>
      <c r="Q854" s="152"/>
      <c r="R854" s="152"/>
      <c r="S854" s="152"/>
      <c r="T854" s="152"/>
      <c r="U854" s="152"/>
      <c r="V854" s="152"/>
      <c r="W854" s="152"/>
      <c r="X854" s="152"/>
      <c r="Y854" s="152"/>
      <c r="Z854" s="152"/>
    </row>
    <row r="855" ht="12.8" customHeight="1" spans="1:26">
      <c r="A855" s="176"/>
      <c r="B855" s="176"/>
      <c r="C855" s="176"/>
      <c r="D855" s="152"/>
      <c r="E855" s="152"/>
      <c r="F855" s="152"/>
      <c r="G855" s="152"/>
      <c r="H855" s="152"/>
      <c r="I855" s="152"/>
      <c r="J855" s="152"/>
      <c r="K855" s="152"/>
      <c r="L855" s="152"/>
      <c r="M855" s="152"/>
      <c r="N855" s="152"/>
      <c r="O855" s="152"/>
      <c r="P855" s="152"/>
      <c r="Q855" s="152"/>
      <c r="R855" s="152"/>
      <c r="S855" s="152"/>
      <c r="T855" s="152"/>
      <c r="U855" s="152"/>
      <c r="V855" s="152"/>
      <c r="W855" s="152"/>
      <c r="X855" s="152"/>
      <c r="Y855" s="152"/>
      <c r="Z855" s="152"/>
    </row>
    <row r="856" ht="12.8" customHeight="1" spans="1:26">
      <c r="A856" s="176"/>
      <c r="B856" s="176"/>
      <c r="C856" s="176"/>
      <c r="D856" s="152"/>
      <c r="E856" s="152"/>
      <c r="F856" s="152"/>
      <c r="G856" s="152"/>
      <c r="H856" s="152"/>
      <c r="I856" s="152"/>
      <c r="J856" s="152"/>
      <c r="K856" s="152"/>
      <c r="L856" s="152"/>
      <c r="M856" s="152"/>
      <c r="N856" s="152"/>
      <c r="O856" s="152"/>
      <c r="P856" s="152"/>
      <c r="Q856" s="152"/>
      <c r="R856" s="152"/>
      <c r="S856" s="152"/>
      <c r="T856" s="152"/>
      <c r="U856" s="152"/>
      <c r="V856" s="152"/>
      <c r="W856" s="152"/>
      <c r="X856" s="152"/>
      <c r="Y856" s="152"/>
      <c r="Z856" s="152"/>
    </row>
    <row r="857" ht="12.8" customHeight="1" spans="1:26">
      <c r="A857" s="176"/>
      <c r="B857" s="176"/>
      <c r="C857" s="176"/>
      <c r="D857" s="152"/>
      <c r="E857" s="152"/>
      <c r="F857" s="152"/>
      <c r="G857" s="152"/>
      <c r="H857" s="152"/>
      <c r="I857" s="152"/>
      <c r="J857" s="152"/>
      <c r="K857" s="152"/>
      <c r="L857" s="152"/>
      <c r="M857" s="152"/>
      <c r="N857" s="152"/>
      <c r="O857" s="152"/>
      <c r="P857" s="152"/>
      <c r="Q857" s="152"/>
      <c r="R857" s="152"/>
      <c r="S857" s="152"/>
      <c r="T857" s="152"/>
      <c r="U857" s="152"/>
      <c r="V857" s="152"/>
      <c r="W857" s="152"/>
      <c r="X857" s="152"/>
      <c r="Y857" s="152"/>
      <c r="Z857" s="152"/>
    </row>
    <row r="858" ht="12.8" customHeight="1" spans="1:26">
      <c r="A858" s="176"/>
      <c r="B858" s="176"/>
      <c r="C858" s="176"/>
      <c r="D858" s="152"/>
      <c r="E858" s="152"/>
      <c r="F858" s="152"/>
      <c r="G858" s="152"/>
      <c r="H858" s="152"/>
      <c r="I858" s="152"/>
      <c r="J858" s="152"/>
      <c r="K858" s="152"/>
      <c r="L858" s="152"/>
      <c r="M858" s="152"/>
      <c r="N858" s="152"/>
      <c r="O858" s="152"/>
      <c r="P858" s="152"/>
      <c r="Q858" s="152"/>
      <c r="R858" s="152"/>
      <c r="S858" s="152"/>
      <c r="T858" s="152"/>
      <c r="U858" s="152"/>
      <c r="V858" s="152"/>
      <c r="W858" s="152"/>
      <c r="X858" s="152"/>
      <c r="Y858" s="152"/>
      <c r="Z858" s="152"/>
    </row>
    <row r="859" ht="12.8" customHeight="1" spans="1:26">
      <c r="A859" s="176"/>
      <c r="B859" s="176"/>
      <c r="C859" s="176"/>
      <c r="D859" s="152"/>
      <c r="E859" s="152"/>
      <c r="F859" s="152"/>
      <c r="G859" s="152"/>
      <c r="H859" s="152"/>
      <c r="I859" s="152"/>
      <c r="J859" s="152"/>
      <c r="K859" s="152"/>
      <c r="L859" s="152"/>
      <c r="M859" s="152"/>
      <c r="N859" s="152"/>
      <c r="O859" s="152"/>
      <c r="P859" s="152"/>
      <c r="Q859" s="152"/>
      <c r="R859" s="152"/>
      <c r="S859" s="152"/>
      <c r="T859" s="152"/>
      <c r="U859" s="152"/>
      <c r="V859" s="152"/>
      <c r="W859" s="152"/>
      <c r="X859" s="152"/>
      <c r="Y859" s="152"/>
      <c r="Z859" s="152"/>
    </row>
    <row r="860" ht="12.8" customHeight="1" spans="1:26">
      <c r="A860" s="176"/>
      <c r="B860" s="176"/>
      <c r="C860" s="176"/>
      <c r="D860" s="152"/>
      <c r="E860" s="152"/>
      <c r="F860" s="152"/>
      <c r="G860" s="152"/>
      <c r="H860" s="152"/>
      <c r="I860" s="152"/>
      <c r="J860" s="152"/>
      <c r="K860" s="152"/>
      <c r="L860" s="152"/>
      <c r="M860" s="152"/>
      <c r="N860" s="152"/>
      <c r="O860" s="152"/>
      <c r="P860" s="152"/>
      <c r="Q860" s="152"/>
      <c r="R860" s="152"/>
      <c r="S860" s="152"/>
      <c r="T860" s="152"/>
      <c r="U860" s="152"/>
      <c r="V860" s="152"/>
      <c r="W860" s="152"/>
      <c r="X860" s="152"/>
      <c r="Y860" s="152"/>
      <c r="Z860" s="152"/>
    </row>
    <row r="861" ht="12.8" customHeight="1" spans="1:26">
      <c r="A861" s="176"/>
      <c r="B861" s="176"/>
      <c r="C861" s="176"/>
      <c r="D861" s="152"/>
      <c r="E861" s="152"/>
      <c r="F861" s="152"/>
      <c r="G861" s="152"/>
      <c r="H861" s="152"/>
      <c r="I861" s="152"/>
      <c r="J861" s="152"/>
      <c r="K861" s="152"/>
      <c r="L861" s="152"/>
      <c r="M861" s="152"/>
      <c r="N861" s="152"/>
      <c r="O861" s="152"/>
      <c r="P861" s="152"/>
      <c r="Q861" s="152"/>
      <c r="R861" s="152"/>
      <c r="S861" s="152"/>
      <c r="T861" s="152"/>
      <c r="U861" s="152"/>
      <c r="V861" s="152"/>
      <c r="W861" s="152"/>
      <c r="X861" s="152"/>
      <c r="Y861" s="152"/>
      <c r="Z861" s="152"/>
    </row>
    <row r="862" ht="12.8" customHeight="1" spans="1:26">
      <c r="A862" s="176"/>
      <c r="B862" s="176"/>
      <c r="C862" s="176"/>
      <c r="D862" s="152"/>
      <c r="E862" s="152"/>
      <c r="F862" s="152"/>
      <c r="G862" s="152"/>
      <c r="H862" s="152"/>
      <c r="I862" s="152"/>
      <c r="J862" s="152"/>
      <c r="K862" s="152"/>
      <c r="L862" s="152"/>
      <c r="M862" s="152"/>
      <c r="N862" s="152"/>
      <c r="O862" s="152"/>
      <c r="P862" s="152"/>
      <c r="Q862" s="152"/>
      <c r="R862" s="152"/>
      <c r="S862" s="152"/>
      <c r="T862" s="152"/>
      <c r="U862" s="152"/>
      <c r="V862" s="152"/>
      <c r="W862" s="152"/>
      <c r="X862" s="152"/>
      <c r="Y862" s="152"/>
      <c r="Z862" s="152"/>
    </row>
    <row r="863" ht="12.8" customHeight="1" spans="1:26">
      <c r="A863" s="176"/>
      <c r="B863" s="176"/>
      <c r="C863" s="176"/>
      <c r="D863" s="152"/>
      <c r="E863" s="152"/>
      <c r="F863" s="152"/>
      <c r="G863" s="152"/>
      <c r="H863" s="152"/>
      <c r="I863" s="152"/>
      <c r="J863" s="152"/>
      <c r="K863" s="152"/>
      <c r="L863" s="152"/>
      <c r="M863" s="152"/>
      <c r="N863" s="152"/>
      <c r="O863" s="152"/>
      <c r="P863" s="152"/>
      <c r="Q863" s="152"/>
      <c r="R863" s="152"/>
      <c r="S863" s="152"/>
      <c r="T863" s="152"/>
      <c r="U863" s="152"/>
      <c r="V863" s="152"/>
      <c r="W863" s="152"/>
      <c r="X863" s="152"/>
      <c r="Y863" s="152"/>
      <c r="Z863" s="152"/>
    </row>
    <row r="864" ht="12.8" customHeight="1" spans="1:26">
      <c r="A864" s="176"/>
      <c r="B864" s="176"/>
      <c r="C864" s="176"/>
      <c r="D864" s="152"/>
      <c r="E864" s="152"/>
      <c r="F864" s="152"/>
      <c r="G864" s="152"/>
      <c r="H864" s="152"/>
      <c r="I864" s="152"/>
      <c r="J864" s="152"/>
      <c r="K864" s="152"/>
      <c r="L864" s="152"/>
      <c r="M864" s="152"/>
      <c r="N864" s="152"/>
      <c r="O864" s="152"/>
      <c r="P864" s="152"/>
      <c r="Q864" s="152"/>
      <c r="R864" s="152"/>
      <c r="S864" s="152"/>
      <c r="T864" s="152"/>
      <c r="U864" s="152"/>
      <c r="V864" s="152"/>
      <c r="W864" s="152"/>
      <c r="X864" s="152"/>
      <c r="Y864" s="152"/>
      <c r="Z864" s="152"/>
    </row>
    <row r="865" ht="12.8" customHeight="1" spans="1:26">
      <c r="A865" s="176"/>
      <c r="B865" s="176"/>
      <c r="C865" s="176"/>
      <c r="D865" s="152"/>
      <c r="E865" s="152"/>
      <c r="F865" s="152"/>
      <c r="G865" s="152"/>
      <c r="H865" s="152"/>
      <c r="I865" s="152"/>
      <c r="J865" s="152"/>
      <c r="K865" s="152"/>
      <c r="L865" s="152"/>
      <c r="M865" s="152"/>
      <c r="N865" s="152"/>
      <c r="O865" s="152"/>
      <c r="P865" s="152"/>
      <c r="Q865" s="152"/>
      <c r="R865" s="152"/>
      <c r="S865" s="152"/>
      <c r="T865" s="152"/>
      <c r="U865" s="152"/>
      <c r="V865" s="152"/>
      <c r="W865" s="152"/>
      <c r="X865" s="152"/>
      <c r="Y865" s="152"/>
      <c r="Z865" s="152"/>
    </row>
    <row r="866" ht="12.8" customHeight="1" spans="1:26">
      <c r="A866" s="176"/>
      <c r="B866" s="176"/>
      <c r="C866" s="176"/>
      <c r="D866" s="152"/>
      <c r="E866" s="152"/>
      <c r="F866" s="152"/>
      <c r="G866" s="152"/>
      <c r="H866" s="152"/>
      <c r="I866" s="152"/>
      <c r="J866" s="152"/>
      <c r="K866" s="152"/>
      <c r="L866" s="152"/>
      <c r="M866" s="152"/>
      <c r="N866" s="152"/>
      <c r="O866" s="152"/>
      <c r="P866" s="152"/>
      <c r="Q866" s="152"/>
      <c r="R866" s="152"/>
      <c r="S866" s="152"/>
      <c r="T866" s="152"/>
      <c r="U866" s="152"/>
      <c r="V866" s="152"/>
      <c r="W866" s="152"/>
      <c r="X866" s="152"/>
      <c r="Y866" s="152"/>
      <c r="Z866" s="152"/>
    </row>
    <row r="867" ht="12.8" customHeight="1" spans="1:26">
      <c r="A867" s="176"/>
      <c r="B867" s="176"/>
      <c r="C867" s="176"/>
      <c r="D867" s="152"/>
      <c r="E867" s="152"/>
      <c r="F867" s="152"/>
      <c r="G867" s="152"/>
      <c r="H867" s="152"/>
      <c r="I867" s="152"/>
      <c r="J867" s="152"/>
      <c r="K867" s="152"/>
      <c r="L867" s="152"/>
      <c r="M867" s="152"/>
      <c r="N867" s="152"/>
      <c r="O867" s="152"/>
      <c r="P867" s="152"/>
      <c r="Q867" s="152"/>
      <c r="R867" s="152"/>
      <c r="S867" s="152"/>
      <c r="T867" s="152"/>
      <c r="U867" s="152"/>
      <c r="V867" s="152"/>
      <c r="W867" s="152"/>
      <c r="X867" s="152"/>
      <c r="Y867" s="152"/>
      <c r="Z867" s="152"/>
    </row>
    <row r="868" ht="12.8" customHeight="1" spans="1:26">
      <c r="A868" s="176"/>
      <c r="B868" s="176"/>
      <c r="C868" s="176"/>
      <c r="D868" s="152"/>
      <c r="E868" s="152"/>
      <c r="F868" s="152"/>
      <c r="G868" s="152"/>
      <c r="H868" s="152"/>
      <c r="I868" s="152"/>
      <c r="J868" s="152"/>
      <c r="K868" s="152"/>
      <c r="L868" s="152"/>
      <c r="M868" s="152"/>
      <c r="N868" s="152"/>
      <c r="O868" s="152"/>
      <c r="P868" s="152"/>
      <c r="Q868" s="152"/>
      <c r="R868" s="152"/>
      <c r="S868" s="152"/>
      <c r="T868" s="152"/>
      <c r="U868" s="152"/>
      <c r="V868" s="152"/>
      <c r="W868" s="152"/>
      <c r="X868" s="152"/>
      <c r="Y868" s="152"/>
      <c r="Z868" s="152"/>
    </row>
    <row r="869" ht="12.8" customHeight="1" spans="1:26">
      <c r="A869" s="176"/>
      <c r="B869" s="176"/>
      <c r="C869" s="176"/>
      <c r="D869" s="152"/>
      <c r="E869" s="152"/>
      <c r="F869" s="152"/>
      <c r="G869" s="152"/>
      <c r="H869" s="152"/>
      <c r="I869" s="152"/>
      <c r="J869" s="152"/>
      <c r="K869" s="152"/>
      <c r="L869" s="152"/>
      <c r="M869" s="152"/>
      <c r="N869" s="152"/>
      <c r="O869" s="152"/>
      <c r="P869" s="152"/>
      <c r="Q869" s="152"/>
      <c r="R869" s="152"/>
      <c r="S869" s="152"/>
      <c r="T869" s="152"/>
      <c r="U869" s="152"/>
      <c r="V869" s="152"/>
      <c r="W869" s="152"/>
      <c r="X869" s="152"/>
      <c r="Y869" s="152"/>
      <c r="Z869" s="152"/>
    </row>
    <row r="870" ht="12.8" customHeight="1" spans="1:26">
      <c r="A870" s="176"/>
      <c r="B870" s="176"/>
      <c r="C870" s="176"/>
      <c r="D870" s="152"/>
      <c r="E870" s="152"/>
      <c r="F870" s="152"/>
      <c r="G870" s="152"/>
      <c r="H870" s="152"/>
      <c r="I870" s="152"/>
      <c r="J870" s="152"/>
      <c r="K870" s="152"/>
      <c r="L870" s="152"/>
      <c r="M870" s="152"/>
      <c r="N870" s="152"/>
      <c r="O870" s="152"/>
      <c r="P870" s="152"/>
      <c r="Q870" s="152"/>
      <c r="R870" s="152"/>
      <c r="S870" s="152"/>
      <c r="T870" s="152"/>
      <c r="U870" s="152"/>
      <c r="V870" s="152"/>
      <c r="W870" s="152"/>
      <c r="X870" s="152"/>
      <c r="Y870" s="152"/>
      <c r="Z870" s="152"/>
    </row>
    <row r="871" ht="12.8" customHeight="1" spans="1:26">
      <c r="A871" s="176"/>
      <c r="B871" s="176"/>
      <c r="C871" s="176"/>
      <c r="D871" s="152"/>
      <c r="E871" s="152"/>
      <c r="F871" s="152"/>
      <c r="G871" s="152"/>
      <c r="H871" s="152"/>
      <c r="I871" s="152"/>
      <c r="J871" s="152"/>
      <c r="K871" s="152"/>
      <c r="L871" s="152"/>
      <c r="M871" s="152"/>
      <c r="N871" s="152"/>
      <c r="O871" s="152"/>
      <c r="P871" s="152"/>
      <c r="Q871" s="152"/>
      <c r="R871" s="152"/>
      <c r="S871" s="152"/>
      <c r="T871" s="152"/>
      <c r="U871" s="152"/>
      <c r="V871" s="152"/>
      <c r="W871" s="152"/>
      <c r="X871" s="152"/>
      <c r="Y871" s="152"/>
      <c r="Z871" s="152"/>
    </row>
    <row r="872" ht="12.8" customHeight="1" spans="1:26">
      <c r="A872" s="176"/>
      <c r="B872" s="176"/>
      <c r="C872" s="176"/>
      <c r="D872" s="152"/>
      <c r="E872" s="152"/>
      <c r="F872" s="152"/>
      <c r="G872" s="152"/>
      <c r="H872" s="152"/>
      <c r="I872" s="152"/>
      <c r="J872" s="152"/>
      <c r="K872" s="152"/>
      <c r="L872" s="152"/>
      <c r="M872" s="152"/>
      <c r="N872" s="152"/>
      <c r="O872" s="152"/>
      <c r="P872" s="152"/>
      <c r="Q872" s="152"/>
      <c r="R872" s="152"/>
      <c r="S872" s="152"/>
      <c r="T872" s="152"/>
      <c r="U872" s="152"/>
      <c r="V872" s="152"/>
      <c r="W872" s="152"/>
      <c r="X872" s="152"/>
      <c r="Y872" s="152"/>
      <c r="Z872" s="152"/>
    </row>
    <row r="873" ht="12.8" customHeight="1" spans="1:26">
      <c r="A873" s="176"/>
      <c r="B873" s="176"/>
      <c r="C873" s="176"/>
      <c r="D873" s="152"/>
      <c r="E873" s="152"/>
      <c r="F873" s="152"/>
      <c r="G873" s="152"/>
      <c r="H873" s="152"/>
      <c r="I873" s="152"/>
      <c r="J873" s="152"/>
      <c r="K873" s="152"/>
      <c r="L873" s="152"/>
      <c r="M873" s="152"/>
      <c r="N873" s="152"/>
      <c r="O873" s="152"/>
      <c r="P873" s="152"/>
      <c r="Q873" s="152"/>
      <c r="R873" s="152"/>
      <c r="S873" s="152"/>
      <c r="T873" s="152"/>
      <c r="U873" s="152"/>
      <c r="V873" s="152"/>
      <c r="W873" s="152"/>
      <c r="X873" s="152"/>
      <c r="Y873" s="152"/>
      <c r="Z873" s="152"/>
    </row>
    <row r="874" ht="12.8" customHeight="1" spans="1:26">
      <c r="A874" s="176"/>
      <c r="B874" s="176"/>
      <c r="C874" s="176"/>
      <c r="D874" s="152"/>
      <c r="E874" s="152"/>
      <c r="F874" s="152"/>
      <c r="G874" s="152"/>
      <c r="H874" s="152"/>
      <c r="I874" s="152"/>
      <c r="J874" s="152"/>
      <c r="K874" s="152"/>
      <c r="L874" s="152"/>
      <c r="M874" s="152"/>
      <c r="N874" s="152"/>
      <c r="O874" s="152"/>
      <c r="P874" s="152"/>
      <c r="Q874" s="152"/>
      <c r="R874" s="152"/>
      <c r="S874" s="152"/>
      <c r="T874" s="152"/>
      <c r="U874" s="152"/>
      <c r="V874" s="152"/>
      <c r="W874" s="152"/>
      <c r="X874" s="152"/>
      <c r="Y874" s="152"/>
      <c r="Z874" s="152"/>
    </row>
    <row r="875" ht="12.8" customHeight="1" spans="1:26">
      <c r="A875" s="176"/>
      <c r="B875" s="176"/>
      <c r="C875" s="176"/>
      <c r="D875" s="152"/>
      <c r="E875" s="152"/>
      <c r="F875" s="152"/>
      <c r="G875" s="152"/>
      <c r="H875" s="152"/>
      <c r="I875" s="152"/>
      <c r="J875" s="152"/>
      <c r="K875" s="152"/>
      <c r="L875" s="152"/>
      <c r="M875" s="152"/>
      <c r="N875" s="152"/>
      <c r="O875" s="152"/>
      <c r="P875" s="152"/>
      <c r="Q875" s="152"/>
      <c r="R875" s="152"/>
      <c r="S875" s="152"/>
      <c r="T875" s="152"/>
      <c r="U875" s="152"/>
      <c r="V875" s="152"/>
      <c r="W875" s="152"/>
      <c r="X875" s="152"/>
      <c r="Y875" s="152"/>
      <c r="Z875" s="152"/>
    </row>
    <row r="876" ht="12.8" customHeight="1" spans="1:26">
      <c r="A876" s="176"/>
      <c r="B876" s="176"/>
      <c r="C876" s="176"/>
      <c r="D876" s="152"/>
      <c r="E876" s="152"/>
      <c r="F876" s="152"/>
      <c r="G876" s="152"/>
      <c r="H876" s="152"/>
      <c r="I876" s="152"/>
      <c r="J876" s="152"/>
      <c r="K876" s="152"/>
      <c r="L876" s="152"/>
      <c r="M876" s="152"/>
      <c r="N876" s="152"/>
      <c r="O876" s="152"/>
      <c r="P876" s="152"/>
      <c r="Q876" s="152"/>
      <c r="R876" s="152"/>
      <c r="S876" s="152"/>
      <c r="T876" s="152"/>
      <c r="U876" s="152"/>
      <c r="V876" s="152"/>
      <c r="W876" s="152"/>
      <c r="X876" s="152"/>
      <c r="Y876" s="152"/>
      <c r="Z876" s="152"/>
    </row>
    <row r="877" ht="12.8" customHeight="1" spans="1:26">
      <c r="A877" s="176"/>
      <c r="B877" s="176"/>
      <c r="C877" s="176"/>
      <c r="D877" s="152"/>
      <c r="E877" s="152"/>
      <c r="F877" s="152"/>
      <c r="G877" s="152"/>
      <c r="H877" s="152"/>
      <c r="I877" s="152"/>
      <c r="J877" s="152"/>
      <c r="K877" s="152"/>
      <c r="L877" s="152"/>
      <c r="M877" s="152"/>
      <c r="N877" s="152"/>
      <c r="O877" s="152"/>
      <c r="P877" s="152"/>
      <c r="Q877" s="152"/>
      <c r="R877" s="152"/>
      <c r="S877" s="152"/>
      <c r="T877" s="152"/>
      <c r="U877" s="152"/>
      <c r="V877" s="152"/>
      <c r="W877" s="152"/>
      <c r="X877" s="152"/>
      <c r="Y877" s="152"/>
      <c r="Z877" s="152"/>
    </row>
    <row r="878" ht="12.8" customHeight="1" spans="1:26">
      <c r="A878" s="176"/>
      <c r="B878" s="176"/>
      <c r="C878" s="176"/>
      <c r="D878" s="152"/>
      <c r="E878" s="152"/>
      <c r="F878" s="152"/>
      <c r="G878" s="152"/>
      <c r="H878" s="152"/>
      <c r="I878" s="152"/>
      <c r="J878" s="152"/>
      <c r="K878" s="152"/>
      <c r="L878" s="152"/>
      <c r="M878" s="152"/>
      <c r="N878" s="152"/>
      <c r="O878" s="152"/>
      <c r="P878" s="152"/>
      <c r="Q878" s="152"/>
      <c r="R878" s="152"/>
      <c r="S878" s="152"/>
      <c r="T878" s="152"/>
      <c r="U878" s="152"/>
      <c r="V878" s="152"/>
      <c r="W878" s="152"/>
      <c r="X878" s="152"/>
      <c r="Y878" s="152"/>
      <c r="Z878" s="152"/>
    </row>
    <row r="879" ht="12.8" customHeight="1" spans="1:26">
      <c r="A879" s="176"/>
      <c r="B879" s="176"/>
      <c r="C879" s="176"/>
      <c r="D879" s="152"/>
      <c r="E879" s="152"/>
      <c r="F879" s="152"/>
      <c r="G879" s="152"/>
      <c r="H879" s="152"/>
      <c r="I879" s="152"/>
      <c r="J879" s="152"/>
      <c r="K879" s="152"/>
      <c r="L879" s="152"/>
      <c r="M879" s="152"/>
      <c r="N879" s="152"/>
      <c r="O879" s="152"/>
      <c r="P879" s="152"/>
      <c r="Q879" s="152"/>
      <c r="R879" s="152"/>
      <c r="S879" s="152"/>
      <c r="T879" s="152"/>
      <c r="U879" s="152"/>
      <c r="V879" s="152"/>
      <c r="W879" s="152"/>
      <c r="X879" s="152"/>
      <c r="Y879" s="152"/>
      <c r="Z879" s="152"/>
    </row>
    <row r="880" ht="12.8" customHeight="1" spans="1:26">
      <c r="A880" s="176"/>
      <c r="B880" s="176"/>
      <c r="C880" s="176"/>
      <c r="D880" s="152"/>
      <c r="E880" s="152"/>
      <c r="F880" s="152"/>
      <c r="G880" s="152"/>
      <c r="H880" s="152"/>
      <c r="I880" s="152"/>
      <c r="J880" s="152"/>
      <c r="K880" s="152"/>
      <c r="L880" s="152"/>
      <c r="M880" s="152"/>
      <c r="N880" s="152"/>
      <c r="O880" s="152"/>
      <c r="P880" s="152"/>
      <c r="Q880" s="152"/>
      <c r="R880" s="152"/>
      <c r="S880" s="152"/>
      <c r="T880" s="152"/>
      <c r="U880" s="152"/>
      <c r="V880" s="152"/>
      <c r="W880" s="152"/>
      <c r="X880" s="152"/>
      <c r="Y880" s="152"/>
      <c r="Z880" s="152"/>
    </row>
    <row r="881" ht="12.8" customHeight="1" spans="1:26">
      <c r="A881" s="176"/>
      <c r="B881" s="176"/>
      <c r="C881" s="176"/>
      <c r="D881" s="152"/>
      <c r="E881" s="152"/>
      <c r="F881" s="152"/>
      <c r="G881" s="152"/>
      <c r="H881" s="152"/>
      <c r="I881" s="152"/>
      <c r="J881" s="152"/>
      <c r="K881" s="152"/>
      <c r="L881" s="152"/>
      <c r="M881" s="152"/>
      <c r="N881" s="152"/>
      <c r="O881" s="152"/>
      <c r="P881" s="152"/>
      <c r="Q881" s="152"/>
      <c r="R881" s="152"/>
      <c r="S881" s="152"/>
      <c r="T881" s="152"/>
      <c r="U881" s="152"/>
      <c r="V881" s="152"/>
      <c r="W881" s="152"/>
      <c r="X881" s="152"/>
      <c r="Y881" s="152"/>
      <c r="Z881" s="152"/>
    </row>
    <row r="882" ht="12.8" customHeight="1" spans="1:26">
      <c r="A882" s="176"/>
      <c r="B882" s="176"/>
      <c r="C882" s="176"/>
      <c r="D882" s="152"/>
      <c r="E882" s="152"/>
      <c r="F882" s="152"/>
      <c r="G882" s="152"/>
      <c r="H882" s="152"/>
      <c r="I882" s="152"/>
      <c r="J882" s="152"/>
      <c r="K882" s="152"/>
      <c r="L882" s="152"/>
      <c r="M882" s="152"/>
      <c r="N882" s="152"/>
      <c r="O882" s="152"/>
      <c r="P882" s="152"/>
      <c r="Q882" s="152"/>
      <c r="R882" s="152"/>
      <c r="S882" s="152"/>
      <c r="T882" s="152"/>
      <c r="U882" s="152"/>
      <c r="V882" s="152"/>
      <c r="W882" s="152"/>
      <c r="X882" s="152"/>
      <c r="Y882" s="152"/>
      <c r="Z882" s="152"/>
    </row>
    <row r="883" ht="12.8" customHeight="1" spans="1:26">
      <c r="A883" s="176"/>
      <c r="B883" s="176"/>
      <c r="C883" s="176"/>
      <c r="D883" s="152"/>
      <c r="E883" s="152"/>
      <c r="F883" s="152"/>
      <c r="G883" s="152"/>
      <c r="H883" s="152"/>
      <c r="I883" s="152"/>
      <c r="J883" s="152"/>
      <c r="K883" s="152"/>
      <c r="L883" s="152"/>
      <c r="M883" s="152"/>
      <c r="N883" s="152"/>
      <c r="O883" s="152"/>
      <c r="P883" s="152"/>
      <c r="Q883" s="152"/>
      <c r="R883" s="152"/>
      <c r="S883" s="152"/>
      <c r="T883" s="152"/>
      <c r="U883" s="152"/>
      <c r="V883" s="152"/>
      <c r="W883" s="152"/>
      <c r="X883" s="152"/>
      <c r="Y883" s="152"/>
      <c r="Z883" s="152"/>
    </row>
    <row r="884" ht="12.8" customHeight="1" spans="1:26">
      <c r="A884" s="176"/>
      <c r="B884" s="176"/>
      <c r="C884" s="176"/>
      <c r="D884" s="152"/>
      <c r="E884" s="152"/>
      <c r="F884" s="152"/>
      <c r="G884" s="152"/>
      <c r="H884" s="152"/>
      <c r="I884" s="152"/>
      <c r="J884" s="152"/>
      <c r="K884" s="152"/>
      <c r="L884" s="152"/>
      <c r="M884" s="152"/>
      <c r="N884" s="152"/>
      <c r="O884" s="152"/>
      <c r="P884" s="152"/>
      <c r="Q884" s="152"/>
      <c r="R884" s="152"/>
      <c r="S884" s="152"/>
      <c r="T884" s="152"/>
      <c r="U884" s="152"/>
      <c r="V884" s="152"/>
      <c r="W884" s="152"/>
      <c r="X884" s="152"/>
      <c r="Y884" s="152"/>
      <c r="Z884" s="152"/>
    </row>
    <row r="885" ht="12.8" customHeight="1" spans="1:26">
      <c r="A885" s="176"/>
      <c r="B885" s="176"/>
      <c r="C885" s="176"/>
      <c r="D885" s="152"/>
      <c r="E885" s="152"/>
      <c r="F885" s="152"/>
      <c r="G885" s="152"/>
      <c r="H885" s="152"/>
      <c r="I885" s="152"/>
      <c r="J885" s="152"/>
      <c r="K885" s="152"/>
      <c r="L885" s="152"/>
      <c r="M885" s="152"/>
      <c r="N885" s="152"/>
      <c r="O885" s="152"/>
      <c r="P885" s="152"/>
      <c r="Q885" s="152"/>
      <c r="R885" s="152"/>
      <c r="S885" s="152"/>
      <c r="T885" s="152"/>
      <c r="U885" s="152"/>
      <c r="V885" s="152"/>
      <c r="W885" s="152"/>
      <c r="X885" s="152"/>
      <c r="Y885" s="152"/>
      <c r="Z885" s="152"/>
    </row>
    <row r="886" ht="12.8" customHeight="1" spans="1:26">
      <c r="A886" s="176"/>
      <c r="B886" s="176"/>
      <c r="C886" s="176"/>
      <c r="D886" s="152"/>
      <c r="E886" s="152"/>
      <c r="F886" s="152"/>
      <c r="G886" s="152"/>
      <c r="H886" s="152"/>
      <c r="I886" s="152"/>
      <c r="J886" s="152"/>
      <c r="K886" s="152"/>
      <c r="L886" s="152"/>
      <c r="M886" s="152"/>
      <c r="N886" s="152"/>
      <c r="O886" s="152"/>
      <c r="P886" s="152"/>
      <c r="Q886" s="152"/>
      <c r="R886" s="152"/>
      <c r="S886" s="152"/>
      <c r="T886" s="152"/>
      <c r="U886" s="152"/>
      <c r="V886" s="152"/>
      <c r="W886" s="152"/>
      <c r="X886" s="152"/>
      <c r="Y886" s="152"/>
      <c r="Z886" s="152"/>
    </row>
    <row r="887" ht="12.8" customHeight="1" spans="1:26">
      <c r="A887" s="176"/>
      <c r="B887" s="176"/>
      <c r="C887" s="176"/>
      <c r="D887" s="152"/>
      <c r="E887" s="152"/>
      <c r="F887" s="152"/>
      <c r="G887" s="152"/>
      <c r="H887" s="152"/>
      <c r="I887" s="152"/>
      <c r="J887" s="152"/>
      <c r="K887" s="152"/>
      <c r="L887" s="152"/>
      <c r="M887" s="152"/>
      <c r="N887" s="152"/>
      <c r="O887" s="152"/>
      <c r="P887" s="152"/>
      <c r="Q887" s="152"/>
      <c r="R887" s="152"/>
      <c r="S887" s="152"/>
      <c r="T887" s="152"/>
      <c r="U887" s="152"/>
      <c r="V887" s="152"/>
      <c r="W887" s="152"/>
      <c r="X887" s="152"/>
      <c r="Y887" s="152"/>
      <c r="Z887" s="152"/>
    </row>
    <row r="888" ht="12.8" customHeight="1" spans="1:26">
      <c r="A888" s="176"/>
      <c r="B888" s="176"/>
      <c r="C888" s="176"/>
      <c r="D888" s="152"/>
      <c r="E888" s="152"/>
      <c r="F888" s="152"/>
      <c r="G888" s="152"/>
      <c r="H888" s="152"/>
      <c r="I888" s="152"/>
      <c r="J888" s="152"/>
      <c r="K888" s="152"/>
      <c r="L888" s="152"/>
      <c r="M888" s="152"/>
      <c r="N888" s="152"/>
      <c r="O888" s="152"/>
      <c r="P888" s="152"/>
      <c r="Q888" s="152"/>
      <c r="R888" s="152"/>
      <c r="S888" s="152"/>
      <c r="T888" s="152"/>
      <c r="U888" s="152"/>
      <c r="V888" s="152"/>
      <c r="W888" s="152"/>
      <c r="X888" s="152"/>
      <c r="Y888" s="152"/>
      <c r="Z888" s="152"/>
    </row>
    <row r="889" ht="12.8" customHeight="1" spans="1:26">
      <c r="A889" s="176"/>
      <c r="B889" s="176"/>
      <c r="C889" s="176"/>
      <c r="D889" s="152"/>
      <c r="E889" s="152"/>
      <c r="F889" s="152"/>
      <c r="G889" s="152"/>
      <c r="H889" s="152"/>
      <c r="I889" s="152"/>
      <c r="J889" s="152"/>
      <c r="K889" s="152"/>
      <c r="L889" s="152"/>
      <c r="M889" s="152"/>
      <c r="N889" s="152"/>
      <c r="O889" s="152"/>
      <c r="P889" s="152"/>
      <c r="Q889" s="152"/>
      <c r="R889" s="152"/>
      <c r="S889" s="152"/>
      <c r="T889" s="152"/>
      <c r="U889" s="152"/>
      <c r="V889" s="152"/>
      <c r="W889" s="152"/>
      <c r="X889" s="152"/>
      <c r="Y889" s="152"/>
      <c r="Z889" s="152"/>
    </row>
    <row r="890" ht="12.8" customHeight="1" spans="1:26">
      <c r="A890" s="176"/>
      <c r="B890" s="176"/>
      <c r="C890" s="176"/>
      <c r="D890" s="152"/>
      <c r="E890" s="152"/>
      <c r="F890" s="152"/>
      <c r="G890" s="152"/>
      <c r="H890" s="152"/>
      <c r="I890" s="152"/>
      <c r="J890" s="152"/>
      <c r="K890" s="152"/>
      <c r="L890" s="152"/>
      <c r="M890" s="152"/>
      <c r="N890" s="152"/>
      <c r="O890" s="152"/>
      <c r="P890" s="152"/>
      <c r="Q890" s="152"/>
      <c r="R890" s="152"/>
      <c r="S890" s="152"/>
      <c r="T890" s="152"/>
      <c r="U890" s="152"/>
      <c r="V890" s="152"/>
      <c r="W890" s="152"/>
      <c r="X890" s="152"/>
      <c r="Y890" s="152"/>
      <c r="Z890" s="152"/>
    </row>
    <row r="891" ht="12.8" customHeight="1" spans="1:26">
      <c r="A891" s="176"/>
      <c r="B891" s="176"/>
      <c r="C891" s="176"/>
      <c r="D891" s="152"/>
      <c r="E891" s="152"/>
      <c r="F891" s="152"/>
      <c r="G891" s="152"/>
      <c r="H891" s="152"/>
      <c r="I891" s="152"/>
      <c r="J891" s="152"/>
      <c r="K891" s="152"/>
      <c r="L891" s="152"/>
      <c r="M891" s="152"/>
      <c r="N891" s="152"/>
      <c r="O891" s="152"/>
      <c r="P891" s="152"/>
      <c r="Q891" s="152"/>
      <c r="R891" s="152"/>
      <c r="S891" s="152"/>
      <c r="T891" s="152"/>
      <c r="U891" s="152"/>
      <c r="V891" s="152"/>
      <c r="W891" s="152"/>
      <c r="X891" s="152"/>
      <c r="Y891" s="152"/>
      <c r="Z891" s="152"/>
    </row>
    <row r="892" ht="12.8" customHeight="1" spans="1:26">
      <c r="A892" s="176"/>
      <c r="B892" s="176"/>
      <c r="C892" s="176"/>
      <c r="D892" s="152"/>
      <c r="E892" s="152"/>
      <c r="F892" s="152"/>
      <c r="G892" s="152"/>
      <c r="H892" s="152"/>
      <c r="I892" s="152"/>
      <c r="J892" s="152"/>
      <c r="K892" s="152"/>
      <c r="L892" s="152"/>
      <c r="M892" s="152"/>
      <c r="N892" s="152"/>
      <c r="O892" s="152"/>
      <c r="P892" s="152"/>
      <c r="Q892" s="152"/>
      <c r="R892" s="152"/>
      <c r="S892" s="152"/>
      <c r="T892" s="152"/>
      <c r="U892" s="152"/>
      <c r="V892" s="152"/>
      <c r="W892" s="152"/>
      <c r="X892" s="152"/>
      <c r="Y892" s="152"/>
      <c r="Z892" s="152"/>
    </row>
    <row r="893" ht="12.8" customHeight="1" spans="1:26">
      <c r="A893" s="176"/>
      <c r="B893" s="176"/>
      <c r="C893" s="176"/>
      <c r="D893" s="152"/>
      <c r="E893" s="152"/>
      <c r="F893" s="152"/>
      <c r="G893" s="152"/>
      <c r="H893" s="152"/>
      <c r="I893" s="152"/>
      <c r="J893" s="152"/>
      <c r="K893" s="152"/>
      <c r="L893" s="152"/>
      <c r="M893" s="152"/>
      <c r="N893" s="152"/>
      <c r="O893" s="152"/>
      <c r="P893" s="152"/>
      <c r="Q893" s="152"/>
      <c r="R893" s="152"/>
      <c r="S893" s="152"/>
      <c r="T893" s="152"/>
      <c r="U893" s="152"/>
      <c r="V893" s="152"/>
      <c r="W893" s="152"/>
      <c r="X893" s="152"/>
      <c r="Y893" s="152"/>
      <c r="Z893" s="152"/>
    </row>
    <row r="894" ht="12.8" customHeight="1" spans="1:26">
      <c r="A894" s="176"/>
      <c r="B894" s="176"/>
      <c r="C894" s="176"/>
      <c r="D894" s="152"/>
      <c r="E894" s="152"/>
      <c r="F894" s="152"/>
      <c r="G894" s="152"/>
      <c r="H894" s="152"/>
      <c r="I894" s="152"/>
      <c r="J894" s="152"/>
      <c r="K894" s="152"/>
      <c r="L894" s="152"/>
      <c r="M894" s="152"/>
      <c r="N894" s="152"/>
      <c r="O894" s="152"/>
      <c r="P894" s="152"/>
      <c r="Q894" s="152"/>
      <c r="R894" s="152"/>
      <c r="S894" s="152"/>
      <c r="T894" s="152"/>
      <c r="U894" s="152"/>
      <c r="V894" s="152"/>
      <c r="W894" s="152"/>
      <c r="X894" s="152"/>
      <c r="Y894" s="152"/>
      <c r="Z894" s="152"/>
    </row>
    <row r="895" ht="12.8" customHeight="1" spans="1:26">
      <c r="A895" s="176"/>
      <c r="B895" s="176"/>
      <c r="C895" s="176"/>
      <c r="D895" s="152"/>
      <c r="E895" s="152"/>
      <c r="F895" s="152"/>
      <c r="G895" s="152"/>
      <c r="H895" s="152"/>
      <c r="I895" s="152"/>
      <c r="J895" s="152"/>
      <c r="K895" s="152"/>
      <c r="L895" s="152"/>
      <c r="M895" s="152"/>
      <c r="N895" s="152"/>
      <c r="O895" s="152"/>
      <c r="P895" s="152"/>
      <c r="Q895" s="152"/>
      <c r="R895" s="152"/>
      <c r="S895" s="152"/>
      <c r="T895" s="152"/>
      <c r="U895" s="152"/>
      <c r="V895" s="152"/>
      <c r="W895" s="152"/>
      <c r="X895" s="152"/>
      <c r="Y895" s="152"/>
      <c r="Z895" s="152"/>
    </row>
    <row r="896" ht="12.8" customHeight="1" spans="1:26">
      <c r="A896" s="176"/>
      <c r="B896" s="176"/>
      <c r="C896" s="176"/>
      <c r="D896" s="152"/>
      <c r="E896" s="152"/>
      <c r="F896" s="152"/>
      <c r="G896" s="152"/>
      <c r="H896" s="152"/>
      <c r="I896" s="152"/>
      <c r="J896" s="152"/>
      <c r="K896" s="152"/>
      <c r="L896" s="152"/>
      <c r="M896" s="152"/>
      <c r="N896" s="152"/>
      <c r="O896" s="152"/>
      <c r="P896" s="152"/>
      <c r="Q896" s="152"/>
      <c r="R896" s="152"/>
      <c r="S896" s="152"/>
      <c r="T896" s="152"/>
      <c r="U896" s="152"/>
      <c r="V896" s="152"/>
      <c r="W896" s="152"/>
      <c r="X896" s="152"/>
      <c r="Y896" s="152"/>
      <c r="Z896" s="152"/>
    </row>
    <row r="897" ht="12.8" customHeight="1" spans="1:26">
      <c r="A897" s="176"/>
      <c r="B897" s="176"/>
      <c r="C897" s="176"/>
      <c r="D897" s="152"/>
      <c r="E897" s="152"/>
      <c r="F897" s="152"/>
      <c r="G897" s="152"/>
      <c r="H897" s="152"/>
      <c r="I897" s="152"/>
      <c r="J897" s="152"/>
      <c r="K897" s="152"/>
      <c r="L897" s="152"/>
      <c r="M897" s="152"/>
      <c r="N897" s="152"/>
      <c r="O897" s="152"/>
      <c r="P897" s="152"/>
      <c r="Q897" s="152"/>
      <c r="R897" s="152"/>
      <c r="S897" s="152"/>
      <c r="T897" s="152"/>
      <c r="U897" s="152"/>
      <c r="V897" s="152"/>
      <c r="W897" s="152"/>
      <c r="X897" s="152"/>
      <c r="Y897" s="152"/>
      <c r="Z897" s="152"/>
    </row>
    <row r="898" ht="12.8" customHeight="1" spans="1:26">
      <c r="A898" s="176"/>
      <c r="B898" s="176"/>
      <c r="C898" s="176"/>
      <c r="D898" s="152"/>
      <c r="E898" s="152"/>
      <c r="F898" s="152"/>
      <c r="G898" s="152"/>
      <c r="H898" s="152"/>
      <c r="I898" s="152"/>
      <c r="J898" s="152"/>
      <c r="K898" s="152"/>
      <c r="L898" s="152"/>
      <c r="M898" s="152"/>
      <c r="N898" s="152"/>
      <c r="O898" s="152"/>
      <c r="P898" s="152"/>
      <c r="Q898" s="152"/>
      <c r="R898" s="152"/>
      <c r="S898" s="152"/>
      <c r="T898" s="152"/>
      <c r="U898" s="152"/>
      <c r="V898" s="152"/>
      <c r="W898" s="152"/>
      <c r="X898" s="152"/>
      <c r="Y898" s="152"/>
      <c r="Z898" s="152"/>
    </row>
    <row r="899" ht="12.8" customHeight="1" spans="1:26">
      <c r="A899" s="176"/>
      <c r="B899" s="176"/>
      <c r="C899" s="176"/>
      <c r="D899" s="152"/>
      <c r="E899" s="152"/>
      <c r="F899" s="152"/>
      <c r="G899" s="152"/>
      <c r="H899" s="152"/>
      <c r="I899" s="152"/>
      <c r="J899" s="152"/>
      <c r="K899" s="152"/>
      <c r="L899" s="152"/>
      <c r="M899" s="152"/>
      <c r="N899" s="152"/>
      <c r="O899" s="152"/>
      <c r="P899" s="152"/>
      <c r="Q899" s="152"/>
      <c r="R899" s="152"/>
      <c r="S899" s="152"/>
      <c r="T899" s="152"/>
      <c r="U899" s="152"/>
      <c r="V899" s="152"/>
      <c r="W899" s="152"/>
      <c r="X899" s="152"/>
      <c r="Y899" s="152"/>
      <c r="Z899" s="152"/>
    </row>
    <row r="900" ht="12.8" customHeight="1" spans="1:26">
      <c r="A900" s="176"/>
      <c r="B900" s="176"/>
      <c r="C900" s="176"/>
      <c r="D900" s="152"/>
      <c r="E900" s="152"/>
      <c r="F900" s="152"/>
      <c r="G900" s="152"/>
      <c r="H900" s="152"/>
      <c r="I900" s="152"/>
      <c r="J900" s="152"/>
      <c r="K900" s="152"/>
      <c r="L900" s="152"/>
      <c r="M900" s="152"/>
      <c r="N900" s="152"/>
      <c r="O900" s="152"/>
      <c r="P900" s="152"/>
      <c r="Q900" s="152"/>
      <c r="R900" s="152"/>
      <c r="S900" s="152"/>
      <c r="T900" s="152"/>
      <c r="U900" s="152"/>
      <c r="V900" s="152"/>
      <c r="W900" s="152"/>
      <c r="X900" s="152"/>
      <c r="Y900" s="152"/>
      <c r="Z900" s="152"/>
    </row>
    <row r="901" ht="12.8" customHeight="1" spans="1:26">
      <c r="A901" s="176"/>
      <c r="B901" s="176"/>
      <c r="C901" s="176"/>
      <c r="D901" s="152"/>
      <c r="E901" s="152"/>
      <c r="F901" s="152"/>
      <c r="G901" s="152"/>
      <c r="H901" s="152"/>
      <c r="I901" s="152"/>
      <c r="J901" s="152"/>
      <c r="K901" s="152"/>
      <c r="L901" s="152"/>
      <c r="M901" s="152"/>
      <c r="N901" s="152"/>
      <c r="O901" s="152"/>
      <c r="P901" s="152"/>
      <c r="Q901" s="152"/>
      <c r="R901" s="152"/>
      <c r="S901" s="152"/>
      <c r="T901" s="152"/>
      <c r="U901" s="152"/>
      <c r="V901" s="152"/>
      <c r="W901" s="152"/>
      <c r="X901" s="152"/>
      <c r="Y901" s="152"/>
      <c r="Z901" s="152"/>
    </row>
    <row r="902" ht="12.8" customHeight="1" spans="1:26">
      <c r="A902" s="176"/>
      <c r="B902" s="176"/>
      <c r="C902" s="176"/>
      <c r="D902" s="152"/>
      <c r="E902" s="152"/>
      <c r="F902" s="152"/>
      <c r="G902" s="152"/>
      <c r="H902" s="152"/>
      <c r="I902" s="152"/>
      <c r="J902" s="152"/>
      <c r="K902" s="152"/>
      <c r="L902" s="152"/>
      <c r="M902" s="152"/>
      <c r="N902" s="152"/>
      <c r="O902" s="152"/>
      <c r="P902" s="152"/>
      <c r="Q902" s="152"/>
      <c r="R902" s="152"/>
      <c r="S902" s="152"/>
      <c r="T902" s="152"/>
      <c r="U902" s="152"/>
      <c r="V902" s="152"/>
      <c r="W902" s="152"/>
      <c r="X902" s="152"/>
      <c r="Y902" s="152"/>
      <c r="Z902" s="152"/>
    </row>
    <row r="903" ht="12.8" customHeight="1" spans="1:26">
      <c r="A903" s="176"/>
      <c r="B903" s="176"/>
      <c r="C903" s="176"/>
      <c r="D903" s="152"/>
      <c r="E903" s="152"/>
      <c r="F903" s="152"/>
      <c r="G903" s="152"/>
      <c r="H903" s="152"/>
      <c r="I903" s="152"/>
      <c r="J903" s="152"/>
      <c r="K903" s="152"/>
      <c r="L903" s="152"/>
      <c r="M903" s="152"/>
      <c r="N903" s="152"/>
      <c r="O903" s="152"/>
      <c r="P903" s="152"/>
      <c r="Q903" s="152"/>
      <c r="R903" s="152"/>
      <c r="S903" s="152"/>
      <c r="T903" s="152"/>
      <c r="U903" s="152"/>
      <c r="V903" s="152"/>
      <c r="W903" s="152"/>
      <c r="X903" s="152"/>
      <c r="Y903" s="152"/>
      <c r="Z903" s="152"/>
    </row>
    <row r="904" ht="12.8" customHeight="1" spans="1:26">
      <c r="A904" s="176"/>
      <c r="B904" s="176"/>
      <c r="C904" s="176"/>
      <c r="D904" s="152"/>
      <c r="E904" s="152"/>
      <c r="F904" s="152"/>
      <c r="G904" s="152"/>
      <c r="H904" s="152"/>
      <c r="I904" s="152"/>
      <c r="J904" s="152"/>
      <c r="K904" s="152"/>
      <c r="L904" s="152"/>
      <c r="M904" s="152"/>
      <c r="N904" s="152"/>
      <c r="O904" s="152"/>
      <c r="P904" s="152"/>
      <c r="Q904" s="152"/>
      <c r="R904" s="152"/>
      <c r="S904" s="152"/>
      <c r="T904" s="152"/>
      <c r="U904" s="152"/>
      <c r="V904" s="152"/>
      <c r="W904" s="152"/>
      <c r="X904" s="152"/>
      <c r="Y904" s="152"/>
      <c r="Z904" s="152"/>
    </row>
    <row r="905" ht="12.8" customHeight="1" spans="1:26">
      <c r="A905" s="176"/>
      <c r="B905" s="176"/>
      <c r="C905" s="176"/>
      <c r="D905" s="152"/>
      <c r="E905" s="152"/>
      <c r="F905" s="152"/>
      <c r="G905" s="152"/>
      <c r="H905" s="152"/>
      <c r="I905" s="152"/>
      <c r="J905" s="152"/>
      <c r="K905" s="152"/>
      <c r="L905" s="152"/>
      <c r="M905" s="152"/>
      <c r="N905" s="152"/>
      <c r="O905" s="152"/>
      <c r="P905" s="152"/>
      <c r="Q905" s="152"/>
      <c r="R905" s="152"/>
      <c r="S905" s="152"/>
      <c r="T905" s="152"/>
      <c r="U905" s="152"/>
      <c r="V905" s="152"/>
      <c r="W905" s="152"/>
      <c r="X905" s="152"/>
      <c r="Y905" s="152"/>
      <c r="Z905" s="152"/>
    </row>
    <row r="906" ht="12.8" customHeight="1" spans="1:26">
      <c r="A906" s="176"/>
      <c r="B906" s="176"/>
      <c r="C906" s="176"/>
      <c r="D906" s="152"/>
      <c r="E906" s="152"/>
      <c r="F906" s="152"/>
      <c r="G906" s="152"/>
      <c r="H906" s="152"/>
      <c r="I906" s="152"/>
      <c r="J906" s="152"/>
      <c r="K906" s="152"/>
      <c r="L906" s="152"/>
      <c r="M906" s="152"/>
      <c r="N906" s="152"/>
      <c r="O906" s="152"/>
      <c r="P906" s="152"/>
      <c r="Q906" s="152"/>
      <c r="R906" s="152"/>
      <c r="S906" s="152"/>
      <c r="T906" s="152"/>
      <c r="U906" s="152"/>
      <c r="V906" s="152"/>
      <c r="W906" s="152"/>
      <c r="X906" s="152"/>
      <c r="Y906" s="152"/>
      <c r="Z906" s="152"/>
    </row>
    <row r="907" ht="12.8" customHeight="1" spans="1:26">
      <c r="A907" s="176"/>
      <c r="B907" s="176"/>
      <c r="C907" s="176"/>
      <c r="D907" s="152"/>
      <c r="E907" s="152"/>
      <c r="F907" s="152"/>
      <c r="G907" s="152"/>
      <c r="H907" s="152"/>
      <c r="I907" s="152"/>
      <c r="J907" s="152"/>
      <c r="K907" s="152"/>
      <c r="L907" s="152"/>
      <c r="M907" s="152"/>
      <c r="N907" s="152"/>
      <c r="O907" s="152"/>
      <c r="P907" s="152"/>
      <c r="Q907" s="152"/>
      <c r="R907" s="152"/>
      <c r="S907" s="152"/>
      <c r="T907" s="152"/>
      <c r="U907" s="152"/>
      <c r="V907" s="152"/>
      <c r="W907" s="152"/>
      <c r="X907" s="152"/>
      <c r="Y907" s="152"/>
      <c r="Z907" s="152"/>
    </row>
    <row r="908" ht="12.8" customHeight="1" spans="1:26">
      <c r="A908" s="176"/>
      <c r="B908" s="176"/>
      <c r="C908" s="176"/>
      <c r="D908" s="152"/>
      <c r="E908" s="152"/>
      <c r="F908" s="152"/>
      <c r="G908" s="152"/>
      <c r="H908" s="152"/>
      <c r="I908" s="152"/>
      <c r="J908" s="152"/>
      <c r="K908" s="152"/>
      <c r="L908" s="152"/>
      <c r="M908" s="152"/>
      <c r="N908" s="152"/>
      <c r="O908" s="152"/>
      <c r="P908" s="152"/>
      <c r="Q908" s="152"/>
      <c r="R908" s="152"/>
      <c r="S908" s="152"/>
      <c r="T908" s="152"/>
      <c r="U908" s="152"/>
      <c r="V908" s="152"/>
      <c r="W908" s="152"/>
      <c r="X908" s="152"/>
      <c r="Y908" s="152"/>
      <c r="Z908" s="152"/>
    </row>
    <row r="909" ht="12.8" customHeight="1" spans="1:26">
      <c r="A909" s="176"/>
      <c r="B909" s="176"/>
      <c r="C909" s="176"/>
      <c r="D909" s="152"/>
      <c r="E909" s="152"/>
      <c r="F909" s="152"/>
      <c r="G909" s="152"/>
      <c r="H909" s="152"/>
      <c r="I909" s="152"/>
      <c r="J909" s="152"/>
      <c r="K909" s="152"/>
      <c r="L909" s="152"/>
      <c r="M909" s="152"/>
      <c r="N909" s="152"/>
      <c r="O909" s="152"/>
      <c r="P909" s="152"/>
      <c r="Q909" s="152"/>
      <c r="R909" s="152"/>
      <c r="S909" s="152"/>
      <c r="T909" s="152"/>
      <c r="U909" s="152"/>
      <c r="V909" s="152"/>
      <c r="W909" s="152"/>
      <c r="X909" s="152"/>
      <c r="Y909" s="152"/>
      <c r="Z909" s="152"/>
    </row>
    <row r="910" ht="12.8" customHeight="1" spans="1:26">
      <c r="A910" s="176"/>
      <c r="B910" s="176"/>
      <c r="C910" s="176"/>
      <c r="D910" s="152"/>
      <c r="E910" s="152"/>
      <c r="F910" s="152"/>
      <c r="G910" s="152"/>
      <c r="H910" s="152"/>
      <c r="I910" s="152"/>
      <c r="J910" s="152"/>
      <c r="K910" s="152"/>
      <c r="L910" s="152"/>
      <c r="M910" s="152"/>
      <c r="N910" s="152"/>
      <c r="O910" s="152"/>
      <c r="P910" s="152"/>
      <c r="Q910" s="152"/>
      <c r="R910" s="152"/>
      <c r="S910" s="152"/>
      <c r="T910" s="152"/>
      <c r="U910" s="152"/>
      <c r="V910" s="152"/>
      <c r="W910" s="152"/>
      <c r="X910" s="152"/>
      <c r="Y910" s="152"/>
      <c r="Z910" s="152"/>
    </row>
    <row r="911" ht="12.8" customHeight="1" spans="1:26">
      <c r="A911" s="176"/>
      <c r="B911" s="176"/>
      <c r="C911" s="176"/>
      <c r="D911" s="152"/>
      <c r="E911" s="152"/>
      <c r="F911" s="152"/>
      <c r="G911" s="152"/>
      <c r="H911" s="152"/>
      <c r="I911" s="152"/>
      <c r="J911" s="152"/>
      <c r="K911" s="152"/>
      <c r="L911" s="152"/>
      <c r="M911" s="152"/>
      <c r="N911" s="152"/>
      <c r="O911" s="152"/>
      <c r="P911" s="152"/>
      <c r="Q911" s="152"/>
      <c r="R911" s="152"/>
      <c r="S911" s="152"/>
      <c r="T911" s="152"/>
      <c r="U911" s="152"/>
      <c r="V911" s="152"/>
      <c r="W911" s="152"/>
      <c r="X911" s="152"/>
      <c r="Y911" s="152"/>
      <c r="Z911" s="152"/>
    </row>
    <row r="912" ht="12.8" customHeight="1" spans="1:26">
      <c r="A912" s="176"/>
      <c r="B912" s="176"/>
      <c r="C912" s="176"/>
      <c r="D912" s="152"/>
      <c r="E912" s="152"/>
      <c r="F912" s="152"/>
      <c r="G912" s="152"/>
      <c r="H912" s="152"/>
      <c r="I912" s="152"/>
      <c r="J912" s="152"/>
      <c r="K912" s="152"/>
      <c r="L912" s="152"/>
      <c r="M912" s="152"/>
      <c r="N912" s="152"/>
      <c r="O912" s="152"/>
      <c r="P912" s="152"/>
      <c r="Q912" s="152"/>
      <c r="R912" s="152"/>
      <c r="S912" s="152"/>
      <c r="T912" s="152"/>
      <c r="U912" s="152"/>
      <c r="V912" s="152"/>
      <c r="W912" s="152"/>
      <c r="X912" s="152"/>
      <c r="Y912" s="152"/>
      <c r="Z912" s="152"/>
    </row>
    <row r="913" ht="12.8" customHeight="1" spans="1:26">
      <c r="A913" s="176"/>
      <c r="B913" s="176"/>
      <c r="C913" s="176"/>
      <c r="D913" s="152"/>
      <c r="E913" s="152"/>
      <c r="F913" s="152"/>
      <c r="G913" s="152"/>
      <c r="H913" s="152"/>
      <c r="I913" s="152"/>
      <c r="J913" s="152"/>
      <c r="K913" s="152"/>
      <c r="L913" s="152"/>
      <c r="M913" s="152"/>
      <c r="N913" s="152"/>
      <c r="O913" s="152"/>
      <c r="P913" s="152"/>
      <c r="Q913" s="152"/>
      <c r="R913" s="152"/>
      <c r="S913" s="152"/>
      <c r="T913" s="152"/>
      <c r="U913" s="152"/>
      <c r="V913" s="152"/>
      <c r="W913" s="152"/>
      <c r="X913" s="152"/>
      <c r="Y913" s="152"/>
      <c r="Z913" s="152"/>
    </row>
    <row r="914" ht="12.8" customHeight="1" spans="1:26">
      <c r="A914" s="176"/>
      <c r="B914" s="176"/>
      <c r="C914" s="176"/>
      <c r="D914" s="152"/>
      <c r="E914" s="152"/>
      <c r="F914" s="152"/>
      <c r="G914" s="152"/>
      <c r="H914" s="152"/>
      <c r="I914" s="152"/>
      <c r="J914" s="152"/>
      <c r="K914" s="152"/>
      <c r="L914" s="152"/>
      <c r="M914" s="152"/>
      <c r="N914" s="152"/>
      <c r="O914" s="152"/>
      <c r="P914" s="152"/>
      <c r="Q914" s="152"/>
      <c r="R914" s="152"/>
      <c r="S914" s="152"/>
      <c r="T914" s="152"/>
      <c r="U914" s="152"/>
      <c r="V914" s="152"/>
      <c r="W914" s="152"/>
      <c r="X914" s="152"/>
      <c r="Y914" s="152"/>
      <c r="Z914" s="152"/>
    </row>
    <row r="915" ht="12.8" customHeight="1" spans="1:26">
      <c r="A915" s="176"/>
      <c r="B915" s="176"/>
      <c r="C915" s="176"/>
      <c r="D915" s="152"/>
      <c r="E915" s="152"/>
      <c r="F915" s="152"/>
      <c r="G915" s="152"/>
      <c r="H915" s="152"/>
      <c r="I915" s="152"/>
      <c r="J915" s="152"/>
      <c r="K915" s="152"/>
      <c r="L915" s="152"/>
      <c r="M915" s="152"/>
      <c r="N915" s="152"/>
      <c r="O915" s="152"/>
      <c r="P915" s="152"/>
      <c r="Q915" s="152"/>
      <c r="R915" s="152"/>
      <c r="S915" s="152"/>
      <c r="T915" s="152"/>
      <c r="U915" s="152"/>
      <c r="V915" s="152"/>
      <c r="W915" s="152"/>
      <c r="X915" s="152"/>
      <c r="Y915" s="152"/>
      <c r="Z915" s="152"/>
    </row>
    <row r="916" ht="12.8" customHeight="1" spans="1:26">
      <c r="A916" s="176"/>
      <c r="B916" s="176"/>
      <c r="C916" s="176"/>
      <c r="D916" s="152"/>
      <c r="E916" s="152"/>
      <c r="F916" s="152"/>
      <c r="G916" s="152"/>
      <c r="H916" s="152"/>
      <c r="I916" s="152"/>
      <c r="J916" s="152"/>
      <c r="K916" s="152"/>
      <c r="L916" s="152"/>
      <c r="M916" s="152"/>
      <c r="N916" s="152"/>
      <c r="O916" s="152"/>
      <c r="P916" s="152"/>
      <c r="Q916" s="152"/>
      <c r="R916" s="152"/>
      <c r="S916" s="152"/>
      <c r="T916" s="152"/>
      <c r="U916" s="152"/>
      <c r="V916" s="152"/>
      <c r="W916" s="152"/>
      <c r="X916" s="152"/>
      <c r="Y916" s="152"/>
      <c r="Z916" s="152"/>
    </row>
    <row r="917" ht="12.8" customHeight="1" spans="1:26">
      <c r="A917" s="176"/>
      <c r="B917" s="176"/>
      <c r="C917" s="176"/>
      <c r="D917" s="152"/>
      <c r="E917" s="152"/>
      <c r="F917" s="152"/>
      <c r="G917" s="152"/>
      <c r="H917" s="152"/>
      <c r="I917" s="152"/>
      <c r="J917" s="152"/>
      <c r="K917" s="152"/>
      <c r="L917" s="152"/>
      <c r="M917" s="152"/>
      <c r="N917" s="152"/>
      <c r="O917" s="152"/>
      <c r="P917" s="152"/>
      <c r="Q917" s="152"/>
      <c r="R917" s="152"/>
      <c r="S917" s="152"/>
      <c r="T917" s="152"/>
      <c r="U917" s="152"/>
      <c r="V917" s="152"/>
      <c r="W917" s="152"/>
      <c r="X917" s="152"/>
      <c r="Y917" s="152"/>
      <c r="Z917" s="152"/>
    </row>
    <row r="918" ht="12.8" customHeight="1" spans="1:26">
      <c r="A918" s="176"/>
      <c r="B918" s="176"/>
      <c r="C918" s="176"/>
      <c r="D918" s="152"/>
      <c r="E918" s="152"/>
      <c r="F918" s="152"/>
      <c r="G918" s="152"/>
      <c r="H918" s="152"/>
      <c r="I918" s="152"/>
      <c r="J918" s="152"/>
      <c r="K918" s="152"/>
      <c r="L918" s="152"/>
      <c r="M918" s="152"/>
      <c r="N918" s="152"/>
      <c r="O918" s="152"/>
      <c r="P918" s="152"/>
      <c r="Q918" s="152"/>
      <c r="R918" s="152"/>
      <c r="S918" s="152"/>
      <c r="T918" s="152"/>
      <c r="U918" s="152"/>
      <c r="V918" s="152"/>
      <c r="W918" s="152"/>
      <c r="X918" s="152"/>
      <c r="Y918" s="152"/>
      <c r="Z918" s="152"/>
    </row>
    <row r="919" ht="12.8" customHeight="1" spans="1:26">
      <c r="A919" s="176"/>
      <c r="B919" s="176"/>
      <c r="C919" s="176"/>
      <c r="D919" s="152"/>
      <c r="E919" s="152"/>
      <c r="F919" s="152"/>
      <c r="G919" s="152"/>
      <c r="H919" s="152"/>
      <c r="I919" s="152"/>
      <c r="J919" s="152"/>
      <c r="K919" s="152"/>
      <c r="L919" s="152"/>
      <c r="M919" s="152"/>
      <c r="N919" s="152"/>
      <c r="O919" s="152"/>
      <c r="P919" s="152"/>
      <c r="Q919" s="152"/>
      <c r="R919" s="152"/>
      <c r="S919" s="152"/>
      <c r="T919" s="152"/>
      <c r="U919" s="152"/>
      <c r="V919" s="152"/>
      <c r="W919" s="152"/>
      <c r="X919" s="152"/>
      <c r="Y919" s="152"/>
      <c r="Z919" s="152"/>
    </row>
    <row r="920" ht="12.8" customHeight="1" spans="1:26">
      <c r="A920" s="176"/>
      <c r="B920" s="176"/>
      <c r="C920" s="176"/>
      <c r="D920" s="152"/>
      <c r="E920" s="152"/>
      <c r="F920" s="152"/>
      <c r="G920" s="152"/>
      <c r="H920" s="152"/>
      <c r="I920" s="152"/>
      <c r="J920" s="152"/>
      <c r="K920" s="152"/>
      <c r="L920" s="152"/>
      <c r="M920" s="152"/>
      <c r="N920" s="152"/>
      <c r="O920" s="152"/>
      <c r="P920" s="152"/>
      <c r="Q920" s="152"/>
      <c r="R920" s="152"/>
      <c r="S920" s="152"/>
      <c r="T920" s="152"/>
      <c r="U920" s="152"/>
      <c r="V920" s="152"/>
      <c r="W920" s="152"/>
      <c r="X920" s="152"/>
      <c r="Y920" s="152"/>
      <c r="Z920" s="152"/>
    </row>
    <row r="921" ht="12.8" customHeight="1" spans="1:26">
      <c r="A921" s="176"/>
      <c r="B921" s="176"/>
      <c r="C921" s="176"/>
      <c r="D921" s="152"/>
      <c r="E921" s="152"/>
      <c r="F921" s="152"/>
      <c r="G921" s="152"/>
      <c r="H921" s="152"/>
      <c r="I921" s="152"/>
      <c r="J921" s="152"/>
      <c r="K921" s="152"/>
      <c r="L921" s="152"/>
      <c r="M921" s="152"/>
      <c r="N921" s="152"/>
      <c r="O921" s="152"/>
      <c r="P921" s="152"/>
      <c r="Q921" s="152"/>
      <c r="R921" s="152"/>
      <c r="S921" s="152"/>
      <c r="T921" s="152"/>
      <c r="U921" s="152"/>
      <c r="V921" s="152"/>
      <c r="W921" s="152"/>
      <c r="X921" s="152"/>
      <c r="Y921" s="152"/>
      <c r="Z921" s="152"/>
    </row>
    <row r="922" ht="12.8" customHeight="1" spans="1:26">
      <c r="A922" s="176"/>
      <c r="B922" s="176"/>
      <c r="C922" s="176"/>
      <c r="D922" s="152"/>
      <c r="E922" s="152"/>
      <c r="F922" s="152"/>
      <c r="G922" s="152"/>
      <c r="H922" s="152"/>
      <c r="I922" s="152"/>
      <c r="J922" s="152"/>
      <c r="K922" s="152"/>
      <c r="L922" s="152"/>
      <c r="M922" s="152"/>
      <c r="N922" s="152"/>
      <c r="O922" s="152"/>
      <c r="P922" s="152"/>
      <c r="Q922" s="152"/>
      <c r="R922" s="152"/>
      <c r="S922" s="152"/>
      <c r="T922" s="152"/>
      <c r="U922" s="152"/>
      <c r="V922" s="152"/>
      <c r="W922" s="152"/>
      <c r="X922" s="152"/>
      <c r="Y922" s="152"/>
      <c r="Z922" s="152"/>
    </row>
    <row r="923" ht="12.8" customHeight="1" spans="1:26">
      <c r="A923" s="176"/>
      <c r="B923" s="176"/>
      <c r="C923" s="176"/>
      <c r="D923" s="152"/>
      <c r="E923" s="152"/>
      <c r="F923" s="152"/>
      <c r="G923" s="152"/>
      <c r="H923" s="152"/>
      <c r="I923" s="152"/>
      <c r="J923" s="152"/>
      <c r="K923" s="152"/>
      <c r="L923" s="152"/>
      <c r="M923" s="152"/>
      <c r="N923" s="152"/>
      <c r="O923" s="152"/>
      <c r="P923" s="152"/>
      <c r="Q923" s="152"/>
      <c r="R923" s="152"/>
      <c r="S923" s="152"/>
      <c r="T923" s="152"/>
      <c r="U923" s="152"/>
      <c r="V923" s="152"/>
      <c r="W923" s="152"/>
      <c r="X923" s="152"/>
      <c r="Y923" s="152"/>
      <c r="Z923" s="152"/>
    </row>
    <row r="924" ht="12.8" customHeight="1" spans="1:26">
      <c r="A924" s="176"/>
      <c r="B924" s="176"/>
      <c r="C924" s="176"/>
      <c r="D924" s="152"/>
      <c r="E924" s="152"/>
      <c r="F924" s="152"/>
      <c r="G924" s="152"/>
      <c r="H924" s="152"/>
      <c r="I924" s="152"/>
      <c r="J924" s="152"/>
      <c r="K924" s="152"/>
      <c r="L924" s="152"/>
      <c r="M924" s="152"/>
      <c r="N924" s="152"/>
      <c r="O924" s="152"/>
      <c r="P924" s="152"/>
      <c r="Q924" s="152"/>
      <c r="R924" s="152"/>
      <c r="S924" s="152"/>
      <c r="T924" s="152"/>
      <c r="U924" s="152"/>
      <c r="V924" s="152"/>
      <c r="W924" s="152"/>
      <c r="X924" s="152"/>
      <c r="Y924" s="152"/>
      <c r="Z924" s="152"/>
    </row>
    <row r="925" ht="12.8" customHeight="1" spans="1:26">
      <c r="A925" s="176"/>
      <c r="B925" s="176"/>
      <c r="C925" s="176"/>
      <c r="D925" s="152"/>
      <c r="E925" s="152"/>
      <c r="F925" s="152"/>
      <c r="G925" s="152"/>
      <c r="H925" s="152"/>
      <c r="I925" s="152"/>
      <c r="J925" s="152"/>
      <c r="K925" s="152"/>
      <c r="L925" s="152"/>
      <c r="M925" s="152"/>
      <c r="N925" s="152"/>
      <c r="O925" s="152"/>
      <c r="P925" s="152"/>
      <c r="Q925" s="152"/>
      <c r="R925" s="152"/>
      <c r="S925" s="152"/>
      <c r="T925" s="152"/>
      <c r="U925" s="152"/>
      <c r="V925" s="152"/>
      <c r="W925" s="152"/>
      <c r="X925" s="152"/>
      <c r="Y925" s="152"/>
      <c r="Z925" s="152"/>
    </row>
    <row r="926" ht="12.8" customHeight="1" spans="1:26">
      <c r="A926" s="176"/>
      <c r="B926" s="176"/>
      <c r="C926" s="176"/>
      <c r="D926" s="152"/>
      <c r="E926" s="152"/>
      <c r="F926" s="152"/>
      <c r="G926" s="152"/>
      <c r="H926" s="152"/>
      <c r="I926" s="152"/>
      <c r="J926" s="152"/>
      <c r="K926" s="152"/>
      <c r="L926" s="152"/>
      <c r="M926" s="152"/>
      <c r="N926" s="152"/>
      <c r="O926" s="152"/>
      <c r="P926" s="152"/>
      <c r="Q926" s="152"/>
      <c r="R926" s="152"/>
      <c r="S926" s="152"/>
      <c r="T926" s="152"/>
      <c r="U926" s="152"/>
      <c r="V926" s="152"/>
      <c r="W926" s="152"/>
      <c r="X926" s="152"/>
      <c r="Y926" s="152"/>
      <c r="Z926" s="152"/>
    </row>
    <row r="927" ht="12.8" customHeight="1" spans="1:26">
      <c r="A927" s="176"/>
      <c r="B927" s="176"/>
      <c r="C927" s="176"/>
      <c r="D927" s="152"/>
      <c r="E927" s="152"/>
      <c r="F927" s="152"/>
      <c r="G927" s="152"/>
      <c r="H927" s="152"/>
      <c r="I927" s="152"/>
      <c r="J927" s="152"/>
      <c r="K927" s="152"/>
      <c r="L927" s="152"/>
      <c r="M927" s="152"/>
      <c r="N927" s="152"/>
      <c r="O927" s="152"/>
      <c r="P927" s="152"/>
      <c r="Q927" s="152"/>
      <c r="R927" s="152"/>
      <c r="S927" s="152"/>
      <c r="T927" s="152"/>
      <c r="U927" s="152"/>
      <c r="V927" s="152"/>
      <c r="W927" s="152"/>
      <c r="X927" s="152"/>
      <c r="Y927" s="152"/>
      <c r="Z927" s="152"/>
    </row>
    <row r="928" ht="12.8" customHeight="1" spans="1:26">
      <c r="A928" s="176"/>
      <c r="B928" s="176"/>
      <c r="C928" s="176"/>
      <c r="D928" s="152"/>
      <c r="E928" s="152"/>
      <c r="F928" s="152"/>
      <c r="G928" s="152"/>
      <c r="H928" s="152"/>
      <c r="I928" s="152"/>
      <c r="J928" s="152"/>
      <c r="K928" s="152"/>
      <c r="L928" s="152"/>
      <c r="M928" s="152"/>
      <c r="N928" s="152"/>
      <c r="O928" s="152"/>
      <c r="P928" s="152"/>
      <c r="Q928" s="152"/>
      <c r="R928" s="152"/>
      <c r="S928" s="152"/>
      <c r="T928" s="152"/>
      <c r="U928" s="152"/>
      <c r="V928" s="152"/>
      <c r="W928" s="152"/>
      <c r="X928" s="152"/>
      <c r="Y928" s="152"/>
      <c r="Z928" s="152"/>
    </row>
    <row r="929" ht="12.8" customHeight="1" spans="1:26">
      <c r="A929" s="176"/>
      <c r="B929" s="176"/>
      <c r="C929" s="176"/>
      <c r="D929" s="152"/>
      <c r="E929" s="152"/>
      <c r="F929" s="152"/>
      <c r="G929" s="152"/>
      <c r="H929" s="152"/>
      <c r="I929" s="152"/>
      <c r="J929" s="152"/>
      <c r="K929" s="152"/>
      <c r="L929" s="152"/>
      <c r="M929" s="152"/>
      <c r="N929" s="152"/>
      <c r="O929" s="152"/>
      <c r="P929" s="152"/>
      <c r="Q929" s="152"/>
      <c r="R929" s="152"/>
      <c r="S929" s="152"/>
      <c r="T929" s="152"/>
      <c r="U929" s="152"/>
      <c r="V929" s="152"/>
      <c r="W929" s="152"/>
      <c r="X929" s="152"/>
      <c r="Y929" s="152"/>
      <c r="Z929" s="152"/>
    </row>
    <row r="930" ht="12.8" customHeight="1" spans="1:26">
      <c r="A930" s="176"/>
      <c r="B930" s="176"/>
      <c r="C930" s="176"/>
      <c r="D930" s="152"/>
      <c r="E930" s="152"/>
      <c r="F930" s="152"/>
      <c r="G930" s="152"/>
      <c r="H930" s="152"/>
      <c r="I930" s="152"/>
      <c r="J930" s="152"/>
      <c r="K930" s="152"/>
      <c r="L930" s="152"/>
      <c r="M930" s="152"/>
      <c r="N930" s="152"/>
      <c r="O930" s="152"/>
      <c r="P930" s="152"/>
      <c r="Q930" s="152"/>
      <c r="R930" s="152"/>
      <c r="S930" s="152"/>
      <c r="T930" s="152"/>
      <c r="U930" s="152"/>
      <c r="V930" s="152"/>
      <c r="W930" s="152"/>
      <c r="X930" s="152"/>
      <c r="Y930" s="152"/>
      <c r="Z930" s="152"/>
    </row>
    <row r="931" ht="12.8" customHeight="1" spans="1:26">
      <c r="A931" s="176"/>
      <c r="B931" s="176"/>
      <c r="C931" s="176"/>
      <c r="D931" s="152"/>
      <c r="E931" s="152"/>
      <c r="F931" s="152"/>
      <c r="G931" s="152"/>
      <c r="H931" s="152"/>
      <c r="I931" s="152"/>
      <c r="J931" s="152"/>
      <c r="K931" s="152"/>
      <c r="L931" s="152"/>
      <c r="M931" s="152"/>
      <c r="N931" s="152"/>
      <c r="O931" s="152"/>
      <c r="P931" s="152"/>
      <c r="Q931" s="152"/>
      <c r="R931" s="152"/>
      <c r="S931" s="152"/>
      <c r="T931" s="152"/>
      <c r="U931" s="152"/>
      <c r="V931" s="152"/>
      <c r="W931" s="152"/>
      <c r="X931" s="152"/>
      <c r="Y931" s="152"/>
      <c r="Z931" s="152"/>
    </row>
    <row r="932" ht="12.8" customHeight="1" spans="1:26">
      <c r="A932" s="176"/>
      <c r="B932" s="176"/>
      <c r="C932" s="176"/>
      <c r="D932" s="152"/>
      <c r="E932" s="152"/>
      <c r="F932" s="152"/>
      <c r="G932" s="152"/>
      <c r="H932" s="152"/>
      <c r="I932" s="152"/>
      <c r="J932" s="152"/>
      <c r="K932" s="152"/>
      <c r="L932" s="152"/>
      <c r="M932" s="152"/>
      <c r="N932" s="152"/>
      <c r="O932" s="152"/>
      <c r="P932" s="152"/>
      <c r="Q932" s="152"/>
      <c r="R932" s="152"/>
      <c r="S932" s="152"/>
      <c r="T932" s="152"/>
      <c r="U932" s="152"/>
      <c r="V932" s="152"/>
      <c r="W932" s="152"/>
      <c r="X932" s="152"/>
      <c r="Y932" s="152"/>
      <c r="Z932" s="152"/>
    </row>
    <row r="933" ht="12.8" customHeight="1" spans="1:26">
      <c r="A933" s="176"/>
      <c r="B933" s="176"/>
      <c r="C933" s="176"/>
      <c r="D933" s="152"/>
      <c r="E933" s="152"/>
      <c r="F933" s="152"/>
      <c r="G933" s="152"/>
      <c r="H933" s="152"/>
      <c r="I933" s="152"/>
      <c r="J933" s="152"/>
      <c r="K933" s="152"/>
      <c r="L933" s="152"/>
      <c r="M933" s="152"/>
      <c r="N933" s="152"/>
      <c r="O933" s="152"/>
      <c r="P933" s="152"/>
      <c r="Q933" s="152"/>
      <c r="R933" s="152"/>
      <c r="S933" s="152"/>
      <c r="T933" s="152"/>
      <c r="U933" s="152"/>
      <c r="V933" s="152"/>
      <c r="W933" s="152"/>
      <c r="X933" s="152"/>
      <c r="Y933" s="152"/>
      <c r="Z933" s="152"/>
    </row>
    <row r="934" ht="12.8" customHeight="1" spans="1:26">
      <c r="A934" s="176"/>
      <c r="B934" s="176"/>
      <c r="C934" s="176"/>
      <c r="D934" s="152"/>
      <c r="E934" s="152"/>
      <c r="F934" s="152"/>
      <c r="G934" s="152"/>
      <c r="H934" s="152"/>
      <c r="I934" s="152"/>
      <c r="J934" s="152"/>
      <c r="K934" s="152"/>
      <c r="L934" s="152"/>
      <c r="M934" s="152"/>
      <c r="N934" s="152"/>
      <c r="O934" s="152"/>
      <c r="P934" s="152"/>
      <c r="Q934" s="152"/>
      <c r="R934" s="152"/>
      <c r="S934" s="152"/>
      <c r="T934" s="152"/>
      <c r="U934" s="152"/>
      <c r="V934" s="152"/>
      <c r="W934" s="152"/>
      <c r="X934" s="152"/>
      <c r="Y934" s="152"/>
      <c r="Z934" s="152"/>
    </row>
    <row r="935" ht="12.8" customHeight="1" spans="1:26">
      <c r="A935" s="176"/>
      <c r="B935" s="176"/>
      <c r="C935" s="176"/>
      <c r="D935" s="152"/>
      <c r="E935" s="152"/>
      <c r="F935" s="152"/>
      <c r="G935" s="152"/>
      <c r="H935" s="152"/>
      <c r="I935" s="152"/>
      <c r="J935" s="152"/>
      <c r="K935" s="152"/>
      <c r="L935" s="152"/>
      <c r="M935" s="152"/>
      <c r="N935" s="152"/>
      <c r="O935" s="152"/>
      <c r="P935" s="152"/>
      <c r="Q935" s="152"/>
      <c r="R935" s="152"/>
      <c r="S935" s="152"/>
      <c r="T935" s="152"/>
      <c r="U935" s="152"/>
      <c r="V935" s="152"/>
      <c r="W935" s="152"/>
      <c r="X935" s="152"/>
      <c r="Y935" s="152"/>
      <c r="Z935" s="152"/>
    </row>
    <row r="936" ht="12.8" customHeight="1" spans="1:26">
      <c r="A936" s="176"/>
      <c r="B936" s="176"/>
      <c r="C936" s="176"/>
      <c r="D936" s="152"/>
      <c r="E936" s="152"/>
      <c r="F936" s="152"/>
      <c r="G936" s="152"/>
      <c r="H936" s="152"/>
      <c r="I936" s="152"/>
      <c r="J936" s="152"/>
      <c r="K936" s="152"/>
      <c r="L936" s="152"/>
      <c r="M936" s="152"/>
      <c r="N936" s="152"/>
      <c r="O936" s="152"/>
      <c r="P936" s="152"/>
      <c r="Q936" s="152"/>
      <c r="R936" s="152"/>
      <c r="S936" s="152"/>
      <c r="T936" s="152"/>
      <c r="U936" s="152"/>
      <c r="V936" s="152"/>
      <c r="W936" s="152"/>
      <c r="X936" s="152"/>
      <c r="Y936" s="152"/>
      <c r="Z936" s="152"/>
    </row>
    <row r="937" ht="12.8" customHeight="1" spans="1:26">
      <c r="A937" s="176"/>
      <c r="B937" s="176"/>
      <c r="C937" s="176"/>
      <c r="D937" s="152"/>
      <c r="E937" s="152"/>
      <c r="F937" s="152"/>
      <c r="G937" s="152"/>
      <c r="H937" s="152"/>
      <c r="I937" s="152"/>
      <c r="J937" s="152"/>
      <c r="K937" s="152"/>
      <c r="L937" s="152"/>
      <c r="M937" s="152"/>
      <c r="N937" s="152"/>
      <c r="O937" s="152"/>
      <c r="P937" s="152"/>
      <c r="Q937" s="152"/>
      <c r="R937" s="152"/>
      <c r="S937" s="152"/>
      <c r="T937" s="152"/>
      <c r="U937" s="152"/>
      <c r="V937" s="152"/>
      <c r="W937" s="152"/>
      <c r="X937" s="152"/>
      <c r="Y937" s="152"/>
      <c r="Z937" s="152"/>
    </row>
    <row r="938" ht="12.8" customHeight="1" spans="1:26">
      <c r="A938" s="176"/>
      <c r="B938" s="176"/>
      <c r="C938" s="176"/>
      <c r="D938" s="152"/>
      <c r="E938" s="152"/>
      <c r="F938" s="152"/>
      <c r="G938" s="152"/>
      <c r="H938" s="152"/>
      <c r="I938" s="152"/>
      <c r="J938" s="152"/>
      <c r="K938" s="152"/>
      <c r="L938" s="152"/>
      <c r="M938" s="152"/>
      <c r="N938" s="152"/>
      <c r="O938" s="152"/>
      <c r="P938" s="152"/>
      <c r="Q938" s="152"/>
      <c r="R938" s="152"/>
      <c r="S938" s="152"/>
      <c r="T938" s="152"/>
      <c r="U938" s="152"/>
      <c r="V938" s="152"/>
      <c r="W938" s="152"/>
      <c r="X938" s="152"/>
      <c r="Y938" s="152"/>
      <c r="Z938" s="152"/>
    </row>
    <row r="939" ht="12.8" customHeight="1" spans="1:26">
      <c r="A939" s="176"/>
      <c r="B939" s="176"/>
      <c r="C939" s="176"/>
      <c r="D939" s="152"/>
      <c r="E939" s="152"/>
      <c r="F939" s="152"/>
      <c r="G939" s="152"/>
      <c r="H939" s="152"/>
      <c r="I939" s="152"/>
      <c r="J939" s="152"/>
      <c r="K939" s="152"/>
      <c r="L939" s="152"/>
      <c r="M939" s="152"/>
      <c r="N939" s="152"/>
      <c r="O939" s="152"/>
      <c r="P939" s="152"/>
      <c r="Q939" s="152"/>
      <c r="R939" s="152"/>
      <c r="S939" s="152"/>
      <c r="T939" s="152"/>
      <c r="U939" s="152"/>
      <c r="V939" s="152"/>
      <c r="W939" s="152"/>
      <c r="X939" s="152"/>
      <c r="Y939" s="152"/>
      <c r="Z939" s="152"/>
    </row>
    <row r="940" ht="12.8" customHeight="1" spans="1:26">
      <c r="A940" s="176"/>
      <c r="B940" s="176"/>
      <c r="C940" s="176"/>
      <c r="D940" s="152"/>
      <c r="E940" s="152"/>
      <c r="F940" s="152"/>
      <c r="G940" s="152"/>
      <c r="H940" s="152"/>
      <c r="I940" s="152"/>
      <c r="J940" s="152"/>
      <c r="K940" s="152"/>
      <c r="L940" s="152"/>
      <c r="M940" s="152"/>
      <c r="N940" s="152"/>
      <c r="O940" s="152"/>
      <c r="P940" s="152"/>
      <c r="Q940" s="152"/>
      <c r="R940" s="152"/>
      <c r="S940" s="152"/>
      <c r="T940" s="152"/>
      <c r="U940" s="152"/>
      <c r="V940" s="152"/>
      <c r="W940" s="152"/>
      <c r="X940" s="152"/>
      <c r="Y940" s="152"/>
      <c r="Z940" s="152"/>
    </row>
    <row r="941" ht="12.8" customHeight="1" spans="1:26">
      <c r="A941" s="176"/>
      <c r="B941" s="176"/>
      <c r="C941" s="176"/>
      <c r="D941" s="152"/>
      <c r="E941" s="152"/>
      <c r="F941" s="152"/>
      <c r="G941" s="152"/>
      <c r="H941" s="152"/>
      <c r="I941" s="152"/>
      <c r="J941" s="152"/>
      <c r="K941" s="152"/>
      <c r="L941" s="152"/>
      <c r="M941" s="152"/>
      <c r="N941" s="152"/>
      <c r="O941" s="152"/>
      <c r="P941" s="152"/>
      <c r="Q941" s="152"/>
      <c r="R941" s="152"/>
      <c r="S941" s="152"/>
      <c r="T941" s="152"/>
      <c r="U941" s="152"/>
      <c r="V941" s="152"/>
      <c r="W941" s="152"/>
      <c r="X941" s="152"/>
      <c r="Y941" s="152"/>
      <c r="Z941" s="152"/>
    </row>
    <row r="942" ht="12.8" customHeight="1" spans="1:26">
      <c r="A942" s="176"/>
      <c r="B942" s="176"/>
      <c r="C942" s="176"/>
      <c r="D942" s="152"/>
      <c r="E942" s="152"/>
      <c r="F942" s="152"/>
      <c r="G942" s="152"/>
      <c r="H942" s="152"/>
      <c r="I942" s="152"/>
      <c r="J942" s="152"/>
      <c r="K942" s="152"/>
      <c r="L942" s="152"/>
      <c r="M942" s="152"/>
      <c r="N942" s="152"/>
      <c r="O942" s="152"/>
      <c r="P942" s="152"/>
      <c r="Q942" s="152"/>
      <c r="R942" s="152"/>
      <c r="S942" s="152"/>
      <c r="T942" s="152"/>
      <c r="U942" s="152"/>
      <c r="V942" s="152"/>
      <c r="W942" s="152"/>
      <c r="X942" s="152"/>
      <c r="Y942" s="152"/>
      <c r="Z942" s="152"/>
    </row>
    <row r="943" ht="12.8" customHeight="1" spans="1:26">
      <c r="A943" s="176"/>
      <c r="B943" s="176"/>
      <c r="C943" s="176"/>
      <c r="D943" s="152"/>
      <c r="E943" s="152"/>
      <c r="F943" s="152"/>
      <c r="G943" s="152"/>
      <c r="H943" s="152"/>
      <c r="I943" s="152"/>
      <c r="J943" s="152"/>
      <c r="K943" s="152"/>
      <c r="L943" s="152"/>
      <c r="M943" s="152"/>
      <c r="N943" s="152"/>
      <c r="O943" s="152"/>
      <c r="P943" s="152"/>
      <c r="Q943" s="152"/>
      <c r="R943" s="152"/>
      <c r="S943" s="152"/>
      <c r="T943" s="152"/>
      <c r="U943" s="152"/>
      <c r="V943" s="152"/>
      <c r="W943" s="152"/>
      <c r="X943" s="152"/>
      <c r="Y943" s="152"/>
      <c r="Z943" s="152"/>
    </row>
    <row r="944" ht="12.8" customHeight="1" spans="1:26">
      <c r="A944" s="176"/>
      <c r="B944" s="176"/>
      <c r="C944" s="176"/>
      <c r="D944" s="152"/>
      <c r="E944" s="152"/>
      <c r="F944" s="152"/>
      <c r="G944" s="152"/>
      <c r="H944" s="152"/>
      <c r="I944" s="152"/>
      <c r="J944" s="152"/>
      <c r="K944" s="152"/>
      <c r="L944" s="152"/>
      <c r="M944" s="152"/>
      <c r="N944" s="152"/>
      <c r="O944" s="152"/>
      <c r="P944" s="152"/>
      <c r="Q944" s="152"/>
      <c r="R944" s="152"/>
      <c r="S944" s="152"/>
      <c r="T944" s="152"/>
      <c r="U944" s="152"/>
      <c r="V944" s="152"/>
      <c r="W944" s="152"/>
      <c r="X944" s="152"/>
      <c r="Y944" s="152"/>
      <c r="Z944" s="152"/>
    </row>
    <row r="945" ht="12.8" customHeight="1" spans="1:26">
      <c r="A945" s="176"/>
      <c r="B945" s="176"/>
      <c r="C945" s="176"/>
      <c r="D945" s="152"/>
      <c r="E945" s="152"/>
      <c r="F945" s="152"/>
      <c r="G945" s="152"/>
      <c r="H945" s="152"/>
      <c r="I945" s="152"/>
      <c r="J945" s="152"/>
      <c r="K945" s="152"/>
      <c r="L945" s="152"/>
      <c r="M945" s="152"/>
      <c r="N945" s="152"/>
      <c r="O945" s="152"/>
      <c r="P945" s="152"/>
      <c r="Q945" s="152"/>
      <c r="R945" s="152"/>
      <c r="S945" s="152"/>
      <c r="T945" s="152"/>
      <c r="U945" s="152"/>
      <c r="V945" s="152"/>
      <c r="W945" s="152"/>
      <c r="X945" s="152"/>
      <c r="Y945" s="152"/>
      <c r="Z945" s="152"/>
    </row>
    <row r="946" ht="12.8" customHeight="1" spans="1:26">
      <c r="A946" s="176"/>
      <c r="B946" s="176"/>
      <c r="C946" s="176"/>
      <c r="D946" s="152"/>
      <c r="E946" s="152"/>
      <c r="F946" s="152"/>
      <c r="G946" s="152"/>
      <c r="H946" s="152"/>
      <c r="I946" s="152"/>
      <c r="J946" s="152"/>
      <c r="K946" s="152"/>
      <c r="L946" s="152"/>
      <c r="M946" s="152"/>
      <c r="N946" s="152"/>
      <c r="O946" s="152"/>
      <c r="P946" s="152"/>
      <c r="Q946" s="152"/>
      <c r="R946" s="152"/>
      <c r="S946" s="152"/>
      <c r="T946" s="152"/>
      <c r="U946" s="152"/>
      <c r="V946" s="152"/>
      <c r="W946" s="152"/>
      <c r="X946" s="152"/>
      <c r="Y946" s="152"/>
      <c r="Z946" s="152"/>
    </row>
    <row r="947" ht="12.8" customHeight="1" spans="1:26">
      <c r="A947" s="176"/>
      <c r="B947" s="176"/>
      <c r="C947" s="176"/>
      <c r="D947" s="152"/>
      <c r="E947" s="152"/>
      <c r="F947" s="152"/>
      <c r="G947" s="152"/>
      <c r="H947" s="152"/>
      <c r="I947" s="152"/>
      <c r="J947" s="152"/>
      <c r="K947" s="152"/>
      <c r="L947" s="152"/>
      <c r="M947" s="152"/>
      <c r="N947" s="152"/>
      <c r="O947" s="152"/>
      <c r="P947" s="152"/>
      <c r="Q947" s="152"/>
      <c r="R947" s="152"/>
      <c r="S947" s="152"/>
      <c r="T947" s="152"/>
      <c r="U947" s="152"/>
      <c r="V947" s="152"/>
      <c r="W947" s="152"/>
      <c r="X947" s="152"/>
      <c r="Y947" s="152"/>
      <c r="Z947" s="152"/>
    </row>
    <row r="948" ht="12.8" customHeight="1" spans="1:26">
      <c r="A948" s="176"/>
      <c r="B948" s="176"/>
      <c r="C948" s="176"/>
      <c r="D948" s="152"/>
      <c r="E948" s="152"/>
      <c r="F948" s="152"/>
      <c r="G948" s="152"/>
      <c r="H948" s="152"/>
      <c r="I948" s="152"/>
      <c r="J948" s="152"/>
      <c r="K948" s="152"/>
      <c r="L948" s="152"/>
      <c r="M948" s="152"/>
      <c r="N948" s="152"/>
      <c r="O948" s="152"/>
      <c r="P948" s="152"/>
      <c r="Q948" s="152"/>
      <c r="R948" s="152"/>
      <c r="S948" s="152"/>
      <c r="T948" s="152"/>
      <c r="U948" s="152"/>
      <c r="V948" s="152"/>
      <c r="W948" s="152"/>
      <c r="X948" s="152"/>
      <c r="Y948" s="152"/>
      <c r="Z948" s="152"/>
    </row>
    <row r="949" ht="12.8" customHeight="1" spans="1:26">
      <c r="A949" s="176"/>
      <c r="B949" s="176"/>
      <c r="C949" s="176"/>
      <c r="D949" s="152"/>
      <c r="E949" s="152"/>
      <c r="F949" s="152"/>
      <c r="G949" s="152"/>
      <c r="H949" s="152"/>
      <c r="I949" s="152"/>
      <c r="J949" s="152"/>
      <c r="K949" s="152"/>
      <c r="L949" s="152"/>
      <c r="M949" s="152"/>
      <c r="N949" s="152"/>
      <c r="O949" s="152"/>
      <c r="P949" s="152"/>
      <c r="Q949" s="152"/>
      <c r="R949" s="152"/>
      <c r="S949" s="152"/>
      <c r="T949" s="152"/>
      <c r="U949" s="152"/>
      <c r="V949" s="152"/>
      <c r="W949" s="152"/>
      <c r="X949" s="152"/>
      <c r="Y949" s="152"/>
      <c r="Z949" s="152"/>
    </row>
    <row r="950" ht="12.8" customHeight="1" spans="1:26">
      <c r="A950" s="176"/>
      <c r="B950" s="176"/>
      <c r="C950" s="176"/>
      <c r="D950" s="152"/>
      <c r="E950" s="152"/>
      <c r="F950" s="152"/>
      <c r="G950" s="152"/>
      <c r="H950" s="152"/>
      <c r="I950" s="152"/>
      <c r="J950" s="152"/>
      <c r="K950" s="152"/>
      <c r="L950" s="152"/>
      <c r="M950" s="152"/>
      <c r="N950" s="152"/>
      <c r="O950" s="152"/>
      <c r="P950" s="152"/>
      <c r="Q950" s="152"/>
      <c r="R950" s="152"/>
      <c r="S950" s="152"/>
      <c r="T950" s="152"/>
      <c r="U950" s="152"/>
      <c r="V950" s="152"/>
      <c r="W950" s="152"/>
      <c r="X950" s="152"/>
      <c r="Y950" s="152"/>
      <c r="Z950" s="152"/>
    </row>
    <row r="951" ht="12.8" customHeight="1" spans="1:26">
      <c r="A951" s="176"/>
      <c r="B951" s="176"/>
      <c r="C951" s="176"/>
      <c r="D951" s="152"/>
      <c r="E951" s="152"/>
      <c r="F951" s="152"/>
      <c r="G951" s="152"/>
      <c r="H951" s="152"/>
      <c r="I951" s="152"/>
      <c r="J951" s="152"/>
      <c r="K951" s="152"/>
      <c r="L951" s="152"/>
      <c r="M951" s="152"/>
      <c r="N951" s="152"/>
      <c r="O951" s="152"/>
      <c r="P951" s="152"/>
      <c r="Q951" s="152"/>
      <c r="R951" s="152"/>
      <c r="S951" s="152"/>
      <c r="T951" s="152"/>
      <c r="U951" s="152"/>
      <c r="V951" s="152"/>
      <c r="W951" s="152"/>
      <c r="X951" s="152"/>
      <c r="Y951" s="152"/>
      <c r="Z951" s="152"/>
    </row>
    <row r="952" ht="12.8" customHeight="1" spans="1:26">
      <c r="A952" s="176"/>
      <c r="B952" s="176"/>
      <c r="C952" s="176"/>
      <c r="D952" s="152"/>
      <c r="E952" s="152"/>
      <c r="F952" s="152"/>
      <c r="G952" s="152"/>
      <c r="H952" s="152"/>
      <c r="I952" s="152"/>
      <c r="J952" s="152"/>
      <c r="K952" s="152"/>
      <c r="L952" s="152"/>
      <c r="M952" s="152"/>
      <c r="N952" s="152"/>
      <c r="O952" s="152"/>
      <c r="P952" s="152"/>
      <c r="Q952" s="152"/>
      <c r="R952" s="152"/>
      <c r="S952" s="152"/>
      <c r="T952" s="152"/>
      <c r="U952" s="152"/>
      <c r="V952" s="152"/>
      <c r="W952" s="152"/>
      <c r="X952" s="152"/>
      <c r="Y952" s="152"/>
      <c r="Z952" s="152"/>
    </row>
    <row r="953" ht="12.8" customHeight="1" spans="1:26">
      <c r="A953" s="176"/>
      <c r="B953" s="176"/>
      <c r="C953" s="176"/>
      <c r="D953" s="152"/>
      <c r="E953" s="152"/>
      <c r="F953" s="152"/>
      <c r="G953" s="152"/>
      <c r="H953" s="152"/>
      <c r="I953" s="152"/>
      <c r="J953" s="152"/>
      <c r="K953" s="152"/>
      <c r="L953" s="152"/>
      <c r="M953" s="152"/>
      <c r="N953" s="152"/>
      <c r="O953" s="152"/>
      <c r="P953" s="152"/>
      <c r="Q953" s="152"/>
      <c r="R953" s="152"/>
      <c r="S953" s="152"/>
      <c r="T953" s="152"/>
      <c r="U953" s="152"/>
      <c r="V953" s="152"/>
      <c r="W953" s="152"/>
      <c r="X953" s="152"/>
      <c r="Y953" s="152"/>
      <c r="Z953" s="152"/>
    </row>
    <row r="954" ht="12.8" customHeight="1" spans="1:26">
      <c r="A954" s="176"/>
      <c r="B954" s="176"/>
      <c r="C954" s="176"/>
      <c r="D954" s="152"/>
      <c r="E954" s="152"/>
      <c r="F954" s="152"/>
      <c r="G954" s="152"/>
      <c r="H954" s="152"/>
      <c r="I954" s="152"/>
      <c r="J954" s="152"/>
      <c r="K954" s="152"/>
      <c r="L954" s="152"/>
      <c r="M954" s="152"/>
      <c r="N954" s="152"/>
      <c r="O954" s="152"/>
      <c r="P954" s="152"/>
      <c r="Q954" s="152"/>
      <c r="R954" s="152"/>
      <c r="S954" s="152"/>
      <c r="T954" s="152"/>
      <c r="U954" s="152"/>
      <c r="V954" s="152"/>
      <c r="W954" s="152"/>
      <c r="X954" s="152"/>
      <c r="Y954" s="152"/>
      <c r="Z954" s="152"/>
    </row>
    <row r="955" ht="12.8" customHeight="1" spans="1:26">
      <c r="A955" s="176"/>
      <c r="B955" s="176"/>
      <c r="C955" s="176"/>
      <c r="D955" s="152"/>
      <c r="E955" s="152"/>
      <c r="F955" s="152"/>
      <c r="G955" s="152"/>
      <c r="H955" s="152"/>
      <c r="I955" s="152"/>
      <c r="J955" s="152"/>
      <c r="K955" s="152"/>
      <c r="L955" s="152"/>
      <c r="M955" s="152"/>
      <c r="N955" s="152"/>
      <c r="O955" s="152"/>
      <c r="P955" s="152"/>
      <c r="Q955" s="152"/>
      <c r="R955" s="152"/>
      <c r="S955" s="152"/>
      <c r="T955" s="152"/>
      <c r="U955" s="152"/>
      <c r="V955" s="152"/>
      <c r="W955" s="152"/>
      <c r="X955" s="152"/>
      <c r="Y955" s="152"/>
      <c r="Z955" s="152"/>
    </row>
    <row r="956" ht="12.8" customHeight="1" spans="1:26">
      <c r="A956" s="176"/>
      <c r="B956" s="176"/>
      <c r="C956" s="176"/>
      <c r="D956" s="152"/>
      <c r="E956" s="152"/>
      <c r="F956" s="152"/>
      <c r="G956" s="152"/>
      <c r="H956" s="152"/>
      <c r="I956" s="152"/>
      <c r="J956" s="152"/>
      <c r="K956" s="152"/>
      <c r="L956" s="152"/>
      <c r="M956" s="152"/>
      <c r="N956" s="152"/>
      <c r="O956" s="152"/>
      <c r="P956" s="152"/>
      <c r="Q956" s="152"/>
      <c r="R956" s="152"/>
      <c r="S956" s="152"/>
      <c r="T956" s="152"/>
      <c r="U956" s="152"/>
      <c r="V956" s="152"/>
      <c r="W956" s="152"/>
      <c r="X956" s="152"/>
      <c r="Y956" s="152"/>
      <c r="Z956" s="152"/>
    </row>
    <row r="957" ht="12.8" customHeight="1" spans="1:26">
      <c r="A957" s="176"/>
      <c r="B957" s="176"/>
      <c r="C957" s="176"/>
      <c r="D957" s="152"/>
      <c r="E957" s="152"/>
      <c r="F957" s="152"/>
      <c r="G957" s="152"/>
      <c r="H957" s="152"/>
      <c r="I957" s="152"/>
      <c r="J957" s="152"/>
      <c r="K957" s="152"/>
      <c r="L957" s="152"/>
      <c r="M957" s="152"/>
      <c r="N957" s="152"/>
      <c r="O957" s="152"/>
      <c r="P957" s="152"/>
      <c r="Q957" s="152"/>
      <c r="R957" s="152"/>
      <c r="S957" s="152"/>
      <c r="T957" s="152"/>
      <c r="U957" s="152"/>
      <c r="V957" s="152"/>
      <c r="W957" s="152"/>
      <c r="X957" s="152"/>
      <c r="Y957" s="152"/>
      <c r="Z957" s="152"/>
    </row>
    <row r="958" ht="12.8" customHeight="1" spans="1:26">
      <c r="A958" s="176"/>
      <c r="B958" s="176"/>
      <c r="C958" s="176"/>
      <c r="D958" s="152"/>
      <c r="E958" s="152"/>
      <c r="F958" s="152"/>
      <c r="G958" s="152"/>
      <c r="H958" s="152"/>
      <c r="I958" s="152"/>
      <c r="J958" s="152"/>
      <c r="K958" s="152"/>
      <c r="L958" s="152"/>
      <c r="M958" s="152"/>
      <c r="N958" s="152"/>
      <c r="O958" s="152"/>
      <c r="P958" s="152"/>
      <c r="Q958" s="152"/>
      <c r="R958" s="152"/>
      <c r="S958" s="152"/>
      <c r="T958" s="152"/>
      <c r="U958" s="152"/>
      <c r="V958" s="152"/>
      <c r="W958" s="152"/>
      <c r="X958" s="152"/>
      <c r="Y958" s="152"/>
      <c r="Z958" s="152"/>
    </row>
    <row r="959" ht="12.8" customHeight="1" spans="1:26">
      <c r="A959" s="176"/>
      <c r="B959" s="176"/>
      <c r="C959" s="176"/>
      <c r="D959" s="152"/>
      <c r="E959" s="152"/>
      <c r="F959" s="152"/>
      <c r="G959" s="152"/>
      <c r="H959" s="152"/>
      <c r="I959" s="152"/>
      <c r="J959" s="152"/>
      <c r="K959" s="152"/>
      <c r="L959" s="152"/>
      <c r="M959" s="152"/>
      <c r="N959" s="152"/>
      <c r="O959" s="152"/>
      <c r="P959" s="152"/>
      <c r="Q959" s="152"/>
      <c r="R959" s="152"/>
      <c r="S959" s="152"/>
      <c r="T959" s="152"/>
      <c r="U959" s="152"/>
      <c r="V959" s="152"/>
      <c r="W959" s="152"/>
      <c r="X959" s="152"/>
      <c r="Y959" s="152"/>
      <c r="Z959" s="152"/>
    </row>
    <row r="960" ht="12.8" customHeight="1" spans="1:26">
      <c r="A960" s="176"/>
      <c r="B960" s="176"/>
      <c r="C960" s="176"/>
      <c r="D960" s="152"/>
      <c r="E960" s="152"/>
      <c r="F960" s="152"/>
      <c r="G960" s="152"/>
      <c r="H960" s="152"/>
      <c r="I960" s="152"/>
      <c r="J960" s="152"/>
      <c r="K960" s="152"/>
      <c r="L960" s="152"/>
      <c r="M960" s="152"/>
      <c r="N960" s="152"/>
      <c r="O960" s="152"/>
      <c r="P960" s="152"/>
      <c r="Q960" s="152"/>
      <c r="R960" s="152"/>
      <c r="S960" s="152"/>
      <c r="T960" s="152"/>
      <c r="U960" s="152"/>
      <c r="V960" s="152"/>
      <c r="W960" s="152"/>
      <c r="X960" s="152"/>
      <c r="Y960" s="152"/>
      <c r="Z960" s="152"/>
    </row>
    <row r="961" ht="12.8" customHeight="1" spans="1:26">
      <c r="A961" s="176"/>
      <c r="B961" s="176"/>
      <c r="C961" s="176"/>
      <c r="D961" s="152"/>
      <c r="E961" s="152"/>
      <c r="F961" s="152"/>
      <c r="G961" s="152"/>
      <c r="H961" s="152"/>
      <c r="I961" s="152"/>
      <c r="J961" s="152"/>
      <c r="K961" s="152"/>
      <c r="L961" s="152"/>
      <c r="M961" s="152"/>
      <c r="N961" s="152"/>
      <c r="O961" s="152"/>
      <c r="P961" s="152"/>
      <c r="Q961" s="152"/>
      <c r="R961" s="152"/>
      <c r="S961" s="152"/>
      <c r="T961" s="152"/>
      <c r="U961" s="152"/>
      <c r="V961" s="152"/>
      <c r="W961" s="152"/>
      <c r="X961" s="152"/>
      <c r="Y961" s="152"/>
      <c r="Z961" s="152"/>
    </row>
    <row r="962" ht="12.8" customHeight="1" spans="1:26">
      <c r="A962" s="176"/>
      <c r="B962" s="176"/>
      <c r="C962" s="176"/>
      <c r="D962" s="152"/>
      <c r="E962" s="152"/>
      <c r="F962" s="152"/>
      <c r="G962" s="152"/>
      <c r="H962" s="152"/>
      <c r="I962" s="152"/>
      <c r="J962" s="152"/>
      <c r="K962" s="152"/>
      <c r="L962" s="152"/>
      <c r="M962" s="152"/>
      <c r="N962" s="152"/>
      <c r="O962" s="152"/>
      <c r="P962" s="152"/>
      <c r="Q962" s="152"/>
      <c r="R962" s="152"/>
      <c r="S962" s="152"/>
      <c r="T962" s="152"/>
      <c r="U962" s="152"/>
      <c r="V962" s="152"/>
      <c r="W962" s="152"/>
      <c r="X962" s="152"/>
      <c r="Y962" s="152"/>
      <c r="Z962" s="152"/>
    </row>
    <row r="963" ht="12.8" customHeight="1" spans="1:26">
      <c r="A963" s="176"/>
      <c r="B963" s="176"/>
      <c r="C963" s="176"/>
      <c r="D963" s="152"/>
      <c r="E963" s="152"/>
      <c r="F963" s="152"/>
      <c r="G963" s="152"/>
      <c r="H963" s="152"/>
      <c r="I963" s="152"/>
      <c r="J963" s="152"/>
      <c r="K963" s="152"/>
      <c r="L963" s="152"/>
      <c r="M963" s="152"/>
      <c r="N963" s="152"/>
      <c r="O963" s="152"/>
      <c r="P963" s="152"/>
      <c r="Q963" s="152"/>
      <c r="R963" s="152"/>
      <c r="S963" s="152"/>
      <c r="T963" s="152"/>
      <c r="U963" s="152"/>
      <c r="V963" s="152"/>
      <c r="W963" s="152"/>
      <c r="X963" s="152"/>
      <c r="Y963" s="152"/>
      <c r="Z963" s="152"/>
    </row>
    <row r="964" ht="12.8" customHeight="1" spans="1:26">
      <c r="A964" s="176"/>
      <c r="B964" s="176"/>
      <c r="C964" s="176"/>
      <c r="D964" s="152"/>
      <c r="E964" s="152"/>
      <c r="F964" s="152"/>
      <c r="G964" s="152"/>
      <c r="H964" s="152"/>
      <c r="I964" s="152"/>
      <c r="J964" s="152"/>
      <c r="K964" s="152"/>
      <c r="L964" s="152"/>
      <c r="M964" s="152"/>
      <c r="N964" s="152"/>
      <c r="O964" s="152"/>
      <c r="P964" s="152"/>
      <c r="Q964" s="152"/>
      <c r="R964" s="152"/>
      <c r="S964" s="152"/>
      <c r="T964" s="152"/>
      <c r="U964" s="152"/>
      <c r="V964" s="152"/>
      <c r="W964" s="152"/>
      <c r="X964" s="152"/>
      <c r="Y964" s="152"/>
      <c r="Z964" s="152"/>
    </row>
    <row r="965" ht="12.8" customHeight="1" spans="1:26">
      <c r="A965" s="176"/>
      <c r="B965" s="176"/>
      <c r="C965" s="176"/>
      <c r="D965" s="152"/>
      <c r="E965" s="152"/>
      <c r="F965" s="152"/>
      <c r="G965" s="152"/>
      <c r="H965" s="152"/>
      <c r="I965" s="152"/>
      <c r="J965" s="152"/>
      <c r="K965" s="152"/>
      <c r="L965" s="152"/>
      <c r="M965" s="152"/>
      <c r="N965" s="152"/>
      <c r="O965" s="152"/>
      <c r="P965" s="152"/>
      <c r="Q965" s="152"/>
      <c r="R965" s="152"/>
      <c r="S965" s="152"/>
      <c r="T965" s="152"/>
      <c r="U965" s="152"/>
      <c r="V965" s="152"/>
      <c r="W965" s="152"/>
      <c r="X965" s="152"/>
      <c r="Y965" s="152"/>
      <c r="Z965" s="152"/>
    </row>
    <row r="966" ht="12.8" customHeight="1" spans="1:26">
      <c r="A966" s="176"/>
      <c r="B966" s="176"/>
      <c r="C966" s="176"/>
      <c r="D966" s="152"/>
      <c r="E966" s="152"/>
      <c r="F966" s="152"/>
      <c r="G966" s="152"/>
      <c r="H966" s="152"/>
      <c r="I966" s="152"/>
      <c r="J966" s="152"/>
      <c r="K966" s="152"/>
      <c r="L966" s="152"/>
      <c r="M966" s="152"/>
      <c r="N966" s="152"/>
      <c r="O966" s="152"/>
      <c r="P966" s="152"/>
      <c r="Q966" s="152"/>
      <c r="R966" s="152"/>
      <c r="S966" s="152"/>
      <c r="T966" s="152"/>
      <c r="U966" s="152"/>
      <c r="V966" s="152"/>
      <c r="W966" s="152"/>
      <c r="X966" s="152"/>
      <c r="Y966" s="152"/>
      <c r="Z966" s="152"/>
    </row>
    <row r="967" ht="12.8" customHeight="1" spans="1:26">
      <c r="A967" s="176"/>
      <c r="B967" s="176"/>
      <c r="C967" s="176"/>
      <c r="D967" s="152"/>
      <c r="E967" s="152"/>
      <c r="F967" s="152"/>
      <c r="G967" s="152"/>
      <c r="H967" s="152"/>
      <c r="I967" s="152"/>
      <c r="J967" s="152"/>
      <c r="K967" s="152"/>
      <c r="L967" s="152"/>
      <c r="M967" s="152"/>
      <c r="N967" s="152"/>
      <c r="O967" s="152"/>
      <c r="P967" s="152"/>
      <c r="Q967" s="152"/>
      <c r="R967" s="152"/>
      <c r="S967" s="152"/>
      <c r="T967" s="152"/>
      <c r="U967" s="152"/>
      <c r="V967" s="152"/>
      <c r="W967" s="152"/>
      <c r="X967" s="152"/>
      <c r="Y967" s="152"/>
      <c r="Z967" s="152"/>
    </row>
    <row r="968" ht="12.8" customHeight="1" spans="1:26">
      <c r="A968" s="176"/>
      <c r="B968" s="176"/>
      <c r="C968" s="176"/>
      <c r="D968" s="152"/>
      <c r="E968" s="152"/>
      <c r="F968" s="152"/>
      <c r="G968" s="152"/>
      <c r="H968" s="152"/>
      <c r="I968" s="152"/>
      <c r="J968" s="152"/>
      <c r="K968" s="152"/>
      <c r="L968" s="152"/>
      <c r="M968" s="152"/>
      <c r="N968" s="152"/>
      <c r="O968" s="152"/>
      <c r="P968" s="152"/>
      <c r="Q968" s="152"/>
      <c r="R968" s="152"/>
      <c r="S968" s="152"/>
      <c r="T968" s="152"/>
      <c r="U968" s="152"/>
      <c r="V968" s="152"/>
      <c r="W968" s="152"/>
      <c r="X968" s="152"/>
      <c r="Y968" s="152"/>
      <c r="Z968" s="152"/>
    </row>
    <row r="969" ht="12.8" customHeight="1" spans="1:26">
      <c r="A969" s="176"/>
      <c r="B969" s="176"/>
      <c r="C969" s="176"/>
      <c r="D969" s="152"/>
      <c r="E969" s="152"/>
      <c r="F969" s="152"/>
      <c r="G969" s="152"/>
      <c r="H969" s="152"/>
      <c r="I969" s="152"/>
      <c r="J969" s="152"/>
      <c r="K969" s="152"/>
      <c r="L969" s="152"/>
      <c r="M969" s="152"/>
      <c r="N969" s="152"/>
      <c r="O969" s="152"/>
      <c r="P969" s="152"/>
      <c r="Q969" s="152"/>
      <c r="R969" s="152"/>
      <c r="S969" s="152"/>
      <c r="T969" s="152"/>
      <c r="U969" s="152"/>
      <c r="V969" s="152"/>
      <c r="W969" s="152"/>
      <c r="X969" s="152"/>
      <c r="Y969" s="152"/>
      <c r="Z969" s="152"/>
    </row>
    <row r="970" ht="12.8" customHeight="1" spans="1:26">
      <c r="A970" s="176"/>
      <c r="B970" s="176"/>
      <c r="C970" s="176"/>
      <c r="D970" s="152"/>
      <c r="E970" s="152"/>
      <c r="F970" s="152"/>
      <c r="G970" s="152"/>
      <c r="H970" s="152"/>
      <c r="I970" s="152"/>
      <c r="J970" s="152"/>
      <c r="K970" s="152"/>
      <c r="L970" s="152"/>
      <c r="M970" s="152"/>
      <c r="N970" s="152"/>
      <c r="O970" s="152"/>
      <c r="P970" s="152"/>
      <c r="Q970" s="152"/>
      <c r="R970" s="152"/>
      <c r="S970" s="152"/>
      <c r="T970" s="152"/>
      <c r="U970" s="152"/>
      <c r="V970" s="152"/>
      <c r="W970" s="152"/>
      <c r="X970" s="152"/>
      <c r="Y970" s="152"/>
      <c r="Z970" s="152"/>
    </row>
    <row r="971" ht="12.8" customHeight="1" spans="1:26">
      <c r="A971" s="176"/>
      <c r="B971" s="176"/>
      <c r="C971" s="176"/>
      <c r="D971" s="152"/>
      <c r="E971" s="152"/>
      <c r="F971" s="152"/>
      <c r="G971" s="152"/>
      <c r="H971" s="152"/>
      <c r="I971" s="152"/>
      <c r="J971" s="152"/>
      <c r="K971" s="152"/>
      <c r="L971" s="152"/>
      <c r="M971" s="152"/>
      <c r="N971" s="152"/>
      <c r="O971" s="152"/>
      <c r="P971" s="152"/>
      <c r="Q971" s="152"/>
      <c r="R971" s="152"/>
      <c r="S971" s="152"/>
      <c r="T971" s="152"/>
      <c r="U971" s="152"/>
      <c r="V971" s="152"/>
      <c r="W971" s="152"/>
      <c r="X971" s="152"/>
      <c r="Y971" s="152"/>
      <c r="Z971" s="152"/>
    </row>
    <row r="972" ht="12.8" customHeight="1" spans="1:26">
      <c r="A972" s="176"/>
      <c r="B972" s="176"/>
      <c r="C972" s="176"/>
      <c r="D972" s="152"/>
      <c r="E972" s="152"/>
      <c r="F972" s="152"/>
      <c r="G972" s="152"/>
      <c r="H972" s="152"/>
      <c r="I972" s="152"/>
      <c r="J972" s="152"/>
      <c r="K972" s="152"/>
      <c r="L972" s="152"/>
      <c r="M972" s="152"/>
      <c r="N972" s="152"/>
      <c r="O972" s="152"/>
      <c r="P972" s="152"/>
      <c r="Q972" s="152"/>
      <c r="R972" s="152"/>
      <c r="S972" s="152"/>
      <c r="T972" s="152"/>
      <c r="U972" s="152"/>
      <c r="V972" s="152"/>
      <c r="W972" s="152"/>
      <c r="X972" s="152"/>
      <c r="Y972" s="152"/>
      <c r="Z972" s="152"/>
    </row>
    <row r="973" ht="12.8" customHeight="1" spans="1:26">
      <c r="A973" s="176"/>
      <c r="B973" s="176"/>
      <c r="C973" s="176"/>
      <c r="D973" s="152"/>
      <c r="E973" s="152"/>
      <c r="F973" s="152"/>
      <c r="G973" s="152"/>
      <c r="H973" s="152"/>
      <c r="I973" s="152"/>
      <c r="J973" s="152"/>
      <c r="K973" s="152"/>
      <c r="L973" s="152"/>
      <c r="M973" s="152"/>
      <c r="N973" s="152"/>
      <c r="O973" s="152"/>
      <c r="P973" s="152"/>
      <c r="Q973" s="152"/>
      <c r="R973" s="152"/>
      <c r="S973" s="152"/>
      <c r="T973" s="152"/>
      <c r="U973" s="152"/>
      <c r="V973" s="152"/>
      <c r="W973" s="152"/>
      <c r="X973" s="152"/>
      <c r="Y973" s="152"/>
      <c r="Z973" s="152"/>
    </row>
    <row r="974" ht="12.8" customHeight="1" spans="1:26">
      <c r="A974" s="176"/>
      <c r="B974" s="176"/>
      <c r="C974" s="176"/>
      <c r="D974" s="152"/>
      <c r="E974" s="152"/>
      <c r="F974" s="152"/>
      <c r="G974" s="152"/>
      <c r="H974" s="152"/>
      <c r="I974" s="152"/>
      <c r="J974" s="152"/>
      <c r="K974" s="152"/>
      <c r="L974" s="152"/>
      <c r="M974" s="152"/>
      <c r="N974" s="152"/>
      <c r="O974" s="152"/>
      <c r="P974" s="152"/>
      <c r="Q974" s="152"/>
      <c r="R974" s="152"/>
      <c r="S974" s="152"/>
      <c r="T974" s="152"/>
      <c r="U974" s="152"/>
      <c r="V974" s="152"/>
      <c r="W974" s="152"/>
      <c r="X974" s="152"/>
      <c r="Y974" s="152"/>
      <c r="Z974" s="152"/>
    </row>
    <row r="975" ht="12.8" customHeight="1" spans="1:26">
      <c r="A975" s="176"/>
      <c r="B975" s="176"/>
      <c r="C975" s="176"/>
      <c r="D975" s="152"/>
      <c r="E975" s="152"/>
      <c r="F975" s="152"/>
      <c r="G975" s="152"/>
      <c r="H975" s="152"/>
      <c r="I975" s="152"/>
      <c r="J975" s="152"/>
      <c r="K975" s="152"/>
      <c r="L975" s="152"/>
      <c r="M975" s="152"/>
      <c r="N975" s="152"/>
      <c r="O975" s="152"/>
      <c r="P975" s="152"/>
      <c r="Q975" s="152"/>
      <c r="R975" s="152"/>
      <c r="S975" s="152"/>
      <c r="T975" s="152"/>
      <c r="U975" s="152"/>
      <c r="V975" s="152"/>
      <c r="W975" s="152"/>
      <c r="X975" s="152"/>
      <c r="Y975" s="152"/>
      <c r="Z975" s="152"/>
    </row>
    <row r="976" ht="12.8" customHeight="1" spans="1:26">
      <c r="A976" s="176"/>
      <c r="B976" s="176"/>
      <c r="C976" s="176"/>
      <c r="D976" s="152"/>
      <c r="E976" s="152"/>
      <c r="F976" s="152"/>
      <c r="G976" s="152"/>
      <c r="H976" s="152"/>
      <c r="I976" s="152"/>
      <c r="J976" s="152"/>
      <c r="K976" s="152"/>
      <c r="L976" s="152"/>
      <c r="M976" s="152"/>
      <c r="N976" s="152"/>
      <c r="O976" s="152"/>
      <c r="P976" s="152"/>
      <c r="Q976" s="152"/>
      <c r="R976" s="152"/>
      <c r="S976" s="152"/>
      <c r="T976" s="152"/>
      <c r="U976" s="152"/>
      <c r="V976" s="152"/>
      <c r="W976" s="152"/>
      <c r="X976" s="152"/>
      <c r="Y976" s="152"/>
      <c r="Z976" s="152"/>
    </row>
    <row r="977" ht="12.8" customHeight="1" spans="1:26">
      <c r="A977" s="176"/>
      <c r="B977" s="176"/>
      <c r="C977" s="176"/>
      <c r="D977" s="152"/>
      <c r="E977" s="152"/>
      <c r="F977" s="152"/>
      <c r="G977" s="152"/>
      <c r="H977" s="152"/>
      <c r="I977" s="152"/>
      <c r="J977" s="152"/>
      <c r="K977" s="152"/>
      <c r="L977" s="152"/>
      <c r="M977" s="152"/>
      <c r="N977" s="152"/>
      <c r="O977" s="152"/>
      <c r="P977" s="152"/>
      <c r="Q977" s="152"/>
      <c r="R977" s="152"/>
      <c r="S977" s="152"/>
      <c r="T977" s="152"/>
      <c r="U977" s="152"/>
      <c r="V977" s="152"/>
      <c r="W977" s="152"/>
      <c r="X977" s="152"/>
      <c r="Y977" s="152"/>
      <c r="Z977" s="152"/>
    </row>
    <row r="978" ht="12.8" customHeight="1" spans="1:26">
      <c r="A978" s="176"/>
      <c r="B978" s="176"/>
      <c r="C978" s="176"/>
      <c r="D978" s="152"/>
      <c r="E978" s="152"/>
      <c r="F978" s="152"/>
      <c r="G978" s="152"/>
      <c r="H978" s="152"/>
      <c r="I978" s="152"/>
      <c r="J978" s="152"/>
      <c r="K978" s="152"/>
      <c r="L978" s="152"/>
      <c r="M978" s="152"/>
      <c r="N978" s="152"/>
      <c r="O978" s="152"/>
      <c r="P978" s="152"/>
      <c r="Q978" s="152"/>
      <c r="R978" s="152"/>
      <c r="S978" s="152"/>
      <c r="T978" s="152"/>
      <c r="U978" s="152"/>
      <c r="V978" s="152"/>
      <c r="W978" s="152"/>
      <c r="X978" s="152"/>
      <c r="Y978" s="152"/>
      <c r="Z978" s="152"/>
    </row>
    <row r="979" ht="12.8" customHeight="1" spans="1:26">
      <c r="A979" s="176"/>
      <c r="B979" s="176"/>
      <c r="C979" s="176"/>
      <c r="D979" s="152"/>
      <c r="E979" s="152"/>
      <c r="F979" s="152"/>
      <c r="G979" s="152"/>
      <c r="H979" s="152"/>
      <c r="I979" s="152"/>
      <c r="J979" s="152"/>
      <c r="K979" s="152"/>
      <c r="L979" s="152"/>
      <c r="M979" s="152"/>
      <c r="N979" s="152"/>
      <c r="O979" s="152"/>
      <c r="P979" s="152"/>
      <c r="Q979" s="152"/>
      <c r="R979" s="152"/>
      <c r="S979" s="152"/>
      <c r="T979" s="152"/>
      <c r="U979" s="152"/>
      <c r="V979" s="152"/>
      <c r="W979" s="152"/>
      <c r="X979" s="152"/>
      <c r="Y979" s="152"/>
      <c r="Z979" s="152"/>
    </row>
    <row r="980" ht="12.8" customHeight="1" spans="1:26">
      <c r="A980" s="176"/>
      <c r="B980" s="176"/>
      <c r="C980" s="176"/>
      <c r="D980" s="152"/>
      <c r="E980" s="152"/>
      <c r="F980" s="152"/>
      <c r="G980" s="152"/>
      <c r="H980" s="152"/>
      <c r="I980" s="152"/>
      <c r="J980" s="152"/>
      <c r="K980" s="152"/>
      <c r="L980" s="152"/>
      <c r="M980" s="152"/>
      <c r="N980" s="152"/>
      <c r="O980" s="152"/>
      <c r="P980" s="152"/>
      <c r="Q980" s="152"/>
      <c r="R980" s="152"/>
      <c r="S980" s="152"/>
      <c r="T980" s="152"/>
      <c r="U980" s="152"/>
      <c r="V980" s="152"/>
      <c r="W980" s="152"/>
      <c r="X980" s="152"/>
      <c r="Y980" s="152"/>
      <c r="Z980" s="152"/>
    </row>
    <row r="981" ht="12.8" customHeight="1" spans="1:26">
      <c r="A981" s="176"/>
      <c r="B981" s="176"/>
      <c r="C981" s="176"/>
      <c r="D981" s="152"/>
      <c r="E981" s="152"/>
      <c r="F981" s="152"/>
      <c r="G981" s="152"/>
      <c r="H981" s="152"/>
      <c r="I981" s="152"/>
      <c r="J981" s="152"/>
      <c r="K981" s="152"/>
      <c r="L981" s="152"/>
      <c r="M981" s="152"/>
      <c r="N981" s="152"/>
      <c r="O981" s="152"/>
      <c r="P981" s="152"/>
      <c r="Q981" s="152"/>
      <c r="R981" s="152"/>
      <c r="S981" s="152"/>
      <c r="T981" s="152"/>
      <c r="U981" s="152"/>
      <c r="V981" s="152"/>
      <c r="W981" s="152"/>
      <c r="X981" s="152"/>
      <c r="Y981" s="152"/>
      <c r="Z981" s="152"/>
    </row>
    <row r="982" ht="12.8" customHeight="1" spans="1:26">
      <c r="A982" s="176"/>
      <c r="B982" s="176"/>
      <c r="C982" s="176"/>
      <c r="D982" s="152"/>
      <c r="E982" s="152"/>
      <c r="F982" s="152"/>
      <c r="G982" s="152"/>
      <c r="H982" s="152"/>
      <c r="I982" s="152"/>
      <c r="J982" s="152"/>
      <c r="K982" s="152"/>
      <c r="L982" s="152"/>
      <c r="M982" s="152"/>
      <c r="N982" s="152"/>
      <c r="O982" s="152"/>
      <c r="P982" s="152"/>
      <c r="Q982" s="152"/>
      <c r="R982" s="152"/>
      <c r="S982" s="152"/>
      <c r="T982" s="152"/>
      <c r="U982" s="152"/>
      <c r="V982" s="152"/>
      <c r="W982" s="152"/>
      <c r="X982" s="152"/>
      <c r="Y982" s="152"/>
      <c r="Z982" s="152"/>
    </row>
    <row r="983" ht="12.8" customHeight="1" spans="1:26">
      <c r="A983" s="176"/>
      <c r="B983" s="176"/>
      <c r="C983" s="176"/>
      <c r="D983" s="152"/>
      <c r="E983" s="152"/>
      <c r="F983" s="152"/>
      <c r="G983" s="152"/>
      <c r="H983" s="152"/>
      <c r="I983" s="152"/>
      <c r="J983" s="152"/>
      <c r="K983" s="152"/>
      <c r="L983" s="152"/>
      <c r="M983" s="152"/>
      <c r="N983" s="152"/>
      <c r="O983" s="152"/>
      <c r="P983" s="152"/>
      <c r="Q983" s="152"/>
      <c r="R983" s="152"/>
      <c r="S983" s="152"/>
      <c r="T983" s="152"/>
      <c r="U983" s="152"/>
      <c r="V983" s="152"/>
      <c r="W983" s="152"/>
      <c r="X983" s="152"/>
      <c r="Y983" s="152"/>
      <c r="Z983" s="152"/>
    </row>
    <row r="984" ht="12.8" customHeight="1" spans="1:26">
      <c r="A984" s="176"/>
      <c r="B984" s="176"/>
      <c r="C984" s="176"/>
      <c r="D984" s="152"/>
      <c r="E984" s="152"/>
      <c r="F984" s="152"/>
      <c r="G984" s="152"/>
      <c r="H984" s="152"/>
      <c r="I984" s="152"/>
      <c r="J984" s="152"/>
      <c r="K984" s="152"/>
      <c r="L984" s="152"/>
      <c r="M984" s="152"/>
      <c r="N984" s="152"/>
      <c r="O984" s="152"/>
      <c r="P984" s="152"/>
      <c r="Q984" s="152"/>
      <c r="R984" s="152"/>
      <c r="S984" s="152"/>
      <c r="T984" s="152"/>
      <c r="U984" s="152"/>
      <c r="V984" s="152"/>
      <c r="W984" s="152"/>
      <c r="X984" s="152"/>
      <c r="Y984" s="152"/>
      <c r="Z984" s="152"/>
    </row>
    <row r="985" ht="12.8" customHeight="1" spans="1:26">
      <c r="A985" s="176"/>
      <c r="B985" s="176"/>
      <c r="C985" s="176"/>
      <c r="D985" s="152"/>
      <c r="E985" s="152"/>
      <c r="F985" s="152"/>
      <c r="G985" s="152"/>
      <c r="H985" s="152"/>
      <c r="I985" s="152"/>
      <c r="J985" s="152"/>
      <c r="K985" s="152"/>
      <c r="L985" s="152"/>
      <c r="M985" s="152"/>
      <c r="N985" s="152"/>
      <c r="O985" s="152"/>
      <c r="P985" s="152"/>
      <c r="Q985" s="152"/>
      <c r="R985" s="152"/>
      <c r="S985" s="152"/>
      <c r="T985" s="152"/>
      <c r="U985" s="152"/>
      <c r="V985" s="152"/>
      <c r="W985" s="152"/>
      <c r="X985" s="152"/>
      <c r="Y985" s="152"/>
      <c r="Z985" s="152"/>
    </row>
    <row r="986" ht="12.8" customHeight="1" spans="1:26">
      <c r="A986" s="176"/>
      <c r="B986" s="176"/>
      <c r="C986" s="176"/>
      <c r="D986" s="152"/>
      <c r="E986" s="152"/>
      <c r="F986" s="152"/>
      <c r="G986" s="152"/>
      <c r="H986" s="152"/>
      <c r="I986" s="152"/>
      <c r="J986" s="152"/>
      <c r="K986" s="152"/>
      <c r="L986" s="152"/>
      <c r="M986" s="152"/>
      <c r="N986" s="152"/>
      <c r="O986" s="152"/>
      <c r="P986" s="152"/>
      <c r="Q986" s="152"/>
      <c r="R986" s="152"/>
      <c r="S986" s="152"/>
      <c r="T986" s="152"/>
      <c r="U986" s="152"/>
      <c r="V986" s="152"/>
      <c r="W986" s="152"/>
      <c r="X986" s="152"/>
      <c r="Y986" s="152"/>
      <c r="Z986" s="152"/>
    </row>
    <row r="987" ht="12.8" customHeight="1" spans="1:26">
      <c r="A987" s="176"/>
      <c r="B987" s="176"/>
      <c r="C987" s="176"/>
      <c r="D987" s="152"/>
      <c r="E987" s="152"/>
      <c r="F987" s="152"/>
      <c r="G987" s="152"/>
      <c r="H987" s="152"/>
      <c r="I987" s="152"/>
      <c r="J987" s="152"/>
      <c r="K987" s="152"/>
      <c r="L987" s="152"/>
      <c r="M987" s="152"/>
      <c r="N987" s="152"/>
      <c r="O987" s="152"/>
      <c r="P987" s="152"/>
      <c r="Q987" s="152"/>
      <c r="R987" s="152"/>
      <c r="S987" s="152"/>
      <c r="T987" s="152"/>
      <c r="U987" s="152"/>
      <c r="V987" s="152"/>
      <c r="W987" s="152"/>
      <c r="X987" s="152"/>
      <c r="Y987" s="152"/>
      <c r="Z987" s="152"/>
    </row>
    <row r="988" ht="12.8" customHeight="1" spans="1:26">
      <c r="A988" s="176"/>
      <c r="B988" s="176"/>
      <c r="C988" s="176"/>
      <c r="D988" s="152"/>
      <c r="E988" s="152"/>
      <c r="F988" s="152"/>
      <c r="G988" s="152"/>
      <c r="H988" s="152"/>
      <c r="I988" s="152"/>
      <c r="J988" s="152"/>
      <c r="K988" s="152"/>
      <c r="L988" s="152"/>
      <c r="M988" s="152"/>
      <c r="N988" s="152"/>
      <c r="O988" s="152"/>
      <c r="P988" s="152"/>
      <c r="Q988" s="152"/>
      <c r="R988" s="152"/>
      <c r="S988" s="152"/>
      <c r="T988" s="152"/>
      <c r="U988" s="152"/>
      <c r="V988" s="152"/>
      <c r="W988" s="152"/>
      <c r="X988" s="152"/>
      <c r="Y988" s="152"/>
      <c r="Z988" s="152"/>
    </row>
    <row r="989" ht="12.8" customHeight="1" spans="1:26">
      <c r="A989" s="176"/>
      <c r="B989" s="176"/>
      <c r="C989" s="176"/>
      <c r="D989" s="152"/>
      <c r="E989" s="152"/>
      <c r="F989" s="152"/>
      <c r="G989" s="152"/>
      <c r="H989" s="152"/>
      <c r="I989" s="152"/>
      <c r="J989" s="152"/>
      <c r="K989" s="152"/>
      <c r="L989" s="152"/>
      <c r="M989" s="152"/>
      <c r="N989" s="152"/>
      <c r="O989" s="152"/>
      <c r="P989" s="152"/>
      <c r="Q989" s="152"/>
      <c r="R989" s="152"/>
      <c r="S989" s="152"/>
      <c r="T989" s="152"/>
      <c r="U989" s="152"/>
      <c r="V989" s="152"/>
      <c r="W989" s="152"/>
      <c r="X989" s="152"/>
      <c r="Y989" s="152"/>
      <c r="Z989" s="152"/>
    </row>
    <row r="990" ht="12.8" customHeight="1" spans="1:26">
      <c r="A990" s="176"/>
      <c r="B990" s="176"/>
      <c r="C990" s="176"/>
      <c r="D990" s="152"/>
      <c r="E990" s="152"/>
      <c r="F990" s="152"/>
      <c r="G990" s="152"/>
      <c r="H990" s="152"/>
      <c r="I990" s="152"/>
      <c r="J990" s="152"/>
      <c r="K990" s="152"/>
      <c r="L990" s="152"/>
      <c r="M990" s="152"/>
      <c r="N990" s="152"/>
      <c r="O990" s="152"/>
      <c r="P990" s="152"/>
      <c r="Q990" s="152"/>
      <c r="R990" s="152"/>
      <c r="S990" s="152"/>
      <c r="T990" s="152"/>
      <c r="U990" s="152"/>
      <c r="V990" s="152"/>
      <c r="W990" s="152"/>
      <c r="X990" s="152"/>
      <c r="Y990" s="152"/>
      <c r="Z990" s="152"/>
    </row>
    <row r="991" ht="12.8" customHeight="1" spans="1:26">
      <c r="A991" s="176"/>
      <c r="B991" s="176"/>
      <c r="C991" s="176"/>
      <c r="D991" s="152"/>
      <c r="E991" s="152"/>
      <c r="F991" s="152"/>
      <c r="G991" s="152"/>
      <c r="H991" s="152"/>
      <c r="I991" s="152"/>
      <c r="J991" s="152"/>
      <c r="K991" s="152"/>
      <c r="L991" s="152"/>
      <c r="M991" s="152"/>
      <c r="N991" s="152"/>
      <c r="O991" s="152"/>
      <c r="P991" s="152"/>
      <c r="Q991" s="152"/>
      <c r="R991" s="152"/>
      <c r="S991" s="152"/>
      <c r="T991" s="152"/>
      <c r="U991" s="152"/>
      <c r="V991" s="152"/>
      <c r="W991" s="152"/>
      <c r="X991" s="152"/>
      <c r="Y991" s="152"/>
      <c r="Z991" s="152"/>
    </row>
    <row r="992" ht="12.8" customHeight="1" spans="1:26">
      <c r="A992" s="176"/>
      <c r="B992" s="176"/>
      <c r="C992" s="176"/>
      <c r="D992" s="152"/>
      <c r="E992" s="152"/>
      <c r="F992" s="152"/>
      <c r="G992" s="152"/>
      <c r="H992" s="152"/>
      <c r="I992" s="152"/>
      <c r="J992" s="152"/>
      <c r="K992" s="152"/>
      <c r="L992" s="152"/>
      <c r="M992" s="152"/>
      <c r="N992" s="152"/>
      <c r="O992" s="152"/>
      <c r="P992" s="152"/>
      <c r="Q992" s="152"/>
      <c r="R992" s="152"/>
      <c r="S992" s="152"/>
      <c r="T992" s="152"/>
      <c r="U992" s="152"/>
      <c r="V992" s="152"/>
      <c r="W992" s="152"/>
      <c r="X992" s="152"/>
      <c r="Y992" s="152"/>
      <c r="Z992" s="152"/>
    </row>
    <row r="993" ht="12.8" customHeight="1" spans="1:26">
      <c r="A993" s="176"/>
      <c r="B993" s="176"/>
      <c r="C993" s="176"/>
      <c r="D993" s="152"/>
      <c r="E993" s="152"/>
      <c r="F993" s="152"/>
      <c r="G993" s="152"/>
      <c r="H993" s="152"/>
      <c r="I993" s="152"/>
      <c r="J993" s="152"/>
      <c r="K993" s="152"/>
      <c r="L993" s="152"/>
      <c r="M993" s="152"/>
      <c r="N993" s="152"/>
      <c r="O993" s="152"/>
      <c r="P993" s="152"/>
      <c r="Q993" s="152"/>
      <c r="R993" s="152"/>
      <c r="S993" s="152"/>
      <c r="T993" s="152"/>
      <c r="U993" s="152"/>
      <c r="V993" s="152"/>
      <c r="W993" s="152"/>
      <c r="X993" s="152"/>
      <c r="Y993" s="152"/>
      <c r="Z993" s="152"/>
    </row>
    <row r="994" ht="12.8" customHeight="1" spans="1:26">
      <c r="A994" s="176"/>
      <c r="B994" s="176"/>
      <c r="C994" s="176"/>
      <c r="D994" s="152"/>
      <c r="E994" s="152"/>
      <c r="F994" s="152"/>
      <c r="G994" s="152"/>
      <c r="H994" s="152"/>
      <c r="I994" s="152"/>
      <c r="J994" s="152"/>
      <c r="K994" s="152"/>
      <c r="L994" s="152"/>
      <c r="M994" s="152"/>
      <c r="N994" s="152"/>
      <c r="O994" s="152"/>
      <c r="P994" s="152"/>
      <c r="Q994" s="152"/>
      <c r="R994" s="152"/>
      <c r="S994" s="152"/>
      <c r="T994" s="152"/>
      <c r="U994" s="152"/>
      <c r="V994" s="152"/>
      <c r="W994" s="152"/>
      <c r="X994" s="152"/>
      <c r="Y994" s="152"/>
      <c r="Z994" s="152"/>
    </row>
    <row r="995" ht="12.8" customHeight="1" spans="1:26">
      <c r="A995" s="176"/>
      <c r="B995" s="176"/>
      <c r="C995" s="176"/>
      <c r="D995" s="152"/>
      <c r="E995" s="152"/>
      <c r="F995" s="152"/>
      <c r="G995" s="152"/>
      <c r="H995" s="152"/>
      <c r="I995" s="152"/>
      <c r="J995" s="152"/>
      <c r="K995" s="152"/>
      <c r="L995" s="152"/>
      <c r="M995" s="152"/>
      <c r="N995" s="152"/>
      <c r="O995" s="152"/>
      <c r="P995" s="152"/>
      <c r="Q995" s="152"/>
      <c r="R995" s="152"/>
      <c r="S995" s="152"/>
      <c r="T995" s="152"/>
      <c r="U995" s="152"/>
      <c r="V995" s="152"/>
      <c r="W995" s="152"/>
      <c r="X995" s="152"/>
      <c r="Y995" s="152"/>
      <c r="Z995" s="152"/>
    </row>
    <row r="996" ht="12.8" customHeight="1" spans="1:26">
      <c r="A996" s="176"/>
      <c r="B996" s="176"/>
      <c r="C996" s="176"/>
      <c r="D996" s="152"/>
      <c r="E996" s="152"/>
      <c r="F996" s="152"/>
      <c r="G996" s="152"/>
      <c r="H996" s="152"/>
      <c r="I996" s="152"/>
      <c r="J996" s="152"/>
      <c r="K996" s="152"/>
      <c r="L996" s="152"/>
      <c r="M996" s="152"/>
      <c r="N996" s="152"/>
      <c r="O996" s="152"/>
      <c r="P996" s="152"/>
      <c r="Q996" s="152"/>
      <c r="R996" s="152"/>
      <c r="S996" s="152"/>
      <c r="T996" s="152"/>
      <c r="U996" s="152"/>
      <c r="V996" s="152"/>
      <c r="W996" s="152"/>
      <c r="X996" s="152"/>
      <c r="Y996" s="152"/>
      <c r="Z996" s="152"/>
    </row>
    <row r="997" ht="12.8" customHeight="1" spans="1:26">
      <c r="A997" s="176"/>
      <c r="B997" s="176"/>
      <c r="C997" s="176"/>
      <c r="D997" s="152"/>
      <c r="E997" s="152"/>
      <c r="F997" s="152"/>
      <c r="G997" s="152"/>
      <c r="H997" s="152"/>
      <c r="I997" s="152"/>
      <c r="J997" s="152"/>
      <c r="K997" s="152"/>
      <c r="L997" s="152"/>
      <c r="M997" s="152"/>
      <c r="N997" s="152"/>
      <c r="O997" s="152"/>
      <c r="P997" s="152"/>
      <c r="Q997" s="152"/>
      <c r="R997" s="152"/>
      <c r="S997" s="152"/>
      <c r="T997" s="152"/>
      <c r="U997" s="152"/>
      <c r="V997" s="152"/>
      <c r="W997" s="152"/>
      <c r="X997" s="152"/>
      <c r="Y997" s="152"/>
      <c r="Z997" s="152"/>
    </row>
    <row r="998" ht="12.8" customHeight="1" spans="1:26">
      <c r="A998" s="176"/>
      <c r="B998" s="176"/>
      <c r="C998" s="176"/>
      <c r="D998" s="152"/>
      <c r="E998" s="152"/>
      <c r="F998" s="152"/>
      <c r="G998" s="152"/>
      <c r="H998" s="152"/>
      <c r="I998" s="152"/>
      <c r="J998" s="152"/>
      <c r="K998" s="152"/>
      <c r="L998" s="152"/>
      <c r="M998" s="152"/>
      <c r="N998" s="152"/>
      <c r="O998" s="152"/>
      <c r="P998" s="152"/>
      <c r="Q998" s="152"/>
      <c r="R998" s="152"/>
      <c r="S998" s="152"/>
      <c r="T998" s="152"/>
      <c r="U998" s="152"/>
      <c r="V998" s="152"/>
      <c r="W998" s="152"/>
      <c r="X998" s="152"/>
      <c r="Y998" s="152"/>
      <c r="Z998" s="152"/>
    </row>
    <row r="999" ht="12.8" customHeight="1" spans="1:26">
      <c r="A999" s="176"/>
      <c r="B999" s="176"/>
      <c r="C999" s="176"/>
      <c r="D999" s="152"/>
      <c r="E999" s="152"/>
      <c r="F999" s="152"/>
      <c r="G999" s="152"/>
      <c r="H999" s="152"/>
      <c r="I999" s="152"/>
      <c r="J999" s="152"/>
      <c r="K999" s="152"/>
      <c r="L999" s="152"/>
      <c r="M999" s="152"/>
      <c r="N999" s="152"/>
      <c r="O999" s="152"/>
      <c r="P999" s="152"/>
      <c r="Q999" s="152"/>
      <c r="R999" s="152"/>
      <c r="S999" s="152"/>
      <c r="T999" s="152"/>
      <c r="U999" s="152"/>
      <c r="V999" s="152"/>
      <c r="W999" s="152"/>
      <c r="X999" s="152"/>
      <c r="Y999" s="152"/>
      <c r="Z999" s="152"/>
    </row>
    <row r="1000" ht="12.8" customHeight="1" spans="1:26">
      <c r="A1000" s="176"/>
      <c r="B1000" s="176"/>
      <c r="C1000" s="176"/>
      <c r="D1000" s="152"/>
      <c r="E1000" s="152"/>
      <c r="F1000" s="152"/>
      <c r="G1000" s="152"/>
      <c r="H1000" s="152"/>
      <c r="I1000" s="152"/>
      <c r="J1000" s="152"/>
      <c r="K1000" s="152"/>
      <c r="L1000" s="152"/>
      <c r="M1000" s="152"/>
      <c r="N1000" s="152"/>
      <c r="O1000" s="152"/>
      <c r="P1000" s="152"/>
      <c r="Q1000" s="152"/>
      <c r="R1000" s="152"/>
      <c r="S1000" s="152"/>
      <c r="T1000" s="152"/>
      <c r="U1000" s="152"/>
      <c r="V1000" s="152"/>
      <c r="W1000" s="152"/>
      <c r="X1000" s="152"/>
      <c r="Y1000" s="152"/>
      <c r="Z1000" s="152"/>
    </row>
  </sheetData>
  <mergeCells count="7">
    <mergeCell ref="A4:D4"/>
    <mergeCell ref="E4:H4"/>
    <mergeCell ref="A5:D5"/>
    <mergeCell ref="E5:H5"/>
    <mergeCell ref="A6:D6"/>
    <mergeCell ref="A7:D7"/>
    <mergeCell ref="E7:H7"/>
  </mergeCells>
  <pageMargins left="0.7" right="0.7" top="0.75" bottom="0.75" header="0" footer="0"/>
  <pageSetup paperSize="1" orientation="landscape" useFirstPageNumber="1"/>
  <headerFooter>
    <oddFooter>&amp;L 02ae-BM/PM/HDCV/FSOFT v2/1&amp;CInternal use&amp;R&amp;P/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93366"/>
  </sheetPr>
  <dimension ref="A1:Z1000"/>
  <sheetViews>
    <sheetView tabSelected="1" workbookViewId="0">
      <selection activeCell="A1" sqref="A1"/>
    </sheetView>
  </sheetViews>
  <sheetFormatPr defaultColWidth="14.4406779661017" defaultRowHeight="15.05" customHeight="1"/>
  <cols>
    <col min="1" max="1" width="17.5508474576271" customWidth="1"/>
    <col min="2" max="2" width="30.4406779661017" customWidth="1"/>
    <col min="3" max="3" width="13.8898305084746" customWidth="1"/>
    <col min="4" max="8" width="12" customWidth="1"/>
    <col min="9" max="9" width="24" customWidth="1"/>
    <col min="10" max="26" width="9.11016949152542" customWidth="1"/>
  </cols>
  <sheetData>
    <row r="1" ht="12.8" customHeight="1" spans="1:26">
      <c r="A1" s="152"/>
      <c r="B1" s="152"/>
      <c r="C1" s="152"/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2"/>
      <c r="P1" s="152"/>
      <c r="Q1" s="152"/>
      <c r="R1" s="152"/>
      <c r="S1" s="152"/>
      <c r="T1" s="152"/>
      <c r="U1" s="152"/>
      <c r="V1" s="152"/>
      <c r="W1" s="152"/>
      <c r="X1" s="152"/>
      <c r="Y1" s="152"/>
      <c r="Z1" s="152"/>
    </row>
    <row r="2" ht="25.55" customHeight="1" spans="1:26">
      <c r="A2" s="153" t="s">
        <v>661</v>
      </c>
      <c r="B2" s="154"/>
      <c r="C2" s="154"/>
      <c r="D2" s="154"/>
      <c r="E2" s="154"/>
      <c r="F2" s="154"/>
      <c r="G2" s="154"/>
      <c r="H2" s="154"/>
      <c r="I2" s="154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152"/>
      <c r="Z2" s="152"/>
    </row>
    <row r="3" ht="14.25" customHeight="1" spans="1:26">
      <c r="A3" s="155"/>
      <c r="B3" s="152"/>
      <c r="C3" s="152"/>
      <c r="D3" s="152"/>
      <c r="E3" s="152"/>
      <c r="F3" s="152"/>
      <c r="G3" s="152"/>
      <c r="H3" s="152"/>
      <c r="I3" s="156"/>
      <c r="J3" s="152"/>
      <c r="K3" s="152"/>
      <c r="L3" s="152"/>
      <c r="M3" s="152"/>
      <c r="N3" s="152"/>
      <c r="O3" s="152"/>
      <c r="P3" s="152"/>
      <c r="Q3" s="152"/>
      <c r="R3" s="152"/>
      <c r="S3" s="152"/>
      <c r="T3" s="152"/>
      <c r="U3" s="152"/>
      <c r="V3" s="152"/>
      <c r="W3" s="152"/>
      <c r="X3" s="152"/>
      <c r="Y3" s="152"/>
      <c r="Z3" s="152"/>
    </row>
    <row r="4" ht="13.6" customHeight="1" spans="1:26">
      <c r="A4" s="157" t="s">
        <v>46</v>
      </c>
      <c r="B4" s="158" t="str">
        <f>Cover!B4</f>
        <v>IQGS – AI-Powered Interview Question Generation System Using RAG and LLM – A Dual-Sided Platform for Recruiters and Job Seekers</v>
      </c>
      <c r="C4" s="64"/>
      <c r="D4" s="159" t="s">
        <v>48</v>
      </c>
      <c r="E4" s="64"/>
      <c r="F4" s="160"/>
      <c r="G4" s="66"/>
      <c r="H4" s="66"/>
      <c r="I4" s="64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52"/>
      <c r="Z4" s="152"/>
    </row>
    <row r="5" ht="13.6" customHeight="1" spans="1:26">
      <c r="A5" s="157" t="s">
        <v>50</v>
      </c>
      <c r="B5" s="158" t="str">
        <f>Cover!B5</f>
        <v>SU26SE102</v>
      </c>
      <c r="C5" s="64"/>
      <c r="D5" s="159" t="s">
        <v>662</v>
      </c>
      <c r="E5" s="64"/>
      <c r="F5" s="160"/>
      <c r="G5" s="66"/>
      <c r="H5" s="66"/>
      <c r="I5" s="64"/>
      <c r="J5" s="152"/>
      <c r="K5" s="152"/>
      <c r="L5" s="152"/>
      <c r="M5" s="152"/>
      <c r="N5" s="152"/>
      <c r="O5" s="152"/>
      <c r="P5" s="152"/>
      <c r="Q5" s="152"/>
      <c r="R5" s="152"/>
      <c r="S5" s="152"/>
      <c r="T5" s="152"/>
      <c r="U5" s="152"/>
      <c r="V5" s="152"/>
      <c r="W5" s="152"/>
      <c r="X5" s="152"/>
      <c r="Y5" s="152"/>
      <c r="Z5" s="152"/>
    </row>
    <row r="6" ht="12.8" customHeight="1" spans="1:26">
      <c r="A6" s="161" t="s">
        <v>53</v>
      </c>
      <c r="B6" s="158" t="str">
        <f>B5&amp;"_"&amp;"Test Report"&amp;"_"&amp;"vx.x"</f>
        <v>SU26SE102_Test Report_vx.x</v>
      </c>
      <c r="C6" s="64"/>
      <c r="D6" s="159" t="s">
        <v>52</v>
      </c>
      <c r="E6" s="64"/>
      <c r="F6" s="162" t="s">
        <v>663</v>
      </c>
      <c r="G6" s="66"/>
      <c r="H6" s="66"/>
      <c r="I6" s="64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2"/>
      <c r="Z6" s="152"/>
    </row>
    <row r="7" ht="15.75" customHeight="1" spans="1:26">
      <c r="A7" s="161" t="s">
        <v>664</v>
      </c>
      <c r="B7" s="163" t="s">
        <v>665</v>
      </c>
      <c r="C7" s="66"/>
      <c r="D7" s="66"/>
      <c r="E7" s="66"/>
      <c r="F7" s="66"/>
      <c r="G7" s="66"/>
      <c r="H7" s="66"/>
      <c r="I7" s="64"/>
      <c r="J7" s="152"/>
      <c r="K7" s="152"/>
      <c r="L7" s="152"/>
      <c r="M7" s="152"/>
      <c r="N7" s="152"/>
      <c r="O7" s="152"/>
      <c r="P7" s="152"/>
      <c r="Q7" s="152"/>
      <c r="R7" s="152"/>
      <c r="S7" s="152"/>
      <c r="T7" s="152"/>
      <c r="U7" s="152"/>
      <c r="V7" s="152"/>
      <c r="W7" s="152"/>
      <c r="X7" s="152"/>
      <c r="Y7" s="152"/>
      <c r="Z7" s="152"/>
    </row>
    <row r="8" ht="14.25" customHeight="1" spans="1:26">
      <c r="A8" s="164"/>
      <c r="B8" s="165"/>
      <c r="C8" s="152"/>
      <c r="D8" s="152"/>
      <c r="E8" s="152"/>
      <c r="F8" s="152"/>
      <c r="G8" s="152"/>
      <c r="H8" s="152"/>
      <c r="I8" s="156"/>
      <c r="J8" s="152"/>
      <c r="K8" s="152"/>
      <c r="L8" s="152"/>
      <c r="M8" s="152"/>
      <c r="N8" s="152"/>
      <c r="O8" s="152"/>
      <c r="P8" s="152"/>
      <c r="Q8" s="152"/>
      <c r="R8" s="152"/>
      <c r="S8" s="152"/>
      <c r="T8" s="152"/>
      <c r="U8" s="152"/>
      <c r="V8" s="152"/>
      <c r="W8" s="152"/>
      <c r="X8" s="152"/>
      <c r="Y8" s="152"/>
      <c r="Z8" s="152"/>
    </row>
    <row r="9" ht="12.8" customHeight="1" spans="1:26">
      <c r="A9" s="164"/>
      <c r="B9" s="165"/>
      <c r="C9" s="152"/>
      <c r="D9" s="152"/>
      <c r="E9" s="152"/>
      <c r="F9" s="152"/>
      <c r="G9" s="152"/>
      <c r="H9" s="152"/>
      <c r="I9" s="156"/>
      <c r="J9" s="152"/>
      <c r="K9" s="152"/>
      <c r="L9" s="152"/>
      <c r="M9" s="152"/>
      <c r="N9" s="152"/>
      <c r="O9" s="152"/>
      <c r="P9" s="152"/>
      <c r="Q9" s="152"/>
      <c r="R9" s="152"/>
      <c r="S9" s="152"/>
      <c r="T9" s="152"/>
      <c r="U9" s="152"/>
      <c r="V9" s="152"/>
      <c r="W9" s="152"/>
      <c r="X9" s="152"/>
      <c r="Y9" s="152"/>
      <c r="Z9" s="152"/>
    </row>
    <row r="10" ht="12.8" customHeight="1" spans="1:26">
      <c r="A10" s="152"/>
      <c r="B10" s="152"/>
      <c r="C10" s="152"/>
      <c r="D10" s="152"/>
      <c r="E10" s="152"/>
      <c r="F10" s="152"/>
      <c r="G10" s="152"/>
      <c r="H10" s="152"/>
      <c r="I10" s="152"/>
      <c r="J10" s="152"/>
      <c r="K10" s="152"/>
      <c r="L10" s="152"/>
      <c r="M10" s="152"/>
      <c r="N10" s="152"/>
      <c r="O10" s="152"/>
      <c r="P10" s="152"/>
      <c r="Q10" s="152"/>
      <c r="R10" s="152"/>
      <c r="S10" s="152"/>
      <c r="T10" s="152"/>
      <c r="U10" s="152"/>
      <c r="V10" s="152"/>
      <c r="W10" s="152"/>
      <c r="X10" s="152"/>
      <c r="Y10" s="152"/>
      <c r="Z10" s="152"/>
    </row>
    <row r="11" ht="14.25" customHeight="1" spans="1:26">
      <c r="A11" s="166" t="s">
        <v>69</v>
      </c>
      <c r="B11" s="167" t="s">
        <v>666</v>
      </c>
      <c r="C11" s="168" t="s">
        <v>667</v>
      </c>
      <c r="D11" s="167" t="s">
        <v>668</v>
      </c>
      <c r="E11" s="169" t="s">
        <v>669</v>
      </c>
      <c r="F11" s="169" t="s">
        <v>670</v>
      </c>
      <c r="G11" s="169" t="s">
        <v>63</v>
      </c>
      <c r="H11" s="169" t="s">
        <v>671</v>
      </c>
      <c r="I11" s="170" t="s">
        <v>672</v>
      </c>
      <c r="J11" s="152"/>
      <c r="K11" s="152"/>
      <c r="L11" s="152"/>
      <c r="M11" s="152"/>
      <c r="N11" s="152"/>
      <c r="O11" s="152"/>
      <c r="P11" s="152"/>
      <c r="Q11" s="152"/>
      <c r="R11" s="152"/>
      <c r="S11" s="152"/>
      <c r="T11" s="152"/>
      <c r="U11" s="152"/>
      <c r="V11" s="152"/>
      <c r="W11" s="152"/>
      <c r="X11" s="152"/>
      <c r="Y11" s="152"/>
      <c r="Z11" s="152"/>
    </row>
    <row r="12" ht="12.8" customHeight="1" spans="1:26">
      <c r="A12" s="152">
        <v>1</v>
      </c>
      <c r="B12" s="171" t="s">
        <v>80</v>
      </c>
      <c r="C12" s="152">
        <f>MQ001_DisplayManualQuestionForm!A5</f>
        <v>3</v>
      </c>
      <c r="D12" s="152">
        <f>MQ001_DisplayManualQuestionForm!C5</f>
        <v>0</v>
      </c>
      <c r="E12" s="152">
        <f>MQ001_DisplayManualQuestionForm!F5</f>
        <v>0</v>
      </c>
      <c r="F12" s="152">
        <f>MQ001_DisplayManualQuestionForm!L5</f>
        <v>3</v>
      </c>
      <c r="G12" s="152">
        <f>MQ001_DisplayManualQuestionForm!M5</f>
        <v>0</v>
      </c>
      <c r="H12" s="152">
        <f>MQ001_DisplayManualQuestionForm!N5</f>
        <v>0</v>
      </c>
      <c r="I12" s="152">
        <f>MQ001_DisplayManualQuestionForm!O5</f>
        <v>3</v>
      </c>
      <c r="J12" s="152"/>
      <c r="K12" s="152"/>
      <c r="L12" s="152"/>
      <c r="M12" s="152"/>
      <c r="N12" s="152"/>
      <c r="O12" s="152"/>
      <c r="P12" s="152"/>
      <c r="Q12" s="152"/>
      <c r="R12" s="152"/>
      <c r="S12" s="152"/>
      <c r="T12" s="152"/>
      <c r="U12" s="152"/>
      <c r="V12" s="152"/>
      <c r="W12" s="152"/>
      <c r="X12" s="152"/>
      <c r="Y12" s="152"/>
      <c r="Z12" s="152"/>
    </row>
    <row r="13" ht="12.8" customHeight="1" spans="1:26">
      <c r="A13" s="152">
        <v>2</v>
      </c>
      <c r="B13" s="171" t="s">
        <v>85</v>
      </c>
      <c r="C13" s="152">
        <f>MQ002_ValidateJobTitleRequired!A5</f>
        <v>3</v>
      </c>
      <c r="D13" s="152">
        <f>MQ002_ValidateJobTitleRequired!C5</f>
        <v>0</v>
      </c>
      <c r="E13" s="152">
        <f>MQ002_ValidateJobTitleRequired!F5</f>
        <v>0</v>
      </c>
      <c r="F13" s="152">
        <f>MQ002_ValidateJobTitleRequired!L5</f>
        <v>1</v>
      </c>
      <c r="G13" s="152">
        <f>MQ002_ValidateJobTitleRequired!M5</f>
        <v>2</v>
      </c>
      <c r="H13" s="152">
        <f>MQ002_ValidateJobTitleRequired!N5</f>
        <v>0</v>
      </c>
      <c r="I13" s="152">
        <f>MQ002_ValidateJobTitleRequired!O5</f>
        <v>3</v>
      </c>
      <c r="J13" s="152"/>
      <c r="K13" s="152"/>
      <c r="L13" s="152"/>
      <c r="M13" s="152"/>
      <c r="N13" s="152"/>
      <c r="O13" s="152"/>
      <c r="P13" s="152"/>
      <c r="Q13" s="152"/>
      <c r="R13" s="152"/>
      <c r="S13" s="152"/>
      <c r="T13" s="152"/>
      <c r="U13" s="152"/>
      <c r="V13" s="152"/>
      <c r="W13" s="152"/>
      <c r="X13" s="152"/>
      <c r="Y13" s="152"/>
      <c r="Z13" s="152"/>
    </row>
    <row r="14" ht="12.8" customHeight="1" spans="1:26">
      <c r="A14" s="152">
        <v>3</v>
      </c>
      <c r="B14" s="171" t="s">
        <v>90</v>
      </c>
      <c r="C14" s="152">
        <f>MQ003_ValidateQuestionContentRe!A5</f>
        <v>3</v>
      </c>
      <c r="D14" s="152">
        <f>MQ003_ValidateQuestionContentRe!C5</f>
        <v>0</v>
      </c>
      <c r="E14" s="152">
        <f>MQ003_ValidateQuestionContentRe!F5</f>
        <v>0</v>
      </c>
      <c r="F14" s="152">
        <f>MQ003_ValidateQuestionContentRe!L5</f>
        <v>1</v>
      </c>
      <c r="G14" s="152">
        <f>MQ003_ValidateQuestionContentRe!M5</f>
        <v>2</v>
      </c>
      <c r="H14" s="152">
        <f>MQ003_ValidateQuestionContentRe!N5</f>
        <v>0</v>
      </c>
      <c r="I14" s="152">
        <f>MQ003_ValidateQuestionContentRe!O5</f>
        <v>3</v>
      </c>
      <c r="J14" s="152"/>
      <c r="K14" s="152"/>
      <c r="L14" s="152"/>
      <c r="M14" s="152"/>
      <c r="N14" s="152"/>
      <c r="O14" s="152"/>
      <c r="P14" s="152"/>
      <c r="Q14" s="152"/>
      <c r="R14" s="152"/>
      <c r="S14" s="152"/>
      <c r="T14" s="152"/>
      <c r="U14" s="152"/>
      <c r="V14" s="152"/>
      <c r="W14" s="152"/>
      <c r="X14" s="152"/>
      <c r="Y14" s="152"/>
      <c r="Z14" s="152"/>
    </row>
    <row r="15" ht="14.25" customHeight="1" spans="1:26">
      <c r="A15" s="152">
        <v>4</v>
      </c>
      <c r="B15" s="171" t="s">
        <v>95</v>
      </c>
      <c r="C15" s="152">
        <f>MQ004_ValidateDurationBoundaryV!A5</f>
        <v>3</v>
      </c>
      <c r="D15" s="152">
        <f>MQ004_ValidateDurationBoundaryV!C5</f>
        <v>0</v>
      </c>
      <c r="E15" s="152">
        <f>MQ004_ValidateDurationBoundaryV!F5</f>
        <v>0</v>
      </c>
      <c r="F15" s="152">
        <f>MQ004_ValidateDurationBoundaryV!L5</f>
        <v>0</v>
      </c>
      <c r="G15" s="152">
        <f>MQ004_ValidateDurationBoundaryV!M5</f>
        <v>0</v>
      </c>
      <c r="H15" s="152">
        <f>MQ004_ValidateDurationBoundaryV!N5</f>
        <v>3</v>
      </c>
      <c r="I15" s="152">
        <f>MQ004_ValidateDurationBoundaryV!O5</f>
        <v>3</v>
      </c>
      <c r="J15" s="152"/>
      <c r="K15" s="152"/>
      <c r="L15" s="152"/>
      <c r="M15" s="152"/>
      <c r="N15" s="152"/>
      <c r="O15" s="152"/>
      <c r="P15" s="152"/>
      <c r="Q15" s="152"/>
      <c r="R15" s="152"/>
      <c r="S15" s="152"/>
      <c r="T15" s="152"/>
      <c r="U15" s="152"/>
      <c r="V15" s="152"/>
      <c r="W15" s="152"/>
      <c r="X15" s="152"/>
      <c r="Y15" s="152"/>
      <c r="Z15" s="152"/>
    </row>
    <row r="16" ht="14.25" customHeight="1" spans="1:26">
      <c r="A16" s="152">
        <v>5</v>
      </c>
      <c r="B16" s="171" t="s">
        <v>100</v>
      </c>
      <c r="C16" s="152">
        <f>MQ005_SaveQuestionSetSuccess!A5</f>
        <v>3</v>
      </c>
      <c r="D16" s="152">
        <f>MQ005_SaveQuestionSetSuccess!C5</f>
        <v>0</v>
      </c>
      <c r="E16" s="152">
        <f>MQ005_SaveQuestionSetSuccess!F5</f>
        <v>0</v>
      </c>
      <c r="F16" s="152">
        <f>MQ005_SaveQuestionSetSuccess!L5</f>
        <v>3</v>
      </c>
      <c r="G16" s="152">
        <f>MQ005_SaveQuestionSetSuccess!M5</f>
        <v>0</v>
      </c>
      <c r="H16" s="152">
        <f>MQ005_SaveQuestionSetSuccess!N5</f>
        <v>0</v>
      </c>
      <c r="I16" s="152">
        <f>MQ005_SaveQuestionSetSuccess!O5</f>
        <v>3</v>
      </c>
      <c r="J16" s="152"/>
      <c r="K16" s="152"/>
      <c r="L16" s="152"/>
      <c r="M16" s="152"/>
      <c r="N16" s="152"/>
      <c r="O16" s="152"/>
      <c r="P16" s="152"/>
      <c r="Q16" s="152"/>
      <c r="R16" s="152"/>
      <c r="S16" s="152"/>
      <c r="T16" s="152"/>
      <c r="U16" s="152"/>
      <c r="V16" s="152"/>
      <c r="W16" s="152"/>
      <c r="X16" s="152"/>
      <c r="Y16" s="152"/>
      <c r="Z16" s="152"/>
    </row>
    <row r="17" ht="14.25" customHeight="1" spans="1:26">
      <c r="A17" s="172">
        <v>6</v>
      </c>
      <c r="B17" s="172" t="s">
        <v>105</v>
      </c>
      <c r="C17" s="172">
        <f>MQ006_DeleteQuestionMinLimitGua!A5</f>
        <v>3</v>
      </c>
      <c r="D17" s="172">
        <f>MQ006_DeleteQuestionMinLimitGua!C5</f>
        <v>0</v>
      </c>
      <c r="E17" s="172">
        <f>MQ006_DeleteQuestionMinLimitGua!F5</f>
        <v>0</v>
      </c>
      <c r="F17" s="172">
        <f>MQ006_DeleteQuestionMinLimitGua!L5</f>
        <v>2</v>
      </c>
      <c r="G17" s="172">
        <f>MQ006_DeleteQuestionMinLimitGua!M5</f>
        <v>0</v>
      </c>
      <c r="H17" s="172">
        <f>MQ006_DeleteQuestionMinLimitGua!N5</f>
        <v>1</v>
      </c>
      <c r="I17" s="172">
        <f>MQ006_DeleteQuestionMinLimitGua!O5</f>
        <v>3</v>
      </c>
      <c r="J17" s="152"/>
      <c r="K17" s="152"/>
      <c r="L17" s="152"/>
      <c r="M17" s="152"/>
      <c r="N17" s="152"/>
      <c r="O17" s="152"/>
      <c r="P17" s="152"/>
      <c r="Q17" s="152"/>
      <c r="R17" s="152"/>
      <c r="S17" s="152"/>
      <c r="T17" s="152"/>
      <c r="U17" s="152"/>
      <c r="V17" s="152"/>
      <c r="W17" s="152"/>
      <c r="X17" s="152"/>
      <c r="Y17" s="152"/>
      <c r="Z17" s="152"/>
    </row>
    <row r="18" ht="12.8" customHeight="1" spans="1:26">
      <c r="A18" s="152">
        <v>7</v>
      </c>
      <c r="B18" s="152" t="s">
        <v>110</v>
      </c>
      <c r="C18" s="173">
        <f>MQ007_ImportExcelValidFile!A5</f>
        <v>3</v>
      </c>
      <c r="D18" s="174">
        <f>MQ007_ImportExcelValidFile!C5</f>
        <v>0</v>
      </c>
      <c r="E18" s="174">
        <f>MQ007_ImportExcelValidFile!F5</f>
        <v>0</v>
      </c>
      <c r="F18" s="174">
        <f>MQ007_ImportExcelValidFile!L5</f>
        <v>2</v>
      </c>
      <c r="G18" s="174">
        <f>MQ007_ImportExcelValidFile!M5</f>
        <v>1</v>
      </c>
      <c r="H18" s="174">
        <f>MQ007_ImportExcelValidFile!N5</f>
        <v>0</v>
      </c>
      <c r="I18" s="174">
        <f>MQ007_ImportExcelValidFile!O5</f>
        <v>3</v>
      </c>
      <c r="J18" s="152"/>
      <c r="K18" s="152"/>
      <c r="L18" s="152"/>
      <c r="M18" s="152"/>
      <c r="N18" s="152"/>
      <c r="O18" s="152"/>
      <c r="P18" s="152"/>
      <c r="Q18" s="152"/>
      <c r="R18" s="152"/>
      <c r="S18" s="152"/>
      <c r="T18" s="152"/>
      <c r="U18" s="152"/>
      <c r="V18" s="152"/>
      <c r="W18" s="152"/>
      <c r="X18" s="152"/>
      <c r="Y18" s="152"/>
      <c r="Z18" s="152"/>
    </row>
    <row r="19" ht="12.8" customHeight="1" spans="1:26">
      <c r="A19" s="152">
        <v>8</v>
      </c>
      <c r="B19" s="152" t="s">
        <v>115</v>
      </c>
      <c r="C19" s="152">
        <f>MQ008_ImportExcelInvalidFile!A5</f>
        <v>3</v>
      </c>
      <c r="D19" s="175">
        <f>MQ008_ImportExcelInvalidFile!C5</f>
        <v>0</v>
      </c>
      <c r="E19" s="152">
        <f>MQ008_ImportExcelInvalidFile!F5</f>
        <v>0</v>
      </c>
      <c r="F19" s="152">
        <f>MQ008_ImportExcelInvalidFile!L5</f>
        <v>0</v>
      </c>
      <c r="G19" s="152">
        <f>MQ008_ImportExcelInvalidFile!M5</f>
        <v>3</v>
      </c>
      <c r="H19" s="152">
        <f>MQ008_ImportExcelInvalidFile!N5</f>
        <v>0</v>
      </c>
      <c r="I19" s="152">
        <f>MQ008_ImportExcelInvalidFile!O5</f>
        <v>3</v>
      </c>
      <c r="J19" s="152"/>
      <c r="K19" s="152"/>
      <c r="L19" s="152"/>
      <c r="M19" s="152"/>
      <c r="N19" s="152"/>
      <c r="O19" s="152"/>
      <c r="P19" s="152"/>
      <c r="Q19" s="152"/>
      <c r="R19" s="152"/>
      <c r="S19" s="152"/>
      <c r="T19" s="152"/>
      <c r="U19" s="152"/>
      <c r="V19" s="152"/>
      <c r="W19" s="152"/>
      <c r="X19" s="152"/>
      <c r="Y19" s="152"/>
      <c r="Z19" s="152"/>
    </row>
    <row r="20" ht="12.8" customHeight="1" spans="1:26">
      <c r="A20" s="152">
        <v>9</v>
      </c>
      <c r="B20" s="152" t="s">
        <v>120</v>
      </c>
      <c r="C20" s="152">
        <f>MQ009_ExportTxtValidation!A5</f>
        <v>3</v>
      </c>
      <c r="D20" s="175">
        <f>MQ009_ExportTxtValidation!C5</f>
        <v>0</v>
      </c>
      <c r="E20" s="152">
        <f>MQ009_ExportTxtValidation!F5</f>
        <v>0</v>
      </c>
      <c r="F20" s="152">
        <f>MQ009_ExportTxtValidation!L5</f>
        <v>1</v>
      </c>
      <c r="G20" s="152">
        <f>MQ009_ExportTxtValidation!M5</f>
        <v>2</v>
      </c>
      <c r="H20" s="152">
        <f>MQ009_ExportTxtValidation!N5</f>
        <v>0</v>
      </c>
      <c r="I20" s="152">
        <f>MQ009_ExportTxtValidation!O5</f>
        <v>3</v>
      </c>
      <c r="J20" s="152"/>
      <c r="K20" s="152"/>
      <c r="L20" s="152"/>
      <c r="M20" s="152"/>
      <c r="N20" s="152"/>
      <c r="O20" s="152"/>
      <c r="P20" s="152"/>
      <c r="Q20" s="152"/>
      <c r="R20" s="152"/>
      <c r="S20" s="152"/>
      <c r="T20" s="152"/>
      <c r="U20" s="152"/>
      <c r="V20" s="152"/>
      <c r="W20" s="152"/>
      <c r="X20" s="152"/>
      <c r="Y20" s="152"/>
      <c r="Z20" s="152"/>
    </row>
    <row r="21" ht="12.8" customHeight="1" spans="1:26">
      <c r="A21" s="152">
        <v>10</v>
      </c>
      <c r="B21" s="152" t="s">
        <v>125</v>
      </c>
      <c r="C21" s="152">
        <f>MQ010_AiQuotaExceededManualLink!A5</f>
        <v>3</v>
      </c>
      <c r="D21" s="175">
        <f>MQ010_AiQuotaExceededManualLink!C5</f>
        <v>0</v>
      </c>
      <c r="E21" s="152">
        <f>MQ010_AiQuotaExceededManualLink!F5</f>
        <v>0</v>
      </c>
      <c r="F21" s="152">
        <f>MQ010_AiQuotaExceededManualLink!L5</f>
        <v>3</v>
      </c>
      <c r="G21" s="152">
        <f>MQ010_AiQuotaExceededManualLink!M5</f>
        <v>0</v>
      </c>
      <c r="H21" s="152">
        <f>MQ010_AiQuotaExceededManualLink!N5</f>
        <v>0</v>
      </c>
      <c r="I21" s="152">
        <f>MQ010_AiQuotaExceededManualLink!O5</f>
        <v>3</v>
      </c>
      <c r="J21" s="152"/>
      <c r="K21" s="152"/>
      <c r="L21" s="152"/>
      <c r="M21" s="152"/>
      <c r="N21" s="152"/>
      <c r="O21" s="152"/>
      <c r="P21" s="152"/>
      <c r="Q21" s="152"/>
      <c r="R21" s="152"/>
      <c r="S21" s="152"/>
      <c r="T21" s="152"/>
      <c r="U21" s="152"/>
      <c r="V21" s="152"/>
      <c r="W21" s="152"/>
      <c r="X21" s="152"/>
      <c r="Y21" s="152"/>
      <c r="Z21" s="152"/>
    </row>
    <row r="22" ht="12.8" customHeight="1" spans="1:26">
      <c r="A22" s="152">
        <v>11</v>
      </c>
      <c r="B22" s="152" t="s">
        <v>130</v>
      </c>
      <c r="C22" s="152">
        <f>MQ011_UnauthorizedRoleAccessMan!A5</f>
        <v>3</v>
      </c>
      <c r="D22" s="175">
        <f>MQ011_UnauthorizedRoleAccessMan!C5</f>
        <v>0</v>
      </c>
      <c r="E22" s="152">
        <f>MQ011_UnauthorizedRoleAccessMan!F5</f>
        <v>0</v>
      </c>
      <c r="F22" s="152">
        <f>MQ011_UnauthorizedRoleAccessMan!L5</f>
        <v>0</v>
      </c>
      <c r="G22" s="152">
        <f>MQ011_UnauthorizedRoleAccessMan!M5</f>
        <v>3</v>
      </c>
      <c r="H22" s="152">
        <f>MQ011_UnauthorizedRoleAccessMan!N5</f>
        <v>0</v>
      </c>
      <c r="I22" s="152">
        <f>MQ011_UnauthorizedRoleAccessMan!O5</f>
        <v>3</v>
      </c>
      <c r="J22" s="152"/>
      <c r="K22" s="152"/>
      <c r="L22" s="152"/>
      <c r="M22" s="152"/>
      <c r="N22" s="152"/>
      <c r="O22" s="152"/>
      <c r="P22" s="152"/>
      <c r="Q22" s="152"/>
      <c r="R22" s="152"/>
      <c r="S22" s="152"/>
      <c r="T22" s="152"/>
      <c r="U22" s="152"/>
      <c r="V22" s="152"/>
      <c r="W22" s="152"/>
      <c r="X22" s="152"/>
      <c r="Y22" s="152"/>
      <c r="Z22" s="152"/>
    </row>
    <row r="23" ht="12.8" customHeight="1" spans="1:26">
      <c r="A23" s="152">
        <v>12</v>
      </c>
      <c r="B23" s="152" t="s">
        <v>137</v>
      </c>
      <c r="C23" s="152">
        <f>RAG001_JdInputPasteValidation!A5</f>
        <v>4</v>
      </c>
      <c r="D23" s="175">
        <f>RAG001_JdInputPasteValidation!C5</f>
        <v>0</v>
      </c>
      <c r="E23" s="152">
        <f>RAG001_JdInputPasteValidation!F5</f>
        <v>0</v>
      </c>
      <c r="F23" s="152">
        <f>RAG001_JdInputPasteValidation!L5</f>
        <v>2</v>
      </c>
      <c r="G23" s="152">
        <f>RAG001_JdInputPasteValidation!M5</f>
        <v>2</v>
      </c>
      <c r="H23" s="152">
        <f>RAG001_JdInputPasteValidation!N5</f>
        <v>0</v>
      </c>
      <c r="I23" s="152">
        <f>RAG001_JdInputPasteValidation!O5</f>
        <v>4</v>
      </c>
      <c r="J23" s="152"/>
      <c r="K23" s="152"/>
      <c r="L23" s="152"/>
      <c r="M23" s="152"/>
      <c r="N23" s="152"/>
      <c r="O23" s="152"/>
      <c r="P23" s="152"/>
      <c r="Q23" s="152"/>
      <c r="R23" s="152"/>
      <c r="S23" s="152"/>
      <c r="T23" s="152"/>
      <c r="U23" s="152"/>
      <c r="V23" s="152"/>
      <c r="W23" s="152"/>
      <c r="X23" s="152"/>
      <c r="Y23" s="152"/>
      <c r="Z23" s="152"/>
    </row>
    <row r="24" ht="12.8" customHeight="1" spans="1:26">
      <c r="A24" s="152">
        <v>13</v>
      </c>
      <c r="B24" s="152" t="s">
        <v>142</v>
      </c>
      <c r="C24" s="152">
        <f>RAG002_JdInputUploadFileTypes!A5</f>
        <v>6</v>
      </c>
      <c r="D24" s="152">
        <f>RAG002_JdInputUploadFileTypes!C5</f>
        <v>0</v>
      </c>
      <c r="E24" s="152">
        <f>RAG002_JdInputUploadFileTypes!F5</f>
        <v>0</v>
      </c>
      <c r="F24" s="152">
        <f>RAG002_JdInputUploadFileTypes!L5</f>
        <v>4</v>
      </c>
      <c r="G24" s="152">
        <f>RAG002_JdInputUploadFileTypes!M5</f>
        <v>1</v>
      </c>
      <c r="H24" s="152">
        <f>RAG002_JdInputUploadFileTypes!N5</f>
        <v>1</v>
      </c>
      <c r="I24" s="152">
        <f>RAG002_JdInputUploadFileTypes!O5</f>
        <v>6</v>
      </c>
      <c r="J24" s="152"/>
      <c r="K24" s="152"/>
      <c r="L24" s="152"/>
      <c r="M24" s="152"/>
      <c r="N24" s="152"/>
      <c r="O24" s="152"/>
      <c r="P24" s="152"/>
      <c r="Q24" s="152"/>
      <c r="R24" s="152"/>
      <c r="S24" s="152"/>
      <c r="T24" s="152"/>
      <c r="U24" s="152"/>
      <c r="V24" s="152"/>
      <c r="W24" s="152"/>
      <c r="X24" s="152"/>
      <c r="Y24" s="152"/>
      <c r="Z24" s="152"/>
    </row>
    <row r="25" ht="12.8" customHeight="1" spans="1:26">
      <c r="A25" s="152">
        <v>14</v>
      </c>
      <c r="B25" s="152" t="s">
        <v>147</v>
      </c>
      <c r="C25" s="152">
        <f>RAG003_KnowledgeDocumentIngesti!A5</f>
        <v>4</v>
      </c>
      <c r="D25" s="152">
        <f>RAG003_KnowledgeDocumentIngesti!C5</f>
        <v>0</v>
      </c>
      <c r="E25" s="152">
        <f>RAG003_KnowledgeDocumentIngesti!F5</f>
        <v>0</v>
      </c>
      <c r="F25" s="152">
        <f>RAG003_KnowledgeDocumentIngesti!L5</f>
        <v>3</v>
      </c>
      <c r="G25" s="152">
        <f>RAG003_KnowledgeDocumentIngesti!M5</f>
        <v>1</v>
      </c>
      <c r="H25" s="152">
        <f>RAG003_KnowledgeDocumentIngesti!N5</f>
        <v>0</v>
      </c>
      <c r="I25" s="152">
        <f>RAG003_KnowledgeDocumentIngesti!O5</f>
        <v>4</v>
      </c>
      <c r="J25" s="152"/>
      <c r="K25" s="152"/>
      <c r="L25" s="152"/>
      <c r="M25" s="152"/>
      <c r="N25" s="152"/>
      <c r="O25" s="152"/>
      <c r="P25" s="152"/>
      <c r="Q25" s="152"/>
      <c r="R25" s="152"/>
      <c r="S25" s="152"/>
      <c r="T25" s="152"/>
      <c r="U25" s="152"/>
      <c r="V25" s="152"/>
      <c r="W25" s="152"/>
      <c r="X25" s="152"/>
      <c r="Y25" s="152"/>
      <c r="Z25" s="152"/>
    </row>
    <row r="26" ht="12.8" customHeight="1" spans="1:26">
      <c r="A26" s="152">
        <v>15</v>
      </c>
      <c r="B26" s="152" t="s">
        <v>152</v>
      </c>
      <c r="C26" s="152">
        <f>RAG004_SourcesPanelLockOnGenera!A5</f>
        <v>3</v>
      </c>
      <c r="D26" s="152">
        <f>RAG004_SourcesPanelLockOnGenera!C5</f>
        <v>0</v>
      </c>
      <c r="E26" s="152">
        <f>RAG004_SourcesPanelLockOnGenera!F5</f>
        <v>0</v>
      </c>
      <c r="F26" s="152">
        <f>RAG004_SourcesPanelLockOnGenera!L5</f>
        <v>3</v>
      </c>
      <c r="G26" s="152">
        <f>RAG004_SourcesPanelLockOnGenera!M5</f>
        <v>0</v>
      </c>
      <c r="H26" s="152">
        <f>RAG004_SourcesPanelLockOnGenera!N5</f>
        <v>0</v>
      </c>
      <c r="I26" s="152">
        <f>RAG004_SourcesPanelLockOnGenera!O5</f>
        <v>3</v>
      </c>
      <c r="J26" s="152"/>
      <c r="K26" s="152"/>
      <c r="L26" s="152"/>
      <c r="M26" s="152"/>
      <c r="N26" s="152"/>
      <c r="O26" s="152"/>
      <c r="P26" s="152"/>
      <c r="Q26" s="152"/>
      <c r="R26" s="152"/>
      <c r="S26" s="152"/>
      <c r="T26" s="152"/>
      <c r="U26" s="152"/>
      <c r="V26" s="152"/>
      <c r="W26" s="152"/>
      <c r="X26" s="152"/>
      <c r="Y26" s="152"/>
      <c r="Z26" s="152"/>
    </row>
    <row r="27" ht="12.8" customHeight="1" spans="1:26">
      <c r="A27" s="152">
        <v>16</v>
      </c>
      <c r="B27" s="152" t="s">
        <v>157</v>
      </c>
      <c r="C27" s="152">
        <f>RAG005_GenerateQuestionsSuccess!A5</f>
        <v>3</v>
      </c>
      <c r="D27" s="152">
        <f>RAG005_GenerateQuestionsSuccess!C5</f>
        <v>0</v>
      </c>
      <c r="E27" s="152">
        <f>RAG005_GenerateQuestionsSuccess!F5</f>
        <v>0</v>
      </c>
      <c r="F27" s="152">
        <f>RAG005_GenerateQuestionsSuccess!L5</f>
        <v>3</v>
      </c>
      <c r="G27" s="152">
        <f>RAG005_GenerateQuestionsSuccess!M5</f>
        <v>0</v>
      </c>
      <c r="H27" s="152">
        <f>RAG005_GenerateQuestionsSuccess!N5</f>
        <v>0</v>
      </c>
      <c r="I27" s="152">
        <f>RAG005_GenerateQuestionsSuccess!O5</f>
        <v>3</v>
      </c>
      <c r="J27" s="152"/>
      <c r="K27" s="152"/>
      <c r="L27" s="152"/>
      <c r="M27" s="152"/>
      <c r="N27" s="152"/>
      <c r="O27" s="152"/>
      <c r="P27" s="152"/>
      <c r="Q27" s="152"/>
      <c r="R27" s="152"/>
      <c r="S27" s="152"/>
      <c r="T27" s="152"/>
      <c r="U27" s="152"/>
      <c r="V27" s="152"/>
      <c r="W27" s="152"/>
      <c r="X27" s="152"/>
      <c r="Y27" s="152"/>
      <c r="Z27" s="152"/>
    </row>
    <row r="28" ht="12.8" customHeight="1" spans="1:26">
      <c r="A28" s="152">
        <v>17</v>
      </c>
      <c r="B28" s="152" t="s">
        <v>162</v>
      </c>
      <c r="C28" s="152">
        <f>RAG006_GenerateQuestionsAutoRet!A5</f>
        <v>3</v>
      </c>
      <c r="D28" s="152">
        <f>RAG006_GenerateQuestionsAutoRet!C5</f>
        <v>0</v>
      </c>
      <c r="E28" s="152">
        <f>RAG006_GenerateQuestionsAutoRet!F5</f>
        <v>0</v>
      </c>
      <c r="F28" s="152">
        <f>RAG006_GenerateQuestionsAutoRet!L5</f>
        <v>1</v>
      </c>
      <c r="G28" s="152">
        <f>RAG006_GenerateQuestionsAutoRet!M5</f>
        <v>2</v>
      </c>
      <c r="H28" s="152">
        <f>RAG006_GenerateQuestionsAutoRet!N5</f>
        <v>0</v>
      </c>
      <c r="I28" s="152">
        <f>RAG006_GenerateQuestionsAutoRet!O5</f>
        <v>3</v>
      </c>
      <c r="J28" s="152"/>
      <c r="K28" s="152"/>
      <c r="L28" s="152"/>
      <c r="M28" s="152"/>
      <c r="N28" s="152"/>
      <c r="O28" s="152"/>
      <c r="P28" s="152"/>
      <c r="Q28" s="152"/>
      <c r="R28" s="152"/>
      <c r="S28" s="152"/>
      <c r="T28" s="152"/>
      <c r="U28" s="152"/>
      <c r="V28" s="152"/>
      <c r="W28" s="152"/>
      <c r="X28" s="152"/>
      <c r="Y28" s="152"/>
      <c r="Z28" s="152"/>
    </row>
    <row r="29" ht="12.8" customHeight="1" spans="1:26">
      <c r="A29" s="152">
        <v>18</v>
      </c>
      <c r="B29" s="152" t="s">
        <v>167</v>
      </c>
      <c r="C29" s="152">
        <f>RAG007_GenerateQuestionsFailedS!A5</f>
        <v>3</v>
      </c>
      <c r="D29" s="152">
        <f>RAG007_GenerateQuestionsFailedS!C5</f>
        <v>0</v>
      </c>
      <c r="E29" s="152">
        <f>RAG007_GenerateQuestionsFailedS!F5</f>
        <v>0</v>
      </c>
      <c r="F29" s="152">
        <f>RAG007_GenerateQuestionsFailedS!L5</f>
        <v>1</v>
      </c>
      <c r="G29" s="152">
        <f>RAG007_GenerateQuestionsFailedS!M5</f>
        <v>2</v>
      </c>
      <c r="H29" s="152">
        <f>RAG007_GenerateQuestionsFailedS!N5</f>
        <v>0</v>
      </c>
      <c r="I29" s="152">
        <f>RAG007_GenerateQuestionsFailedS!O5</f>
        <v>3</v>
      </c>
      <c r="J29" s="152"/>
      <c r="K29" s="152"/>
      <c r="L29" s="152"/>
      <c r="M29" s="152"/>
      <c r="N29" s="152"/>
      <c r="O29" s="152"/>
      <c r="P29" s="152"/>
      <c r="Q29" s="152"/>
      <c r="R29" s="152"/>
      <c r="S29" s="152"/>
      <c r="T29" s="152"/>
      <c r="U29" s="152"/>
      <c r="V29" s="152"/>
      <c r="W29" s="152"/>
      <c r="X29" s="152"/>
      <c r="Y29" s="152"/>
      <c r="Z29" s="152"/>
    </row>
    <row r="30" ht="12.8" customHeight="1" spans="1:26">
      <c r="A30" s="152">
        <v>19</v>
      </c>
      <c r="B30" s="152" t="s">
        <v>172</v>
      </c>
      <c r="C30" s="152">
        <f>RAG008_GenerateQuestionsTimeout!A5</f>
        <v>2</v>
      </c>
      <c r="D30" s="152">
        <f>RAG008_GenerateQuestionsTimeout!C5</f>
        <v>0</v>
      </c>
      <c r="E30" s="152">
        <f>RAG008_GenerateQuestionsTimeout!F5</f>
        <v>0</v>
      </c>
      <c r="F30" s="152">
        <f>RAG008_GenerateQuestionsTimeout!L5</f>
        <v>1</v>
      </c>
      <c r="G30" s="152">
        <f>RAG008_GenerateQuestionsTimeout!M5</f>
        <v>0</v>
      </c>
      <c r="H30" s="152">
        <f>RAG008_GenerateQuestionsTimeout!N5</f>
        <v>1</v>
      </c>
      <c r="I30" s="152">
        <f>RAG008_GenerateQuestionsTimeout!O5</f>
        <v>2</v>
      </c>
      <c r="J30" s="152"/>
      <c r="K30" s="152"/>
      <c r="L30" s="152"/>
      <c r="M30" s="152"/>
      <c r="N30" s="152"/>
      <c r="O30" s="152"/>
      <c r="P30" s="152"/>
      <c r="Q30" s="152"/>
      <c r="R30" s="152"/>
      <c r="S30" s="152"/>
      <c r="T30" s="152"/>
      <c r="U30" s="152"/>
      <c r="V30" s="152"/>
      <c r="W30" s="152"/>
      <c r="X30" s="152"/>
      <c r="Y30" s="152"/>
      <c r="Z30" s="152"/>
    </row>
    <row r="31" ht="12.8" customHeight="1" spans="1:26">
      <c r="A31" s="152">
        <v>20</v>
      </c>
      <c r="B31" s="152" t="s">
        <v>177</v>
      </c>
      <c r="C31" s="152">
        <f>RAG009_BackgroundPollResumeOnRe!A5</f>
        <v>3</v>
      </c>
      <c r="D31" s="152">
        <f>RAG009_BackgroundPollResumeOnRe!C5</f>
        <v>0</v>
      </c>
      <c r="E31" s="152">
        <f>RAG009_BackgroundPollResumeOnRe!F5</f>
        <v>0</v>
      </c>
      <c r="F31" s="152">
        <f>RAG009_BackgroundPollResumeOnRe!L5</f>
        <v>3</v>
      </c>
      <c r="G31" s="152">
        <f>RAG009_BackgroundPollResumeOnRe!M5</f>
        <v>0</v>
      </c>
      <c r="H31" s="152">
        <f>RAG009_BackgroundPollResumeOnRe!N5</f>
        <v>0</v>
      </c>
      <c r="I31" s="152">
        <f>RAG009_BackgroundPollResumeOnRe!O5</f>
        <v>3</v>
      </c>
      <c r="J31" s="152"/>
      <c r="K31" s="152"/>
      <c r="L31" s="152"/>
      <c r="M31" s="152"/>
      <c r="N31" s="152"/>
      <c r="O31" s="152"/>
      <c r="P31" s="152"/>
      <c r="Q31" s="152"/>
      <c r="R31" s="152"/>
      <c r="S31" s="152"/>
      <c r="T31" s="152"/>
      <c r="U31" s="152"/>
      <c r="V31" s="152"/>
      <c r="W31" s="152"/>
      <c r="X31" s="152"/>
      <c r="Y31" s="152"/>
      <c r="Z31" s="152"/>
    </row>
    <row r="32" ht="12.8" customHeight="1" spans="1:26">
      <c r="A32" s="152">
        <v>21</v>
      </c>
      <c r="B32" s="152" t="s">
        <v>182</v>
      </c>
      <c r="C32" s="152">
        <f>RAG010_QuotaCooldownBlockingMod!A5</f>
        <v>3</v>
      </c>
      <c r="D32" s="152">
        <f>RAG010_QuotaCooldownBlockingMod!C5</f>
        <v>0</v>
      </c>
      <c r="E32" s="152">
        <f>RAG010_QuotaCooldownBlockingMod!F5</f>
        <v>0</v>
      </c>
      <c r="F32" s="152">
        <f>RAG010_QuotaCooldownBlockingMod!L5</f>
        <v>3</v>
      </c>
      <c r="G32" s="152">
        <f>RAG010_QuotaCooldownBlockingMod!M5</f>
        <v>0</v>
      </c>
      <c r="H32" s="152">
        <f>RAG010_QuotaCooldownBlockingMod!N5</f>
        <v>0</v>
      </c>
      <c r="I32" s="152">
        <f>RAG010_QuotaCooldownBlockingMod!O5</f>
        <v>3</v>
      </c>
      <c r="J32" s="152"/>
      <c r="K32" s="152"/>
      <c r="L32" s="152"/>
      <c r="M32" s="152"/>
      <c r="N32" s="152"/>
      <c r="O32" s="152"/>
      <c r="P32" s="152"/>
      <c r="Q32" s="152"/>
      <c r="R32" s="152"/>
      <c r="S32" s="152"/>
      <c r="T32" s="152"/>
      <c r="U32" s="152"/>
      <c r="V32" s="152"/>
      <c r="W32" s="152"/>
      <c r="X32" s="152"/>
      <c r="Y32" s="152"/>
      <c r="Z32" s="152"/>
    </row>
    <row r="33" ht="12.8" customHeight="1" spans="1:26">
      <c r="A33" s="152">
        <v>22</v>
      </c>
      <c r="B33" s="152" t="s">
        <v>187</v>
      </c>
      <c r="C33" s="152">
        <f>RAG011_PlanApprovedLocksRefine!A5</f>
        <v>3</v>
      </c>
      <c r="D33" s="152">
        <f>RAG011_PlanApprovedLocksRefine!C5</f>
        <v>0</v>
      </c>
      <c r="E33" s="152">
        <f>RAG011_PlanApprovedLocksRefine!F5</f>
        <v>0</v>
      </c>
      <c r="F33" s="152">
        <f>RAG011_PlanApprovedLocksRefine!L5</f>
        <v>1</v>
      </c>
      <c r="G33" s="152">
        <f>RAG011_PlanApprovedLocksRefine!M5</f>
        <v>2</v>
      </c>
      <c r="H33" s="152">
        <f>RAG011_PlanApprovedLocksRefine!N5</f>
        <v>0</v>
      </c>
      <c r="I33" s="152">
        <f>RAG011_PlanApprovedLocksRefine!O5</f>
        <v>3</v>
      </c>
      <c r="J33" s="152"/>
      <c r="K33" s="152"/>
      <c r="L33" s="152"/>
      <c r="M33" s="152"/>
      <c r="N33" s="152"/>
      <c r="O33" s="152"/>
      <c r="P33" s="152"/>
      <c r="Q33" s="152"/>
      <c r="R33" s="152"/>
      <c r="S33" s="152"/>
      <c r="T33" s="152"/>
      <c r="U33" s="152"/>
      <c r="V33" s="152"/>
      <c r="W33" s="152"/>
      <c r="X33" s="152"/>
      <c r="Y33" s="152"/>
      <c r="Z33" s="152"/>
    </row>
    <row r="34" ht="12.8" customHeight="1" spans="1:26">
      <c r="A34" s="152">
        <v>23</v>
      </c>
      <c r="B34" s="152" t="s">
        <v>192</v>
      </c>
      <c r="C34" s="152">
        <f>RAG012_QuestionEditDeleteRegene!A5</f>
        <v>4</v>
      </c>
      <c r="D34" s="152">
        <f>RAG012_QuestionEditDeleteRegene!C5</f>
        <v>0</v>
      </c>
      <c r="E34" s="152">
        <f>RAG012_QuestionEditDeleteRegene!F5</f>
        <v>0</v>
      </c>
      <c r="F34" s="152">
        <f>RAG012_QuestionEditDeleteRegene!L5</f>
        <v>2</v>
      </c>
      <c r="G34" s="152">
        <f>RAG012_QuestionEditDeleteRegene!M5</f>
        <v>2</v>
      </c>
      <c r="H34" s="152">
        <f>RAG012_QuestionEditDeleteRegene!N5</f>
        <v>0</v>
      </c>
      <c r="I34" s="152">
        <f>RAG012_QuestionEditDeleteRegene!O5</f>
        <v>4</v>
      </c>
      <c r="J34" s="152"/>
      <c r="K34" s="152"/>
      <c r="L34" s="152"/>
      <c r="M34" s="152"/>
      <c r="N34" s="152"/>
      <c r="O34" s="152"/>
      <c r="P34" s="152"/>
      <c r="Q34" s="152"/>
      <c r="R34" s="152"/>
      <c r="S34" s="152"/>
      <c r="T34" s="152"/>
      <c r="U34" s="152"/>
      <c r="V34" s="152"/>
      <c r="W34" s="152"/>
      <c r="X34" s="152"/>
      <c r="Y34" s="152"/>
      <c r="Z34" s="152"/>
    </row>
    <row r="35" ht="12.8" customHeight="1" spans="1:26">
      <c r="A35" s="152">
        <v>24</v>
      </c>
      <c r="B35" s="152" t="s">
        <v>197</v>
      </c>
      <c r="C35" s="152">
        <f>RAG013_SaveDraftPublishShare!A5</f>
        <v>5</v>
      </c>
      <c r="D35" s="152">
        <f>RAG013_SaveDraftPublishShare!C5</f>
        <v>0</v>
      </c>
      <c r="E35" s="152">
        <f>RAG013_SaveDraftPublishShare!F5</f>
        <v>0</v>
      </c>
      <c r="F35" s="152">
        <f>RAG013_SaveDraftPublishShare!L5</f>
        <v>5</v>
      </c>
      <c r="G35" s="152">
        <f>RAG013_SaveDraftPublishShare!M5</f>
        <v>0</v>
      </c>
      <c r="H35" s="152">
        <f>RAG013_SaveDraftPublishShare!N5</f>
        <v>0</v>
      </c>
      <c r="I35" s="152">
        <f>RAG013_SaveDraftPublishShare!O5</f>
        <v>5</v>
      </c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</row>
    <row r="36" ht="12.8" customHeight="1" spans="1:26">
      <c r="A36" s="152">
        <v>25</v>
      </c>
      <c r="B36" s="152" t="s">
        <v>202</v>
      </c>
      <c r="C36" s="152">
        <f>RAG014_JdMinCharVsWordCountMism!A5</f>
        <v>4</v>
      </c>
      <c r="D36" s="152">
        <f>RAG014_JdMinCharVsWordCountMism!C5</f>
        <v>0</v>
      </c>
      <c r="E36" s="152">
        <f>RAG014_JdMinCharVsWordCountMism!F5</f>
        <v>0</v>
      </c>
      <c r="F36" s="152">
        <f>RAG014_JdMinCharVsWordCountMism!L5</f>
        <v>3</v>
      </c>
      <c r="G36" s="152">
        <f>RAG014_JdMinCharVsWordCountMism!M5</f>
        <v>1</v>
      </c>
      <c r="H36" s="152">
        <f>RAG014_JdMinCharVsWordCountMism!N5</f>
        <v>0</v>
      </c>
      <c r="I36" s="152">
        <f>RAG014_JdMinCharVsWordCountMism!O5</f>
        <v>4</v>
      </c>
      <c r="J36" s="152"/>
      <c r="K36" s="152"/>
      <c r="L36" s="152"/>
      <c r="M36" s="152"/>
      <c r="N36" s="152"/>
      <c r="O36" s="152"/>
      <c r="P36" s="152"/>
      <c r="Q36" s="152"/>
      <c r="R36" s="152"/>
      <c r="S36" s="152"/>
      <c r="T36" s="152"/>
      <c r="U36" s="152"/>
      <c r="V36" s="152"/>
      <c r="W36" s="152"/>
      <c r="X36" s="152"/>
      <c r="Y36" s="152"/>
      <c r="Z36" s="152"/>
    </row>
    <row r="37" ht="12.8" customHeight="1" spans="1:26">
      <c r="A37" s="152">
        <v>26</v>
      </c>
      <c r="B37" s="152" t="s">
        <v>207</v>
      </c>
      <c r="C37" s="152">
        <f>RAG015_FileUploadTypeSizeValida!A5</f>
        <v>5</v>
      </c>
      <c r="D37" s="152">
        <f>RAG015_FileUploadTypeSizeValida!C5</f>
        <v>0</v>
      </c>
      <c r="E37" s="152">
        <f>RAG015_FileUploadTypeSizeValida!F5</f>
        <v>0</v>
      </c>
      <c r="F37" s="152">
        <f>RAG015_FileUploadTypeSizeValida!L5</f>
        <v>2</v>
      </c>
      <c r="G37" s="152">
        <f>RAG015_FileUploadTypeSizeValida!M5</f>
        <v>3</v>
      </c>
      <c r="H37" s="152">
        <f>RAG015_FileUploadTypeSizeValida!N5</f>
        <v>0</v>
      </c>
      <c r="I37" s="152">
        <f>RAG015_FileUploadTypeSizeValida!O5</f>
        <v>5</v>
      </c>
      <c r="J37" s="152"/>
      <c r="K37" s="152"/>
      <c r="L37" s="152"/>
      <c r="M37" s="152"/>
      <c r="N37" s="152"/>
      <c r="O37" s="152"/>
      <c r="P37" s="152"/>
      <c r="Q37" s="152"/>
      <c r="R37" s="152"/>
      <c r="S37" s="152"/>
      <c r="T37" s="152"/>
      <c r="U37" s="152"/>
      <c r="V37" s="152"/>
      <c r="W37" s="152"/>
      <c r="X37" s="152"/>
      <c r="Y37" s="152"/>
      <c r="Z37" s="152"/>
    </row>
    <row r="38" ht="12.8" customHeight="1" spans="1:26">
      <c r="A38" s="152">
        <v>27</v>
      </c>
      <c r="B38" s="152" t="s">
        <v>212</v>
      </c>
      <c r="C38" s="152">
        <f>RAG016_HardcodedGenerationSetti!A5</f>
        <v>2</v>
      </c>
      <c r="D38" s="152">
        <f>RAG016_HardcodedGenerationSetti!C5</f>
        <v>0</v>
      </c>
      <c r="E38" s="152">
        <f>RAG016_HardcodedGenerationSetti!F5</f>
        <v>0</v>
      </c>
      <c r="F38" s="152">
        <f>RAG016_HardcodedGenerationSetti!L5</f>
        <v>0</v>
      </c>
      <c r="G38" s="152">
        <f>RAG016_HardcodedGenerationSetti!M5</f>
        <v>0</v>
      </c>
      <c r="H38" s="152">
        <f>RAG016_HardcodedGenerationSetti!N5</f>
        <v>2</v>
      </c>
      <c r="I38" s="152">
        <f>RAG016_HardcodedGenerationSetti!O5</f>
        <v>2</v>
      </c>
      <c r="J38" s="152"/>
      <c r="K38" s="152"/>
      <c r="L38" s="152"/>
      <c r="M38" s="152"/>
      <c r="N38" s="152"/>
      <c r="O38" s="152"/>
      <c r="P38" s="152"/>
      <c r="Q38" s="152"/>
      <c r="R38" s="152"/>
      <c r="S38" s="152"/>
      <c r="T38" s="152"/>
      <c r="U38" s="152"/>
      <c r="V38" s="152"/>
      <c r="W38" s="152"/>
      <c r="X38" s="152"/>
      <c r="Y38" s="152"/>
      <c r="Z38" s="152"/>
    </row>
    <row r="39" ht="12.8" customHeight="1" spans="1:26">
      <c r="A39" s="152">
        <v>28</v>
      </c>
      <c r="B39" s="152" t="s">
        <v>217</v>
      </c>
      <c r="C39" s="152">
        <f>RAG017_PlanQuestionPollingFlow!A5</f>
        <v>3</v>
      </c>
      <c r="D39" s="152">
        <f>RAG017_PlanQuestionPollingFlow!C5</f>
        <v>0</v>
      </c>
      <c r="E39" s="152">
        <f>RAG017_PlanQuestionPollingFlow!F5</f>
        <v>0</v>
      </c>
      <c r="F39" s="152">
        <f>RAG017_PlanQuestionPollingFlow!L5</f>
        <v>2</v>
      </c>
      <c r="G39" s="152">
        <f>RAG017_PlanQuestionPollingFlow!M5</f>
        <v>0</v>
      </c>
      <c r="H39" s="152">
        <f>RAG017_PlanQuestionPollingFlow!N5</f>
        <v>1</v>
      </c>
      <c r="I39" s="152">
        <f>RAG017_PlanQuestionPollingFlow!O5</f>
        <v>3</v>
      </c>
      <c r="J39" s="152"/>
      <c r="K39" s="152"/>
      <c r="L39" s="152"/>
      <c r="M39" s="152"/>
      <c r="N39" s="152"/>
      <c r="O39" s="152"/>
      <c r="P39" s="152"/>
      <c r="Q39" s="152"/>
      <c r="R39" s="152"/>
      <c r="S39" s="152"/>
      <c r="T39" s="152"/>
      <c r="U39" s="152"/>
      <c r="V39" s="152"/>
      <c r="W39" s="152"/>
      <c r="X39" s="152"/>
      <c r="Y39" s="152"/>
      <c r="Z39" s="152"/>
    </row>
    <row r="40" ht="12.8" customHeight="1" spans="1:26">
      <c r="A40" s="152">
        <v>29</v>
      </c>
      <c r="B40" s="152" t="s">
        <v>222</v>
      </c>
      <c r="C40" s="152">
        <f>RAG018_FailedStateRetryVariants!A5</f>
        <v>4</v>
      </c>
      <c r="D40" s="152">
        <f>RAG018_FailedStateRetryVariants!C5</f>
        <v>0</v>
      </c>
      <c r="E40" s="152">
        <f>RAG018_FailedStateRetryVariants!F5</f>
        <v>0</v>
      </c>
      <c r="F40" s="152">
        <f>RAG018_FailedStateRetryVariants!L5</f>
        <v>4</v>
      </c>
      <c r="G40" s="152">
        <f>RAG018_FailedStateRetryVariants!M5</f>
        <v>0</v>
      </c>
      <c r="H40" s="152">
        <f>RAG018_FailedStateRetryVariants!N5</f>
        <v>0</v>
      </c>
      <c r="I40" s="152">
        <f>RAG018_FailedStateRetryVariants!O5</f>
        <v>4</v>
      </c>
      <c r="J40" s="152"/>
      <c r="K40" s="152"/>
      <c r="L40" s="152"/>
      <c r="M40" s="152"/>
      <c r="N40" s="152"/>
      <c r="O40" s="152"/>
      <c r="P40" s="152"/>
      <c r="Q40" s="152"/>
      <c r="R40" s="152"/>
      <c r="S40" s="152"/>
      <c r="T40" s="152"/>
      <c r="U40" s="152"/>
      <c r="V40" s="152"/>
      <c r="W40" s="152"/>
      <c r="X40" s="152"/>
      <c r="Y40" s="152"/>
      <c r="Z40" s="152"/>
    </row>
    <row r="41" ht="12.8" customHeight="1" spans="1:26">
      <c r="A41" s="152">
        <v>30</v>
      </c>
      <c r="B41" s="152" t="s">
        <v>227</v>
      </c>
      <c r="C41" s="152">
        <f>RAG019_AskAiPerQuestionChat!A5</f>
        <v>3</v>
      </c>
      <c r="D41" s="152">
        <f>RAG019_AskAiPerQuestionChat!C5</f>
        <v>0</v>
      </c>
      <c r="E41" s="152">
        <f>RAG019_AskAiPerQuestionChat!F5</f>
        <v>0</v>
      </c>
      <c r="F41" s="152">
        <f>RAG019_AskAiPerQuestionChat!L5</f>
        <v>3</v>
      </c>
      <c r="G41" s="152">
        <f>RAG019_AskAiPerQuestionChat!M5</f>
        <v>0</v>
      </c>
      <c r="H41" s="152">
        <f>RAG019_AskAiPerQuestionChat!N5</f>
        <v>0</v>
      </c>
      <c r="I41" s="152">
        <f>RAG019_AskAiPerQuestionChat!O5</f>
        <v>3</v>
      </c>
      <c r="J41" s="152"/>
      <c r="K41" s="152"/>
      <c r="L41" s="152"/>
      <c r="M41" s="152"/>
      <c r="N41" s="152"/>
      <c r="O41" s="152"/>
      <c r="P41" s="152"/>
      <c r="Q41" s="152"/>
      <c r="R41" s="152"/>
      <c r="S41" s="152"/>
      <c r="T41" s="152"/>
      <c r="U41" s="152"/>
      <c r="V41" s="152"/>
      <c r="W41" s="152"/>
      <c r="X41" s="152"/>
      <c r="Y41" s="152"/>
      <c r="Z41" s="152"/>
    </row>
    <row r="42" ht="12.8" customHeight="1" spans="1:26">
      <c r="A42" s="152">
        <v>31</v>
      </c>
      <c r="B42" s="152" t="s">
        <v>232</v>
      </c>
      <c r="C42" s="152">
        <f>RAG020_QuotaBannerInlineCopyMis!A5</f>
        <v>2</v>
      </c>
      <c r="D42" s="152">
        <f>RAG020_QuotaBannerInlineCopyMis!C5</f>
        <v>0</v>
      </c>
      <c r="E42" s="152">
        <f>RAG020_QuotaBannerInlineCopyMis!F5</f>
        <v>0</v>
      </c>
      <c r="F42" s="152">
        <f>RAG020_QuotaBannerInlineCopyMis!L5</f>
        <v>0</v>
      </c>
      <c r="G42" s="152">
        <f>RAG020_QuotaBannerInlineCopyMis!M5</f>
        <v>2</v>
      </c>
      <c r="H42" s="152">
        <f>RAG020_QuotaBannerInlineCopyMis!N5</f>
        <v>0</v>
      </c>
      <c r="I42" s="152">
        <f>RAG020_QuotaBannerInlineCopyMis!O5</f>
        <v>2</v>
      </c>
      <c r="J42" s="152"/>
      <c r="K42" s="152"/>
      <c r="L42" s="152"/>
      <c r="M42" s="152"/>
      <c r="N42" s="152"/>
      <c r="O42" s="152"/>
      <c r="P42" s="152"/>
      <c r="Q42" s="152"/>
      <c r="R42" s="152"/>
      <c r="S42" s="152"/>
      <c r="T42" s="152"/>
      <c r="U42" s="152"/>
      <c r="V42" s="152"/>
      <c r="W42" s="152"/>
      <c r="X42" s="152"/>
      <c r="Y42" s="152"/>
      <c r="Z42" s="152"/>
    </row>
    <row r="43" ht="12.8" customHeight="1" spans="1:26">
      <c r="A43" s="152">
        <v>32</v>
      </c>
      <c r="B43" s="152" t="s">
        <v>237</v>
      </c>
      <c r="C43" s="152">
        <f>RAG021_SessionPersistenceCrossA!A5</f>
        <v>3</v>
      </c>
      <c r="D43" s="152">
        <f>RAG021_SessionPersistenceCrossA!C5</f>
        <v>0</v>
      </c>
      <c r="E43" s="152">
        <f>RAG021_SessionPersistenceCrossA!F5</f>
        <v>0</v>
      </c>
      <c r="F43" s="152">
        <f>RAG021_SessionPersistenceCrossA!L5</f>
        <v>3</v>
      </c>
      <c r="G43" s="152">
        <f>RAG021_SessionPersistenceCrossA!M5</f>
        <v>0</v>
      </c>
      <c r="H43" s="152">
        <f>RAG021_SessionPersistenceCrossA!N5</f>
        <v>0</v>
      </c>
      <c r="I43" s="152">
        <f>RAG021_SessionPersistenceCrossA!O5</f>
        <v>3</v>
      </c>
      <c r="J43" s="152"/>
      <c r="K43" s="152"/>
      <c r="L43" s="152"/>
      <c r="M43" s="152"/>
      <c r="N43" s="152"/>
      <c r="O43" s="152"/>
      <c r="P43" s="152"/>
      <c r="Q43" s="152"/>
      <c r="R43" s="152"/>
      <c r="S43" s="152"/>
      <c r="T43" s="152"/>
      <c r="U43" s="152"/>
      <c r="V43" s="152"/>
      <c r="W43" s="152"/>
      <c r="X43" s="152"/>
      <c r="Y43" s="152"/>
      <c r="Z43" s="152"/>
    </row>
    <row r="44" ht="12.8" customHeight="1" spans="1:26">
      <c r="A44" s="152">
        <v>33</v>
      </c>
      <c r="B44" s="152" t="s">
        <v>242</v>
      </c>
      <c r="C44" s="152">
        <f>RAG022_ConcurrentBackgroundJobs!A5</f>
        <v>2</v>
      </c>
      <c r="D44" s="152">
        <f>RAG022_ConcurrentBackgroundJobs!C5</f>
        <v>0</v>
      </c>
      <c r="E44" s="152">
        <f>RAG022_ConcurrentBackgroundJobs!F5</f>
        <v>0</v>
      </c>
      <c r="F44" s="152">
        <f>RAG022_ConcurrentBackgroundJobs!L5</f>
        <v>2</v>
      </c>
      <c r="G44" s="152">
        <f>RAG022_ConcurrentBackgroundJobs!M5</f>
        <v>0</v>
      </c>
      <c r="H44" s="152">
        <f>RAG022_ConcurrentBackgroundJobs!N5</f>
        <v>0</v>
      </c>
      <c r="I44" s="152">
        <f>RAG022_ConcurrentBackgroundJobs!O5</f>
        <v>2</v>
      </c>
      <c r="J44" s="152"/>
      <c r="K44" s="152"/>
      <c r="L44" s="152"/>
      <c r="M44" s="152"/>
      <c r="N44" s="152"/>
      <c r="O44" s="152"/>
      <c r="P44" s="152"/>
      <c r="Q44" s="152"/>
      <c r="R44" s="152"/>
      <c r="S44" s="152"/>
      <c r="T44" s="152"/>
      <c r="U44" s="152"/>
      <c r="V44" s="152"/>
      <c r="W44" s="152"/>
      <c r="X44" s="152"/>
      <c r="Y44" s="152"/>
      <c r="Z44" s="152"/>
    </row>
    <row r="45" ht="12.8" customHeight="1" spans="1:26">
      <c r="A45" s="152">
        <v>34</v>
      </c>
      <c r="B45" s="152" t="s">
        <v>247</v>
      </c>
      <c r="C45" s="152">
        <f>RAG023_SaveDraftDuplicateSubmit!A5</f>
        <v>2</v>
      </c>
      <c r="D45" s="152">
        <f>RAG023_SaveDraftDuplicateSubmit!C5</f>
        <v>0</v>
      </c>
      <c r="E45" s="152">
        <f>RAG023_SaveDraftDuplicateSubmit!F5</f>
        <v>0</v>
      </c>
      <c r="F45" s="152">
        <f>RAG023_SaveDraftDuplicateSubmit!L5</f>
        <v>1</v>
      </c>
      <c r="G45" s="152">
        <f>RAG023_SaveDraftDuplicateSubmit!M5</f>
        <v>0</v>
      </c>
      <c r="H45" s="152">
        <f>RAG023_SaveDraftDuplicateSubmit!N5</f>
        <v>1</v>
      </c>
      <c r="I45" s="152">
        <f>RAG023_SaveDraftDuplicateSubmit!O5</f>
        <v>2</v>
      </c>
      <c r="J45" s="152"/>
      <c r="K45" s="152"/>
      <c r="L45" s="152"/>
      <c r="M45" s="152"/>
      <c r="N45" s="152"/>
      <c r="O45" s="152"/>
      <c r="P45" s="152"/>
      <c r="Q45" s="152"/>
      <c r="R45" s="152"/>
      <c r="S45" s="152"/>
      <c r="T45" s="152"/>
      <c r="U45" s="152"/>
      <c r="V45" s="152"/>
      <c r="W45" s="152"/>
      <c r="X45" s="152"/>
      <c r="Y45" s="152"/>
      <c r="Z45" s="152"/>
    </row>
    <row r="46" ht="12.8" customHeight="1" spans="1:26">
      <c r="A46" s="152">
        <v>35</v>
      </c>
      <c r="B46" s="152" t="s">
        <v>252</v>
      </c>
      <c r="C46" s="152">
        <f>RAG024_PlanRegenerateLimitServe!A5</f>
        <v>2</v>
      </c>
      <c r="D46" s="152">
        <f>RAG024_PlanRegenerateLimitServe!C5</f>
        <v>0</v>
      </c>
      <c r="E46" s="152">
        <f>RAG024_PlanRegenerateLimitServe!F5</f>
        <v>0</v>
      </c>
      <c r="F46" s="152">
        <f>RAG024_PlanRegenerateLimitServe!L5</f>
        <v>1</v>
      </c>
      <c r="G46" s="152">
        <f>RAG024_PlanRegenerateLimitServe!M5</f>
        <v>1</v>
      </c>
      <c r="H46" s="152">
        <f>RAG024_PlanRegenerateLimitServe!N5</f>
        <v>0</v>
      </c>
      <c r="I46" s="152">
        <f>RAG024_PlanRegenerateLimitServe!O5</f>
        <v>2</v>
      </c>
      <c r="J46" s="152"/>
      <c r="K46" s="152"/>
      <c r="L46" s="152"/>
      <c r="M46" s="152"/>
      <c r="N46" s="152"/>
      <c r="O46" s="152"/>
      <c r="P46" s="152"/>
      <c r="Q46" s="152"/>
      <c r="R46" s="152"/>
      <c r="S46" s="152"/>
      <c r="T46" s="152"/>
      <c r="U46" s="152"/>
      <c r="V46" s="152"/>
      <c r="W46" s="152"/>
      <c r="X46" s="152"/>
      <c r="Y46" s="152"/>
      <c r="Z46" s="152"/>
    </row>
    <row r="47" ht="12.8" customHeight="1" spans="1:26">
      <c r="A47" s="152">
        <v>36</v>
      </c>
      <c r="B47" s="152" t="s">
        <v>259</v>
      </c>
      <c r="C47" s="152">
        <f>RGA001_Token401SilentRefreshSuc!A5</f>
        <v>3</v>
      </c>
      <c r="D47" s="152">
        <f>RGA001_Token401SilentRefreshSuc!C5</f>
        <v>0</v>
      </c>
      <c r="E47" s="152">
        <f>RGA001_Token401SilentRefreshSuc!F5</f>
        <v>0</v>
      </c>
      <c r="F47" s="152">
        <f>RGA001_Token401SilentRefreshSuc!L5</f>
        <v>3</v>
      </c>
      <c r="G47" s="152">
        <f>RGA001_Token401SilentRefreshSuc!M5</f>
        <v>0</v>
      </c>
      <c r="H47" s="152">
        <f>RGA001_Token401SilentRefreshSuc!N5</f>
        <v>0</v>
      </c>
      <c r="I47" s="152">
        <f>RGA001_Token401SilentRefreshSuc!O5</f>
        <v>3</v>
      </c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</row>
    <row r="48" ht="12.8" customHeight="1" spans="1:26">
      <c r="A48" s="152">
        <v>37</v>
      </c>
      <c r="B48" s="152" t="s">
        <v>264</v>
      </c>
      <c r="C48" s="152">
        <f>RGA002_Token401RefreshFailureRe!A5</f>
        <v>3</v>
      </c>
      <c r="D48" s="152">
        <f>RGA002_Token401RefreshFailureRe!C5</f>
        <v>0</v>
      </c>
      <c r="E48" s="152">
        <f>RGA002_Token401RefreshFailureRe!F5</f>
        <v>0</v>
      </c>
      <c r="F48" s="152">
        <f>RGA002_Token401RefreshFailureRe!L5</f>
        <v>0</v>
      </c>
      <c r="G48" s="152">
        <f>RGA002_Token401RefreshFailureRe!M5</f>
        <v>3</v>
      </c>
      <c r="H48" s="152">
        <f>RGA002_Token401RefreshFailureRe!N5</f>
        <v>0</v>
      </c>
      <c r="I48" s="152">
        <f>RGA002_Token401RefreshFailureRe!O5</f>
        <v>3</v>
      </c>
      <c r="J48" s="152"/>
      <c r="K48" s="152"/>
      <c r="L48" s="152"/>
      <c r="M48" s="152"/>
      <c r="N48" s="152"/>
      <c r="O48" s="152"/>
      <c r="P48" s="152"/>
      <c r="Q48" s="152"/>
      <c r="R48" s="152"/>
      <c r="S48" s="152"/>
      <c r="T48" s="152"/>
      <c r="U48" s="152"/>
      <c r="V48" s="152"/>
      <c r="W48" s="152"/>
      <c r="X48" s="152"/>
      <c r="Y48" s="152"/>
      <c r="Z48" s="152"/>
    </row>
    <row r="49" ht="12.8" customHeight="1" spans="1:26">
      <c r="A49" s="152">
        <v>38</v>
      </c>
      <c r="B49" s="152" t="s">
        <v>269</v>
      </c>
      <c r="C49" s="152">
        <f>RGA003_Token401NoRefreshTokenSt!A5</f>
        <v>1</v>
      </c>
      <c r="D49" s="152">
        <f>RGA003_Token401NoRefreshTokenSt!C5</f>
        <v>0</v>
      </c>
      <c r="E49" s="152">
        <f>RGA003_Token401NoRefreshTokenSt!F5</f>
        <v>0</v>
      </c>
      <c r="F49" s="152">
        <f>RGA003_Token401NoRefreshTokenSt!L5</f>
        <v>0</v>
      </c>
      <c r="G49" s="152">
        <f>RGA003_Token401NoRefreshTokenSt!M5</f>
        <v>1</v>
      </c>
      <c r="H49" s="152">
        <f>RGA003_Token401NoRefreshTokenSt!N5</f>
        <v>0</v>
      </c>
      <c r="I49" s="152">
        <f>RGA003_Token401NoRefreshTokenSt!O5</f>
        <v>1</v>
      </c>
      <c r="J49" s="152"/>
      <c r="K49" s="152"/>
      <c r="L49" s="152"/>
      <c r="M49" s="152"/>
      <c r="N49" s="152"/>
      <c r="O49" s="152"/>
      <c r="P49" s="152"/>
      <c r="Q49" s="152"/>
      <c r="R49" s="152"/>
      <c r="S49" s="152"/>
      <c r="T49" s="152"/>
      <c r="U49" s="152"/>
      <c r="V49" s="152"/>
      <c r="W49" s="152"/>
      <c r="X49" s="152"/>
      <c r="Y49" s="152"/>
      <c r="Z49" s="152"/>
    </row>
    <row r="50" ht="12.8" customHeight="1" spans="1:26">
      <c r="A50" s="152">
        <v>39</v>
      </c>
      <c r="B50" s="152" t="s">
        <v>274</v>
      </c>
      <c r="C50" s="152">
        <f>RGA004_Token401OnRefreshEndpoin!A5</f>
        <v>1</v>
      </c>
      <c r="D50" s="152">
        <f>RGA004_Token401OnRefreshEndpoin!C5</f>
        <v>0</v>
      </c>
      <c r="E50" s="152">
        <f>RGA004_Token401OnRefreshEndpoin!F5</f>
        <v>0</v>
      </c>
      <c r="F50" s="152">
        <f>RGA004_Token401OnRefreshEndpoin!L5</f>
        <v>0</v>
      </c>
      <c r="G50" s="152">
        <f>RGA004_Token401OnRefreshEndpoin!M5</f>
        <v>1</v>
      </c>
      <c r="H50" s="152">
        <f>RGA004_Token401OnRefreshEndpoin!N5</f>
        <v>0</v>
      </c>
      <c r="I50" s="152">
        <f>RGA004_Token401OnRefreshEndpoin!O5</f>
        <v>1</v>
      </c>
      <c r="J50" s="152"/>
      <c r="K50" s="152"/>
      <c r="L50" s="152"/>
      <c r="M50" s="152"/>
      <c r="N50" s="152"/>
      <c r="O50" s="152"/>
      <c r="P50" s="152"/>
      <c r="Q50" s="152"/>
      <c r="R50" s="152"/>
      <c r="S50" s="152"/>
      <c r="T50" s="152"/>
      <c r="U50" s="152"/>
      <c r="V50" s="152"/>
      <c r="W50" s="152"/>
      <c r="X50" s="152"/>
      <c r="Y50" s="152"/>
      <c r="Z50" s="152"/>
    </row>
    <row r="51" ht="12.8" customHeight="1" spans="1:26">
      <c r="A51" s="152">
        <v>40</v>
      </c>
      <c r="B51" s="152" t="s">
        <v>279</v>
      </c>
      <c r="C51" s="152">
        <f>RGA005_Token401AlreadyRetriedOn!A5</f>
        <v>1</v>
      </c>
      <c r="D51" s="152">
        <f>RGA005_Token401AlreadyRetriedOn!C5</f>
        <v>0</v>
      </c>
      <c r="E51" s="152">
        <f>RGA005_Token401AlreadyRetriedOn!F5</f>
        <v>0</v>
      </c>
      <c r="F51" s="152">
        <f>RGA005_Token401AlreadyRetriedOn!L5</f>
        <v>0</v>
      </c>
      <c r="G51" s="152">
        <f>RGA005_Token401AlreadyRetriedOn!M5</f>
        <v>1</v>
      </c>
      <c r="H51" s="152">
        <f>RGA005_Token401AlreadyRetriedOn!N5</f>
        <v>0</v>
      </c>
      <c r="I51" s="152">
        <f>RGA005_Token401AlreadyRetriedOn!O5</f>
        <v>1</v>
      </c>
      <c r="J51" s="152"/>
      <c r="K51" s="152"/>
      <c r="L51" s="152"/>
      <c r="M51" s="152"/>
      <c r="N51" s="152"/>
      <c r="O51" s="152"/>
      <c r="P51" s="152"/>
      <c r="Q51" s="152"/>
      <c r="R51" s="152"/>
      <c r="S51" s="152"/>
      <c r="T51" s="152"/>
      <c r="U51" s="152"/>
      <c r="V51" s="152"/>
      <c r="W51" s="152"/>
      <c r="X51" s="152"/>
      <c r="Y51" s="152"/>
      <c r="Z51" s="152"/>
    </row>
    <row r="52" ht="12.8" customHeight="1" spans="1:26">
      <c r="A52" s="152">
        <v>41</v>
      </c>
      <c r="B52" s="152" t="s">
        <v>284</v>
      </c>
      <c r="C52" s="152">
        <f>RGA006_PublicAuthEndpoint401NoI!A5</f>
        <v>3</v>
      </c>
      <c r="D52" s="152">
        <f>RGA006_PublicAuthEndpoint401NoI!C5</f>
        <v>0</v>
      </c>
      <c r="E52" s="152">
        <f>RGA006_PublicAuthEndpoint401NoI!F5</f>
        <v>0</v>
      </c>
      <c r="F52" s="152">
        <f>RGA006_PublicAuthEndpoint401NoI!L5</f>
        <v>3</v>
      </c>
      <c r="G52" s="152">
        <f>RGA006_PublicAuthEndpoint401NoI!M5</f>
        <v>0</v>
      </c>
      <c r="H52" s="152">
        <f>RGA006_PublicAuthEndpoint401NoI!N5</f>
        <v>0</v>
      </c>
      <c r="I52" s="152">
        <f>RGA006_PublicAuthEndpoint401NoI!O5</f>
        <v>3</v>
      </c>
      <c r="J52" s="152"/>
      <c r="K52" s="152"/>
      <c r="L52" s="152"/>
      <c r="M52" s="152"/>
      <c r="N52" s="152"/>
      <c r="O52" s="152"/>
      <c r="P52" s="152"/>
      <c r="Q52" s="152"/>
      <c r="R52" s="152"/>
      <c r="S52" s="152"/>
      <c r="T52" s="152"/>
      <c r="U52" s="152"/>
      <c r="V52" s="152"/>
      <c r="W52" s="152"/>
      <c r="X52" s="152"/>
      <c r="Y52" s="152"/>
      <c r="Z52" s="152"/>
    </row>
    <row r="53" ht="12.8" customHeight="1" spans="1:26">
      <c r="A53" s="152">
        <v>42</v>
      </c>
      <c r="B53" s="152" t="s">
        <v>289</v>
      </c>
      <c r="C53" s="152">
        <f>RGA007_Forbidden403NoDedicatedH!A5</f>
        <v>3</v>
      </c>
      <c r="D53" s="152">
        <f>RGA007_Forbidden403NoDedicatedH!C5</f>
        <v>0</v>
      </c>
      <c r="E53" s="152">
        <f>RGA007_Forbidden403NoDedicatedH!F5</f>
        <v>0</v>
      </c>
      <c r="F53" s="152">
        <f>RGA007_Forbidden403NoDedicatedH!L5</f>
        <v>1</v>
      </c>
      <c r="G53" s="152">
        <f>RGA007_Forbidden403NoDedicatedH!M5</f>
        <v>2</v>
      </c>
      <c r="H53" s="152">
        <f>RGA007_Forbidden403NoDedicatedH!N5</f>
        <v>0</v>
      </c>
      <c r="I53" s="152">
        <f>RGA007_Forbidden403NoDedicatedH!O5</f>
        <v>3</v>
      </c>
      <c r="J53" s="152"/>
      <c r="K53" s="152"/>
      <c r="L53" s="152"/>
      <c r="M53" s="152"/>
      <c r="N53" s="152"/>
      <c r="O53" s="152"/>
      <c r="P53" s="152"/>
      <c r="Q53" s="152"/>
      <c r="R53" s="152"/>
      <c r="S53" s="152"/>
      <c r="T53" s="152"/>
      <c r="U53" s="152"/>
      <c r="V53" s="152"/>
      <c r="W53" s="152"/>
      <c r="X53" s="152"/>
      <c r="Y53" s="152"/>
      <c r="Z53" s="152"/>
    </row>
    <row r="54" ht="12.8" customHeight="1" spans="1:26">
      <c r="A54" s="152">
        <v>43</v>
      </c>
      <c r="B54" s="152" t="s">
        <v>294</v>
      </c>
      <c r="C54" s="152">
        <f>RGA008_NoRoleGateOnHrRoutes!A5</f>
        <v>3</v>
      </c>
      <c r="D54" s="152">
        <f>RGA008_NoRoleGateOnHrRoutes!C5</f>
        <v>0</v>
      </c>
      <c r="E54" s="152">
        <f>RGA008_NoRoleGateOnHrRoutes!F5</f>
        <v>0</v>
      </c>
      <c r="F54" s="152">
        <f>RGA008_NoRoleGateOnHrRoutes!L5</f>
        <v>0</v>
      </c>
      <c r="G54" s="152">
        <f>RGA008_NoRoleGateOnHrRoutes!M5</f>
        <v>3</v>
      </c>
      <c r="H54" s="152">
        <f>RGA008_NoRoleGateOnHrRoutes!N5</f>
        <v>0</v>
      </c>
      <c r="I54" s="152">
        <f>RGA008_NoRoleGateOnHrRoutes!O5</f>
        <v>3</v>
      </c>
      <c r="J54" s="152"/>
      <c r="K54" s="152"/>
      <c r="L54" s="152"/>
      <c r="M54" s="152"/>
      <c r="N54" s="152"/>
      <c r="O54" s="152"/>
      <c r="P54" s="152"/>
      <c r="Q54" s="152"/>
      <c r="R54" s="152"/>
      <c r="S54" s="152"/>
      <c r="T54" s="152"/>
      <c r="U54" s="152"/>
      <c r="V54" s="152"/>
      <c r="W54" s="152"/>
      <c r="X54" s="152"/>
      <c r="Y54" s="152"/>
      <c r="Z54" s="152"/>
    </row>
    <row r="55" ht="12.8" customHeight="1" spans="1:26">
      <c r="A55" s="152">
        <v>44</v>
      </c>
      <c r="B55" s="152" t="s">
        <v>299</v>
      </c>
      <c r="C55" s="152">
        <f>RGA009_SubscriptionErrorCodeCan!A5</f>
        <v>4</v>
      </c>
      <c r="D55" s="152">
        <f>RGA009_SubscriptionErrorCodeCan!C5</f>
        <v>0</v>
      </c>
      <c r="E55" s="152">
        <f>RGA009_SubscriptionErrorCodeCan!F5</f>
        <v>0</v>
      </c>
      <c r="F55" s="152">
        <f>RGA009_SubscriptionErrorCodeCan!L5</f>
        <v>4</v>
      </c>
      <c r="G55" s="152">
        <f>RGA009_SubscriptionErrorCodeCan!M5</f>
        <v>0</v>
      </c>
      <c r="H55" s="152">
        <f>RGA009_SubscriptionErrorCodeCan!N5</f>
        <v>0</v>
      </c>
      <c r="I55" s="152">
        <f>RGA009_SubscriptionErrorCodeCan!O5</f>
        <v>4</v>
      </c>
      <c r="J55" s="152"/>
      <c r="K55" s="152"/>
      <c r="L55" s="152"/>
      <c r="M55" s="152"/>
      <c r="N55" s="152"/>
      <c r="O55" s="152"/>
      <c r="P55" s="152"/>
      <c r="Q55" s="152"/>
      <c r="R55" s="152"/>
      <c r="S55" s="152"/>
      <c r="T55" s="152"/>
      <c r="U55" s="152"/>
      <c r="V55" s="152"/>
      <c r="W55" s="152"/>
      <c r="X55" s="152"/>
      <c r="Y55" s="152"/>
      <c r="Z55" s="152"/>
    </row>
    <row r="56" ht="12.8" customHeight="1" spans="1:26">
      <c r="A56" s="152">
        <v>45</v>
      </c>
      <c r="B56" s="152" t="s">
        <v>304</v>
      </c>
      <c r="C56" s="152">
        <f>RGA010_UnrecognizedErrorCodeFal!A5</f>
        <v>5</v>
      </c>
      <c r="D56" s="152">
        <f>RGA010_UnrecognizedErrorCodeFal!C5</f>
        <v>0</v>
      </c>
      <c r="E56" s="152">
        <f>RGA010_UnrecognizedErrorCodeFal!F5</f>
        <v>0</v>
      </c>
      <c r="F56" s="152">
        <f>RGA010_UnrecognizedErrorCodeFal!L5</f>
        <v>2</v>
      </c>
      <c r="G56" s="152">
        <f>RGA010_UnrecognizedErrorCodeFal!M5</f>
        <v>3</v>
      </c>
      <c r="H56" s="152">
        <f>RGA010_UnrecognizedErrorCodeFal!N5</f>
        <v>0</v>
      </c>
      <c r="I56" s="152">
        <f>RGA010_UnrecognizedErrorCodeFal!O5</f>
        <v>5</v>
      </c>
      <c r="J56" s="152"/>
      <c r="K56" s="152"/>
      <c r="L56" s="152"/>
      <c r="M56" s="152"/>
      <c r="N56" s="152"/>
      <c r="O56" s="152"/>
      <c r="P56" s="152"/>
      <c r="Q56" s="152"/>
      <c r="R56" s="152"/>
      <c r="S56" s="152"/>
      <c r="T56" s="152"/>
      <c r="U56" s="152"/>
      <c r="V56" s="152"/>
      <c r="W56" s="152"/>
      <c r="X56" s="152"/>
      <c r="Y56" s="152"/>
      <c r="Z56" s="152"/>
    </row>
    <row r="57" ht="12.8" customHeight="1" spans="1:26">
      <c r="A57" s="152">
        <v>46</v>
      </c>
      <c r="B57" s="152" t="s">
        <v>309</v>
      </c>
      <c r="C57" s="152">
        <f>RGA011_TimeoutRaw5xxNoFriendlyM!A5</f>
        <v>4</v>
      </c>
      <c r="D57" s="152">
        <f>RGA011_TimeoutRaw5xxNoFriendlyM!C5</f>
        <v>0</v>
      </c>
      <c r="E57" s="152">
        <f>RGA011_TimeoutRaw5xxNoFriendlyM!F5</f>
        <v>0</v>
      </c>
      <c r="F57" s="152">
        <f>RGA011_TimeoutRaw5xxNoFriendlyM!L5</f>
        <v>0</v>
      </c>
      <c r="G57" s="152">
        <f>RGA011_TimeoutRaw5xxNoFriendlyM!M5</f>
        <v>2</v>
      </c>
      <c r="H57" s="152">
        <f>RGA011_TimeoutRaw5xxNoFriendlyM!N5</f>
        <v>2</v>
      </c>
      <c r="I57" s="152">
        <f>RGA011_TimeoutRaw5xxNoFriendlyM!O5</f>
        <v>4</v>
      </c>
      <c r="J57" s="152"/>
      <c r="K57" s="152"/>
      <c r="L57" s="152"/>
      <c r="M57" s="152"/>
      <c r="N57" s="152"/>
      <c r="O57" s="152"/>
      <c r="P57" s="152"/>
      <c r="Q57" s="152"/>
      <c r="R57" s="152"/>
      <c r="S57" s="152"/>
      <c r="T57" s="152"/>
      <c r="U57" s="152"/>
      <c r="V57" s="152"/>
      <c r="W57" s="152"/>
      <c r="X57" s="152"/>
      <c r="Y57" s="152"/>
      <c r="Z57" s="152"/>
    </row>
    <row r="58" ht="12.8" customHeight="1" spans="1:26">
      <c r="A58" s="152">
        <v>47</v>
      </c>
      <c r="B58" s="152" t="s">
        <v>314</v>
      </c>
      <c r="C58" s="152">
        <f>RGA012_SessionExpiryMidGenerati!A5</f>
        <v>2</v>
      </c>
      <c r="D58" s="152">
        <f>RGA012_SessionExpiryMidGenerati!C5</f>
        <v>0</v>
      </c>
      <c r="E58" s="152">
        <f>RGA012_SessionExpiryMidGenerati!F5</f>
        <v>0</v>
      </c>
      <c r="F58" s="152">
        <f>RGA012_SessionExpiryMidGenerati!L5</f>
        <v>1</v>
      </c>
      <c r="G58" s="152">
        <f>RGA012_SessionExpiryMidGenerati!M5</f>
        <v>1</v>
      </c>
      <c r="H58" s="152">
        <f>RGA012_SessionExpiryMidGenerati!N5</f>
        <v>0</v>
      </c>
      <c r="I58" s="152">
        <f>RGA012_SessionExpiryMidGenerati!O5</f>
        <v>2</v>
      </c>
      <c r="J58" s="152"/>
      <c r="K58" s="152"/>
      <c r="L58" s="152"/>
      <c r="M58" s="152"/>
      <c r="N58" s="152"/>
      <c r="O58" s="152"/>
      <c r="P58" s="152"/>
      <c r="Q58" s="152"/>
      <c r="R58" s="152"/>
      <c r="S58" s="152"/>
      <c r="T58" s="152"/>
      <c r="U58" s="152"/>
      <c r="V58" s="152"/>
      <c r="W58" s="152"/>
      <c r="X58" s="152"/>
      <c r="Y58" s="152"/>
      <c r="Z58" s="152"/>
    </row>
    <row r="59" ht="12.8" customHeight="1" spans="1:26">
      <c r="A59" s="152">
        <v>48</v>
      </c>
      <c r="B59" s="152" t="s">
        <v>319</v>
      </c>
      <c r="C59" s="152">
        <f>RGA013_ConcurrentRequests401Ded!A5</f>
        <v>2</v>
      </c>
      <c r="D59" s="152">
        <f>RGA013_ConcurrentRequests401Ded!C5</f>
        <v>0</v>
      </c>
      <c r="E59" s="152">
        <f>RGA013_ConcurrentRequests401Ded!F5</f>
        <v>0</v>
      </c>
      <c r="F59" s="152">
        <f>RGA013_ConcurrentRequests401Ded!L5</f>
        <v>2</v>
      </c>
      <c r="G59" s="152">
        <f>RGA013_ConcurrentRequests401Ded!M5</f>
        <v>0</v>
      </c>
      <c r="H59" s="152">
        <f>RGA013_ConcurrentRequests401Ded!N5</f>
        <v>0</v>
      </c>
      <c r="I59" s="152">
        <f>RGA013_ConcurrentRequests401Ded!O5</f>
        <v>2</v>
      </c>
      <c r="J59" s="152"/>
      <c r="K59" s="152"/>
      <c r="L59" s="152"/>
      <c r="M59" s="152"/>
      <c r="N59" s="152"/>
      <c r="O59" s="152"/>
      <c r="P59" s="152"/>
      <c r="Q59" s="152"/>
      <c r="R59" s="152"/>
      <c r="S59" s="152"/>
      <c r="T59" s="152"/>
      <c r="U59" s="152"/>
      <c r="V59" s="152"/>
      <c r="W59" s="152"/>
      <c r="X59" s="152"/>
      <c r="Y59" s="152"/>
      <c r="Z59" s="152"/>
    </row>
    <row r="60" ht="12.8" customHeight="1" spans="1:26">
      <c r="A60" s="152">
        <v>49</v>
      </c>
      <c r="B60" s="152" t="s">
        <v>324</v>
      </c>
      <c r="C60" s="152">
        <f>RGA014_RagServiceDeadCodeNoAuth!A5</f>
        <v>2</v>
      </c>
      <c r="D60" s="152">
        <f>RGA014_RagServiceDeadCodeNoAuth!C5</f>
        <v>0</v>
      </c>
      <c r="E60" s="152">
        <f>RGA014_RagServiceDeadCodeNoAuth!F5</f>
        <v>0</v>
      </c>
      <c r="F60" s="152">
        <f>RGA014_RagServiceDeadCodeNoAuth!L5</f>
        <v>0</v>
      </c>
      <c r="G60" s="152">
        <f>RGA014_RagServiceDeadCodeNoAuth!M5</f>
        <v>0</v>
      </c>
      <c r="H60" s="152">
        <f>RGA014_RagServiceDeadCodeNoAuth!N5</f>
        <v>2</v>
      </c>
      <c r="I60" s="152">
        <f>RGA014_RagServiceDeadCodeNoAuth!O5</f>
        <v>2</v>
      </c>
      <c r="J60" s="152"/>
      <c r="K60" s="152"/>
      <c r="L60" s="152"/>
      <c r="M60" s="152"/>
      <c r="N60" s="152"/>
      <c r="O60" s="152"/>
      <c r="P60" s="152"/>
      <c r="Q60" s="152"/>
      <c r="R60" s="152"/>
      <c r="S60" s="152"/>
      <c r="T60" s="152"/>
      <c r="U60" s="152"/>
      <c r="V60" s="152"/>
      <c r="W60" s="152"/>
      <c r="X60" s="152"/>
      <c r="Y60" s="152"/>
      <c r="Z60" s="152"/>
    </row>
    <row r="61" ht="12.8" customHeight="1" spans="1:26">
      <c r="A61" s="152">
        <v>50</v>
      </c>
      <c r="B61" s="152" t="s">
        <v>329</v>
      </c>
      <c r="C61" s="152">
        <f>RAG025_KbDocPickerOptionalAttac!A5</f>
        <v>3</v>
      </c>
      <c r="D61" s="152">
        <f>RAG025_KbDocPickerOptionalAttac!C5</f>
        <v>0</v>
      </c>
      <c r="E61" s="152">
        <f>RAG025_KbDocPickerOptionalAttac!F5</f>
        <v>0</v>
      </c>
      <c r="F61" s="152">
        <f>RAG025_KbDocPickerOptionalAttac!L5</f>
        <v>2</v>
      </c>
      <c r="G61" s="152">
        <f>RAG025_KbDocPickerOptionalAttac!M5</f>
        <v>0</v>
      </c>
      <c r="H61" s="152">
        <f>RAG025_KbDocPickerOptionalAttac!N5</f>
        <v>1</v>
      </c>
      <c r="I61" s="152">
        <f>RAG025_KbDocPickerOptionalAttac!O5</f>
        <v>3</v>
      </c>
      <c r="J61" s="152"/>
      <c r="K61" s="152"/>
      <c r="L61" s="152"/>
      <c r="M61" s="152"/>
      <c r="N61" s="152"/>
      <c r="O61" s="152"/>
      <c r="P61" s="152"/>
      <c r="Q61" s="152"/>
      <c r="R61" s="152"/>
      <c r="S61" s="152"/>
      <c r="T61" s="152"/>
      <c r="U61" s="152"/>
      <c r="V61" s="152"/>
      <c r="W61" s="152"/>
      <c r="X61" s="152"/>
      <c r="Y61" s="152"/>
      <c r="Z61" s="152"/>
    </row>
    <row r="62" ht="12.8" customHeight="1" spans="1:26">
      <c r="A62" s="152">
        <v>51</v>
      </c>
      <c r="B62" s="152" t="s">
        <v>334</v>
      </c>
      <c r="C62" s="152">
        <f>RAG026_NotesForAiFreeTextField!A5</f>
        <v>3</v>
      </c>
      <c r="D62" s="152">
        <f>RAG026_NotesForAiFreeTextField!C5</f>
        <v>0</v>
      </c>
      <c r="E62" s="152">
        <f>RAG026_NotesForAiFreeTextField!F5</f>
        <v>0</v>
      </c>
      <c r="F62" s="152">
        <f>RAG026_NotesForAiFreeTextField!L5</f>
        <v>2</v>
      </c>
      <c r="G62" s="152">
        <f>RAG026_NotesForAiFreeTextField!M5</f>
        <v>0</v>
      </c>
      <c r="H62" s="152">
        <f>RAG026_NotesForAiFreeTextField!N5</f>
        <v>1</v>
      </c>
      <c r="I62" s="152">
        <f>RAG026_NotesForAiFreeTextField!O5</f>
        <v>3</v>
      </c>
      <c r="J62" s="152"/>
      <c r="K62" s="152"/>
      <c r="L62" s="152"/>
      <c r="M62" s="152"/>
      <c r="N62" s="152"/>
      <c r="O62" s="152"/>
      <c r="P62" s="152"/>
      <c r="Q62" s="152"/>
      <c r="R62" s="152"/>
      <c r="S62" s="152"/>
      <c r="T62" s="152"/>
      <c r="U62" s="152"/>
      <c r="V62" s="152"/>
      <c r="W62" s="152"/>
      <c r="X62" s="152"/>
      <c r="Y62" s="152"/>
      <c r="Z62" s="152"/>
    </row>
    <row r="63" ht="12.8" customHeight="1" spans="1:26">
      <c r="A63" s="152">
        <v>52</v>
      </c>
      <c r="B63" s="152" t="s">
        <v>339</v>
      </c>
      <c r="C63" s="152">
        <f>RAG027_SampleJdModalCopyUse!A5</f>
        <v>2</v>
      </c>
      <c r="D63" s="152">
        <f>RAG027_SampleJdModalCopyUse!C5</f>
        <v>0</v>
      </c>
      <c r="E63" s="152">
        <f>RAG027_SampleJdModalCopyUse!F5</f>
        <v>0</v>
      </c>
      <c r="F63" s="152">
        <f>RAG027_SampleJdModalCopyUse!L5</f>
        <v>2</v>
      </c>
      <c r="G63" s="152">
        <f>RAG027_SampleJdModalCopyUse!M5</f>
        <v>0</v>
      </c>
      <c r="H63" s="152">
        <f>RAG027_SampleJdModalCopyUse!N5</f>
        <v>0</v>
      </c>
      <c r="I63" s="152">
        <f>RAG027_SampleJdModalCopyUse!O5</f>
        <v>2</v>
      </c>
      <c r="J63" s="152"/>
      <c r="K63" s="152"/>
      <c r="L63" s="152"/>
      <c r="M63" s="152"/>
      <c r="N63" s="152"/>
      <c r="O63" s="152"/>
      <c r="P63" s="152"/>
      <c r="Q63" s="152"/>
      <c r="R63" s="152"/>
      <c r="S63" s="152"/>
      <c r="T63" s="152"/>
      <c r="U63" s="152"/>
      <c r="V63" s="152"/>
      <c r="W63" s="152"/>
      <c r="X63" s="152"/>
      <c r="Y63" s="152"/>
      <c r="Z63" s="152"/>
    </row>
    <row r="64" ht="12.8" customHeight="1" spans="1:26">
      <c r="A64" s="152">
        <v>53</v>
      </c>
      <c r="B64" s="152" t="s">
        <v>344</v>
      </c>
      <c r="C64" s="152">
        <f>RAG028_ReorderQuestions409Handl!A5</f>
        <v>2</v>
      </c>
      <c r="D64" s="152">
        <f>RAG028_ReorderQuestions409Handl!C5</f>
        <v>0</v>
      </c>
      <c r="E64" s="152">
        <f>RAG028_ReorderQuestions409Handl!F5</f>
        <v>0</v>
      </c>
      <c r="F64" s="152">
        <f>RAG028_ReorderQuestions409Handl!L5</f>
        <v>1</v>
      </c>
      <c r="G64" s="152">
        <f>RAG028_ReorderQuestions409Handl!M5</f>
        <v>0</v>
      </c>
      <c r="H64" s="152">
        <f>RAG028_ReorderQuestions409Handl!N5</f>
        <v>1</v>
      </c>
      <c r="I64" s="152">
        <f>RAG028_ReorderQuestions409Handl!O5</f>
        <v>2</v>
      </c>
      <c r="J64" s="152"/>
      <c r="K64" s="152"/>
      <c r="L64" s="152"/>
      <c r="M64" s="152"/>
      <c r="N64" s="152"/>
      <c r="O64" s="152"/>
      <c r="P64" s="152"/>
      <c r="Q64" s="152"/>
      <c r="R64" s="152"/>
      <c r="S64" s="152"/>
      <c r="T64" s="152"/>
      <c r="U64" s="152"/>
      <c r="V64" s="152"/>
      <c r="W64" s="152"/>
      <c r="X64" s="152"/>
      <c r="Y64" s="152"/>
      <c r="Z64" s="152"/>
    </row>
    <row r="65" ht="12.8" customHeight="1" spans="1:26">
      <c r="A65" s="152">
        <v>54</v>
      </c>
      <c r="B65" s="152" t="s">
        <v>349</v>
      </c>
      <c r="C65" s="152">
        <f>RAG029_PublishedSetEditRestrict!A5</f>
        <v>2</v>
      </c>
      <c r="D65" s="152">
        <f>RAG029_PublishedSetEditRestrict!C5</f>
        <v>0</v>
      </c>
      <c r="E65" s="152">
        <f>RAG029_PublishedSetEditRestrict!F5</f>
        <v>0</v>
      </c>
      <c r="F65" s="152">
        <f>RAG029_PublishedSetEditRestrict!L5</f>
        <v>1</v>
      </c>
      <c r="G65" s="152">
        <f>RAG029_PublishedSetEditRestrict!M5</f>
        <v>1</v>
      </c>
      <c r="H65" s="152">
        <f>RAG029_PublishedSetEditRestrict!N5</f>
        <v>0</v>
      </c>
      <c r="I65" s="152">
        <f>RAG029_PublishedSetEditRestrict!O5</f>
        <v>2</v>
      </c>
      <c r="J65" s="152"/>
      <c r="K65" s="152"/>
      <c r="L65" s="152"/>
      <c r="M65" s="152"/>
      <c r="N65" s="152"/>
      <c r="O65" s="152"/>
      <c r="P65" s="152"/>
      <c r="Q65" s="152"/>
      <c r="R65" s="152"/>
      <c r="S65" s="152"/>
      <c r="T65" s="152"/>
      <c r="U65" s="152"/>
      <c r="V65" s="152"/>
      <c r="W65" s="152"/>
      <c r="X65" s="152"/>
      <c r="Y65" s="152"/>
      <c r="Z65" s="152"/>
    </row>
    <row r="66" ht="12.8" customHeight="1" spans="1:26">
      <c r="A66" s="152">
        <v>55</v>
      </c>
      <c r="B66" s="152" t="s">
        <v>354</v>
      </c>
      <c r="C66" s="152">
        <f>RAG030_ApplyPlanSettingsTimeout!A5</f>
        <v>2</v>
      </c>
      <c r="D66" s="152">
        <f>RAG030_ApplyPlanSettingsTimeout!C5</f>
        <v>0</v>
      </c>
      <c r="E66" s="152">
        <f>RAG030_ApplyPlanSettingsTimeout!F5</f>
        <v>0</v>
      </c>
      <c r="F66" s="152">
        <f>RAG030_ApplyPlanSettingsTimeout!L5</f>
        <v>1</v>
      </c>
      <c r="G66" s="152">
        <f>RAG030_ApplyPlanSettingsTimeout!M5</f>
        <v>0</v>
      </c>
      <c r="H66" s="152">
        <f>RAG030_ApplyPlanSettingsTimeout!N5</f>
        <v>1</v>
      </c>
      <c r="I66" s="152">
        <f>RAG030_ApplyPlanSettingsTimeout!O5</f>
        <v>2</v>
      </c>
      <c r="J66" s="152"/>
      <c r="K66" s="152"/>
      <c r="L66" s="152"/>
      <c r="M66" s="152"/>
      <c r="N66" s="152"/>
      <c r="O66" s="152"/>
      <c r="P66" s="152"/>
      <c r="Q66" s="152"/>
      <c r="R66" s="152"/>
      <c r="S66" s="152"/>
      <c r="T66" s="152"/>
      <c r="U66" s="152"/>
      <c r="V66" s="152"/>
      <c r="W66" s="152"/>
      <c r="X66" s="152"/>
      <c r="Y66" s="152"/>
      <c r="Z66" s="152"/>
    </row>
    <row r="67" ht="12.8" customHeight="1" spans="1:26">
      <c r="A67" s="152">
        <v>56</v>
      </c>
      <c r="B67" s="152" t="s">
        <v>359</v>
      </c>
      <c r="C67" s="152">
        <f>RAG031_RefinePlanChatFlow!A5</f>
        <v>2</v>
      </c>
      <c r="D67" s="152">
        <f>RAG031_RefinePlanChatFlow!C5</f>
        <v>0</v>
      </c>
      <c r="E67" s="152">
        <f>RAG031_RefinePlanChatFlow!F5</f>
        <v>0</v>
      </c>
      <c r="F67" s="152">
        <f>RAG031_RefinePlanChatFlow!L5</f>
        <v>1</v>
      </c>
      <c r="G67" s="152">
        <f>RAG031_RefinePlanChatFlow!M5</f>
        <v>0</v>
      </c>
      <c r="H67" s="152">
        <f>RAG031_RefinePlanChatFlow!N5</f>
        <v>1</v>
      </c>
      <c r="I67" s="152">
        <f>RAG031_RefinePlanChatFlow!O5</f>
        <v>2</v>
      </c>
      <c r="J67" s="152"/>
      <c r="K67" s="152"/>
      <c r="L67" s="152"/>
      <c r="M67" s="152"/>
      <c r="N67" s="152"/>
      <c r="O67" s="152"/>
      <c r="P67" s="152"/>
      <c r="Q67" s="152"/>
      <c r="R67" s="152"/>
      <c r="S67" s="152"/>
      <c r="T67" s="152"/>
      <c r="U67" s="152"/>
      <c r="V67" s="152"/>
      <c r="W67" s="152"/>
      <c r="X67" s="152"/>
      <c r="Y67" s="152"/>
      <c r="Z67" s="152"/>
    </row>
    <row r="68" ht="12.8" customHeight="1" spans="1:26">
      <c r="A68" s="152">
        <v>57</v>
      </c>
      <c r="B68" s="152" t="s">
        <v>364</v>
      </c>
      <c r="C68" s="152">
        <f>RAG032_StudioGenerationSettings!A5</f>
        <v>4</v>
      </c>
      <c r="D68" s="152">
        <f>RAG032_StudioGenerationSettings!C5</f>
        <v>0</v>
      </c>
      <c r="E68" s="152">
        <f>RAG032_StudioGenerationSettings!F5</f>
        <v>0</v>
      </c>
      <c r="F68" s="152">
        <f>RAG032_StudioGenerationSettings!L5</f>
        <v>4</v>
      </c>
      <c r="G68" s="152">
        <f>RAG032_StudioGenerationSettings!M5</f>
        <v>0</v>
      </c>
      <c r="H68" s="152">
        <f>RAG032_StudioGenerationSettings!N5</f>
        <v>0</v>
      </c>
      <c r="I68" s="152">
        <f>RAG032_StudioGenerationSettings!O5</f>
        <v>4</v>
      </c>
      <c r="J68" s="152"/>
      <c r="K68" s="152"/>
      <c r="L68" s="152"/>
      <c r="M68" s="152"/>
      <c r="N68" s="152"/>
      <c r="O68" s="152"/>
      <c r="P68" s="152"/>
      <c r="Q68" s="152"/>
      <c r="R68" s="152"/>
      <c r="S68" s="152"/>
      <c r="T68" s="152"/>
      <c r="U68" s="152"/>
      <c r="V68" s="152"/>
      <c r="W68" s="152"/>
      <c r="X68" s="152"/>
      <c r="Y68" s="152"/>
      <c r="Z68" s="152"/>
    </row>
    <row r="69" ht="12.8" customHeight="1" spans="1:26">
      <c r="A69" s="152">
        <v>58</v>
      </c>
      <c r="B69" s="152" t="s">
        <v>369</v>
      </c>
      <c r="C69" s="152">
        <f>RAG033_NewSetResetsLockedPanels!A5</f>
        <v>2</v>
      </c>
      <c r="D69" s="152">
        <f>RAG033_NewSetResetsLockedPanels!C5</f>
        <v>0</v>
      </c>
      <c r="E69" s="152">
        <f>RAG033_NewSetResetsLockedPanels!F5</f>
        <v>0</v>
      </c>
      <c r="F69" s="152">
        <f>RAG033_NewSetResetsLockedPanels!L5</f>
        <v>1</v>
      </c>
      <c r="G69" s="152">
        <f>RAG033_NewSetResetsLockedPanels!M5</f>
        <v>1</v>
      </c>
      <c r="H69" s="152">
        <f>RAG033_NewSetResetsLockedPanels!N5</f>
        <v>0</v>
      </c>
      <c r="I69" s="152">
        <f>RAG033_NewSetResetsLockedPanels!O5</f>
        <v>2</v>
      </c>
      <c r="J69" s="152"/>
      <c r="K69" s="152"/>
      <c r="L69" s="152"/>
      <c r="M69" s="152"/>
      <c r="N69" s="152"/>
      <c r="O69" s="152"/>
      <c r="P69" s="152"/>
      <c r="Q69" s="152"/>
      <c r="R69" s="152"/>
      <c r="S69" s="152"/>
      <c r="T69" s="152"/>
      <c r="U69" s="152"/>
      <c r="V69" s="152"/>
      <c r="W69" s="152"/>
      <c r="X69" s="152"/>
      <c r="Y69" s="152"/>
      <c r="Z69" s="152"/>
    </row>
    <row r="70" ht="12.8" customHeight="1" spans="1:26">
      <c r="A70" s="152">
        <v>59</v>
      </c>
      <c r="B70" s="152" t="s">
        <v>374</v>
      </c>
      <c r="C70" s="152">
        <f>RAG034_KnowledgeDocLibraryAttac!A5</f>
        <v>2</v>
      </c>
      <c r="D70" s="152">
        <f>RAG034_KnowledgeDocLibraryAttac!C5</f>
        <v>0</v>
      </c>
      <c r="E70" s="152">
        <f>RAG034_KnowledgeDocLibraryAttac!F5</f>
        <v>0</v>
      </c>
      <c r="F70" s="152">
        <f>RAG034_KnowledgeDocLibraryAttac!L5</f>
        <v>2</v>
      </c>
      <c r="G70" s="152">
        <f>RAG034_KnowledgeDocLibraryAttac!M5</f>
        <v>0</v>
      </c>
      <c r="H70" s="152">
        <f>RAG034_KnowledgeDocLibraryAttac!N5</f>
        <v>0</v>
      </c>
      <c r="I70" s="152">
        <f>RAG034_KnowledgeDocLibraryAttac!O5</f>
        <v>2</v>
      </c>
      <c r="J70" s="152"/>
      <c r="K70" s="152"/>
      <c r="L70" s="152"/>
      <c r="M70" s="152"/>
      <c r="N70" s="152"/>
      <c r="O70" s="152"/>
      <c r="P70" s="152"/>
      <c r="Q70" s="152"/>
      <c r="R70" s="152"/>
      <c r="S70" s="152"/>
      <c r="T70" s="152"/>
      <c r="U70" s="152"/>
      <c r="V70" s="152"/>
      <c r="W70" s="152"/>
      <c r="X70" s="152"/>
      <c r="Y70" s="152"/>
      <c r="Z70" s="152"/>
    </row>
    <row r="71" ht="12.8" customHeight="1" spans="1:26">
      <c r="A71" s="152">
        <v>60</v>
      </c>
      <c r="B71" s="152" t="s">
        <v>379</v>
      </c>
      <c r="C71" s="152">
        <f>RAG035_StudioChatRefineMultiTur!A5</f>
        <v>3</v>
      </c>
      <c r="D71" s="152">
        <f>RAG035_StudioChatRefineMultiTur!C5</f>
        <v>0</v>
      </c>
      <c r="E71" s="152">
        <f>RAG035_StudioChatRefineMultiTur!F5</f>
        <v>0</v>
      </c>
      <c r="F71" s="152">
        <f>RAG035_StudioChatRefineMultiTur!L5</f>
        <v>3</v>
      </c>
      <c r="G71" s="152">
        <f>RAG035_StudioChatRefineMultiTur!M5</f>
        <v>0</v>
      </c>
      <c r="H71" s="152">
        <f>RAG035_StudioChatRefineMultiTur!N5</f>
        <v>0</v>
      </c>
      <c r="I71" s="152">
        <f>RAG035_StudioChatRefineMultiTur!O5</f>
        <v>3</v>
      </c>
      <c r="J71" s="152"/>
      <c r="K71" s="152"/>
      <c r="L71" s="152"/>
      <c r="M71" s="152"/>
      <c r="N71" s="152"/>
      <c r="O71" s="152"/>
      <c r="P71" s="152"/>
      <c r="Q71" s="152"/>
      <c r="R71" s="152"/>
      <c r="S71" s="152"/>
      <c r="T71" s="152"/>
      <c r="U71" s="152"/>
      <c r="V71" s="152"/>
      <c r="W71" s="152"/>
      <c r="X71" s="152"/>
      <c r="Y71" s="152"/>
      <c r="Z71" s="152"/>
    </row>
    <row r="72" ht="12.8" customHeight="1" spans="1:26">
      <c r="A72" s="152">
        <v>61</v>
      </c>
      <c r="B72" s="152" t="s">
        <v>384</v>
      </c>
      <c r="C72" s="152">
        <f>RAG036_GenerateFormNumberOfQues!A5</f>
        <v>2</v>
      </c>
      <c r="D72" s="152">
        <f>RAG036_GenerateFormNumberOfQues!C5</f>
        <v>0</v>
      </c>
      <c r="E72" s="152">
        <f>RAG036_GenerateFormNumberOfQues!F5</f>
        <v>0</v>
      </c>
      <c r="F72" s="152">
        <f>RAG036_GenerateFormNumberOfQues!L5</f>
        <v>2</v>
      </c>
      <c r="G72" s="152">
        <f>RAG036_GenerateFormNumberOfQues!M5</f>
        <v>0</v>
      </c>
      <c r="H72" s="152">
        <f>RAG036_GenerateFormNumberOfQues!N5</f>
        <v>0</v>
      </c>
      <c r="I72" s="152">
        <f>RAG036_GenerateFormNumberOfQues!O5</f>
        <v>2</v>
      </c>
      <c r="J72" s="152"/>
      <c r="K72" s="152"/>
      <c r="L72" s="152"/>
      <c r="M72" s="152"/>
      <c r="N72" s="152"/>
      <c r="O72" s="152"/>
      <c r="P72" s="152"/>
      <c r="Q72" s="152"/>
      <c r="R72" s="152"/>
      <c r="S72" s="152"/>
      <c r="T72" s="152"/>
      <c r="U72" s="152"/>
      <c r="V72" s="152"/>
      <c r="W72" s="152"/>
      <c r="X72" s="152"/>
      <c r="Y72" s="152"/>
      <c r="Z72" s="152"/>
    </row>
    <row r="73" ht="12.8" customHeight="1" spans="1:26">
      <c r="A73" s="152">
        <v>62</v>
      </c>
      <c r="B73" s="152" t="s">
        <v>389</v>
      </c>
      <c r="C73" s="152">
        <f>RAG037_StudioApprovePlanButtonS!A5</f>
        <v>3</v>
      </c>
      <c r="D73" s="152">
        <f>RAG037_StudioApprovePlanButtonS!C5</f>
        <v>0</v>
      </c>
      <c r="E73" s="152">
        <f>RAG037_StudioApprovePlanButtonS!F5</f>
        <v>0</v>
      </c>
      <c r="F73" s="152">
        <f>RAG037_StudioApprovePlanButtonS!L5</f>
        <v>2</v>
      </c>
      <c r="G73" s="152">
        <f>RAG037_StudioApprovePlanButtonS!M5</f>
        <v>1</v>
      </c>
      <c r="H73" s="152">
        <f>RAG037_StudioApprovePlanButtonS!N5</f>
        <v>0</v>
      </c>
      <c r="I73" s="152">
        <f>RAG037_StudioApprovePlanButtonS!O5</f>
        <v>3</v>
      </c>
      <c r="J73" s="152"/>
      <c r="K73" s="152"/>
      <c r="L73" s="152"/>
      <c r="M73" s="152"/>
      <c r="N73" s="152"/>
      <c r="O73" s="152"/>
      <c r="P73" s="152"/>
      <c r="Q73" s="152"/>
      <c r="R73" s="152"/>
      <c r="S73" s="152"/>
      <c r="T73" s="152"/>
      <c r="U73" s="152"/>
      <c r="V73" s="152"/>
      <c r="W73" s="152"/>
      <c r="X73" s="152"/>
      <c r="Y73" s="152"/>
      <c r="Z73" s="152"/>
    </row>
    <row r="74" ht="12.8" customHeight="1" spans="1:26">
      <c r="A74" s="152">
        <v>63</v>
      </c>
      <c r="B74" s="152" t="s">
        <v>394</v>
      </c>
      <c r="C74" s="152">
        <f>RAG038_GenerateFormKbDocPickerR!A5</f>
        <v>2</v>
      </c>
      <c r="D74" s="152">
        <f>RAG038_GenerateFormKbDocPickerR!C5</f>
        <v>0</v>
      </c>
      <c r="E74" s="152">
        <f>RAG038_GenerateFormKbDocPickerR!F5</f>
        <v>0</v>
      </c>
      <c r="F74" s="152">
        <f>RAG038_GenerateFormKbDocPickerR!L5</f>
        <v>2</v>
      </c>
      <c r="G74" s="152">
        <f>RAG038_GenerateFormKbDocPickerR!M5</f>
        <v>0</v>
      </c>
      <c r="H74" s="152">
        <f>RAG038_GenerateFormKbDocPickerR!N5</f>
        <v>0</v>
      </c>
      <c r="I74" s="152">
        <f>RAG038_GenerateFormKbDocPickerR!O5</f>
        <v>2</v>
      </c>
      <c r="J74" s="152"/>
      <c r="K74" s="152"/>
      <c r="L74" s="152"/>
      <c r="M74" s="152"/>
      <c r="N74" s="152"/>
      <c r="O74" s="152"/>
      <c r="P74" s="152"/>
      <c r="Q74" s="152"/>
      <c r="R74" s="152"/>
      <c r="S74" s="152"/>
      <c r="T74" s="152"/>
      <c r="U74" s="152"/>
      <c r="V74" s="152"/>
      <c r="W74" s="152"/>
      <c r="X74" s="152"/>
      <c r="Y74" s="152"/>
      <c r="Z74" s="152"/>
    </row>
    <row r="75" ht="12.8" customHeight="1" spans="1:26">
      <c r="A75" s="152">
        <v>64</v>
      </c>
      <c r="B75" s="152" t="s">
        <v>399</v>
      </c>
      <c r="C75" s="152">
        <f>RAG039_StudioQuestionListEmptyS!A5</f>
        <v>3</v>
      </c>
      <c r="D75" s="152">
        <f>RAG039_StudioQuestionListEmptyS!C5</f>
        <v>0</v>
      </c>
      <c r="E75" s="152">
        <f>RAG039_StudioQuestionListEmptyS!F5</f>
        <v>0</v>
      </c>
      <c r="F75" s="152">
        <f>RAG039_StudioQuestionListEmptyS!L5</f>
        <v>2</v>
      </c>
      <c r="G75" s="152">
        <f>RAG039_StudioQuestionListEmptyS!M5</f>
        <v>1</v>
      </c>
      <c r="H75" s="152">
        <f>RAG039_StudioQuestionListEmptyS!N5</f>
        <v>0</v>
      </c>
      <c r="I75" s="152">
        <f>RAG039_StudioQuestionListEmptyS!O5</f>
        <v>3</v>
      </c>
      <c r="J75" s="152"/>
      <c r="K75" s="152"/>
      <c r="L75" s="152"/>
      <c r="M75" s="152"/>
      <c r="N75" s="152"/>
      <c r="O75" s="152"/>
      <c r="P75" s="152"/>
      <c r="Q75" s="152"/>
      <c r="R75" s="152"/>
      <c r="S75" s="152"/>
      <c r="T75" s="152"/>
      <c r="U75" s="152"/>
      <c r="V75" s="152"/>
      <c r="W75" s="152"/>
      <c r="X75" s="152"/>
      <c r="Y75" s="152"/>
      <c r="Z75" s="152"/>
    </row>
    <row r="76" ht="12.8" customHeight="1" spans="1:26">
      <c r="A76" s="152">
        <v>65</v>
      </c>
      <c r="B76" s="152" t="s">
        <v>404</v>
      </c>
      <c r="C76" s="152">
        <f>RGA015_LoginSpecificAuthErrors!A5</f>
        <v>2</v>
      </c>
      <c r="D76" s="152">
        <f>RGA015_LoginSpecificAuthErrors!C5</f>
        <v>0</v>
      </c>
      <c r="E76" s="152">
        <f>RGA015_LoginSpecificAuthErrors!F5</f>
        <v>0</v>
      </c>
      <c r="F76" s="152">
        <f>RGA015_LoginSpecificAuthErrors!L5</f>
        <v>2</v>
      </c>
      <c r="G76" s="152">
        <f>RGA015_LoginSpecificAuthErrors!M5</f>
        <v>0</v>
      </c>
      <c r="H76" s="152">
        <f>RGA015_LoginSpecificAuthErrors!N5</f>
        <v>0</v>
      </c>
      <c r="I76" s="152">
        <f>RGA015_LoginSpecificAuthErrors!O5</f>
        <v>2</v>
      </c>
      <c r="J76" s="152"/>
      <c r="K76" s="152"/>
      <c r="L76" s="152"/>
      <c r="M76" s="152"/>
      <c r="N76" s="152"/>
      <c r="O76" s="152"/>
      <c r="P76" s="152"/>
      <c r="Q76" s="152"/>
      <c r="R76" s="152"/>
      <c r="S76" s="152"/>
      <c r="T76" s="152"/>
      <c r="U76" s="152"/>
      <c r="V76" s="152"/>
      <c r="W76" s="152"/>
      <c r="X76" s="152"/>
      <c r="Y76" s="152"/>
      <c r="Z76" s="152"/>
    </row>
    <row r="77" ht="12.8" customHeight="1" spans="1:26">
      <c r="A77" s="152">
        <v>66</v>
      </c>
      <c r="B77" s="152" t="s">
        <v>409</v>
      </c>
      <c r="C77" s="152">
        <f>RGA016_CandidateForbiddenErrorM!A5</f>
        <v>2</v>
      </c>
      <c r="D77" s="152">
        <f>RGA016_CandidateForbiddenErrorM!C5</f>
        <v>0</v>
      </c>
      <c r="E77" s="152">
        <f>RGA016_CandidateForbiddenErrorM!F5</f>
        <v>0</v>
      </c>
      <c r="F77" s="152">
        <f>RGA016_CandidateForbiddenErrorM!L5</f>
        <v>2</v>
      </c>
      <c r="G77" s="152">
        <f>RGA016_CandidateForbiddenErrorM!M5</f>
        <v>0</v>
      </c>
      <c r="H77" s="152">
        <f>RGA016_CandidateForbiddenErrorM!N5</f>
        <v>0</v>
      </c>
      <c r="I77" s="152">
        <f>RGA016_CandidateForbiddenErrorM!O5</f>
        <v>2</v>
      </c>
      <c r="J77" s="152"/>
      <c r="K77" s="152"/>
      <c r="L77" s="152"/>
      <c r="M77" s="152"/>
      <c r="N77" s="152"/>
      <c r="O77" s="152"/>
      <c r="P77" s="152"/>
      <c r="Q77" s="152"/>
      <c r="R77" s="152"/>
      <c r="S77" s="152"/>
      <c r="T77" s="152"/>
      <c r="U77" s="152"/>
      <c r="V77" s="152"/>
      <c r="W77" s="152"/>
      <c r="X77" s="152"/>
      <c r="Y77" s="152"/>
      <c r="Z77" s="152"/>
    </row>
    <row r="78" ht="12.8" customHeight="1" spans="1:26">
      <c r="A78" s="152">
        <v>67</v>
      </c>
      <c r="B78" s="152" t="s">
        <v>414</v>
      </c>
      <c r="C78" s="152">
        <f>RGA017_TokenStorageLocalStorage!A5</f>
        <v>2</v>
      </c>
      <c r="D78" s="152">
        <f>RGA017_TokenStorageLocalStorage!C5</f>
        <v>0</v>
      </c>
      <c r="E78" s="152">
        <f>RGA017_TokenStorageLocalStorage!F5</f>
        <v>0</v>
      </c>
      <c r="F78" s="152">
        <f>RGA017_TokenStorageLocalStorage!L5</f>
        <v>0</v>
      </c>
      <c r="G78" s="152">
        <f>RGA017_TokenStorageLocalStorage!M5</f>
        <v>0</v>
      </c>
      <c r="H78" s="152">
        <f>RGA017_TokenStorageLocalStorage!N5</f>
        <v>2</v>
      </c>
      <c r="I78" s="152">
        <f>RGA017_TokenStorageLocalStorage!O5</f>
        <v>2</v>
      </c>
      <c r="J78" s="152"/>
      <c r="K78" s="152"/>
      <c r="L78" s="152"/>
      <c r="M78" s="152"/>
      <c r="N78" s="152"/>
      <c r="O78" s="152"/>
      <c r="P78" s="152"/>
      <c r="Q78" s="152"/>
      <c r="R78" s="152"/>
      <c r="S78" s="152"/>
      <c r="T78" s="152"/>
      <c r="U78" s="152"/>
      <c r="V78" s="152"/>
      <c r="W78" s="152"/>
      <c r="X78" s="152"/>
      <c r="Y78" s="152"/>
      <c r="Z78" s="152"/>
    </row>
    <row r="79" ht="12.8" customHeight="1" spans="1:26">
      <c r="A79" s="152">
        <v>68</v>
      </c>
      <c r="B79" s="152" t="s">
        <v>419</v>
      </c>
      <c r="C79" s="152">
        <f>RGA018_SsrNoTokenAttachNoOp!A5</f>
        <v>2</v>
      </c>
      <c r="D79" s="152">
        <f>RGA018_SsrNoTokenAttachNoOp!C5</f>
        <v>0</v>
      </c>
      <c r="E79" s="152">
        <f>RGA018_SsrNoTokenAttachNoOp!F5</f>
        <v>0</v>
      </c>
      <c r="F79" s="152">
        <f>RGA018_SsrNoTokenAttachNoOp!L5</f>
        <v>2</v>
      </c>
      <c r="G79" s="152">
        <f>RGA018_SsrNoTokenAttachNoOp!M5</f>
        <v>0</v>
      </c>
      <c r="H79" s="152">
        <f>RGA018_SsrNoTokenAttachNoOp!N5</f>
        <v>0</v>
      </c>
      <c r="I79" s="152">
        <f>RGA018_SsrNoTokenAttachNoOp!O5</f>
        <v>2</v>
      </c>
      <c r="J79" s="152"/>
      <c r="K79" s="152"/>
      <c r="L79" s="152"/>
      <c r="M79" s="152"/>
      <c r="N79" s="152"/>
      <c r="O79" s="152"/>
      <c r="P79" s="152"/>
      <c r="Q79" s="152"/>
      <c r="R79" s="152"/>
      <c r="S79" s="152"/>
      <c r="T79" s="152"/>
      <c r="U79" s="152"/>
      <c r="V79" s="152"/>
      <c r="W79" s="152"/>
      <c r="X79" s="152"/>
      <c r="Y79" s="152"/>
      <c r="Z79" s="152"/>
    </row>
    <row r="80" ht="12.8" customHeight="1" spans="1:26">
      <c r="A80" s="152">
        <v>69</v>
      </c>
      <c r="B80" s="152" t="s">
        <v>424</v>
      </c>
      <c r="C80" s="152">
        <f>RGA019_ClearAuthClearsCachedUse!A5</f>
        <v>2</v>
      </c>
      <c r="D80" s="152">
        <f>RGA019_ClearAuthClearsCachedUse!C5</f>
        <v>0</v>
      </c>
      <c r="E80" s="152">
        <f>RGA019_ClearAuthClearsCachedUse!F5</f>
        <v>0</v>
      </c>
      <c r="F80" s="152">
        <f>RGA019_ClearAuthClearsCachedUse!L5</f>
        <v>2</v>
      </c>
      <c r="G80" s="152">
        <f>RGA019_ClearAuthClearsCachedUse!M5</f>
        <v>0</v>
      </c>
      <c r="H80" s="152">
        <f>RGA019_ClearAuthClearsCachedUse!N5</f>
        <v>0</v>
      </c>
      <c r="I80" s="152">
        <f>RGA019_ClearAuthClearsCachedUse!O5</f>
        <v>2</v>
      </c>
      <c r="J80" s="152"/>
      <c r="K80" s="152"/>
      <c r="L80" s="152"/>
      <c r="M80" s="152"/>
      <c r="N80" s="152"/>
      <c r="O80" s="152"/>
      <c r="P80" s="152"/>
      <c r="Q80" s="152"/>
      <c r="R80" s="152"/>
      <c r="S80" s="152"/>
      <c r="T80" s="152"/>
      <c r="U80" s="152"/>
      <c r="V80" s="152"/>
      <c r="W80" s="152"/>
      <c r="X80" s="152"/>
      <c r="Y80" s="152"/>
      <c r="Z80" s="152"/>
    </row>
    <row r="81" ht="12.8" customHeight="1" spans="1:26">
      <c r="A81" s="152">
        <v>70</v>
      </c>
      <c r="B81" s="152" t="s">
        <v>429</v>
      </c>
      <c r="C81" s="152">
        <f>RGA020_RefreshTokenRotationOnSu!A5</f>
        <v>2</v>
      </c>
      <c r="D81" s="152">
        <f>RGA020_RefreshTokenRotationOnSu!C5</f>
        <v>0</v>
      </c>
      <c r="E81" s="152">
        <f>RGA020_RefreshTokenRotationOnSu!F5</f>
        <v>0</v>
      </c>
      <c r="F81" s="152">
        <f>RGA020_RefreshTokenRotationOnSu!L5</f>
        <v>2</v>
      </c>
      <c r="G81" s="152">
        <f>RGA020_RefreshTokenRotationOnSu!M5</f>
        <v>0</v>
      </c>
      <c r="H81" s="152">
        <f>RGA020_RefreshTokenRotationOnSu!N5</f>
        <v>0</v>
      </c>
      <c r="I81" s="152">
        <f>RGA020_RefreshTokenRotationOnSu!O5</f>
        <v>2</v>
      </c>
      <c r="J81" s="152"/>
      <c r="K81" s="152"/>
      <c r="L81" s="152"/>
      <c r="M81" s="152"/>
      <c r="N81" s="152"/>
      <c r="O81" s="152"/>
      <c r="P81" s="152"/>
      <c r="Q81" s="152"/>
      <c r="R81" s="152"/>
      <c r="S81" s="152"/>
      <c r="T81" s="152"/>
      <c r="U81" s="152"/>
      <c r="V81" s="152"/>
      <c r="W81" s="152"/>
      <c r="X81" s="152"/>
      <c r="Y81" s="152"/>
      <c r="Z81" s="152"/>
    </row>
    <row r="82" ht="12.8" customHeight="1" spans="1:26">
      <c r="A82" s="152">
        <v>71</v>
      </c>
      <c r="B82" s="152" t="s">
        <v>436</v>
      </c>
      <c r="C82" s="152">
        <f>UI001_ManualQuestionPageRespons!A5</f>
        <v>4</v>
      </c>
      <c r="D82" s="152">
        <f>UI001_ManualQuestionPageRespons!C5</f>
        <v>0</v>
      </c>
      <c r="E82" s="152">
        <f>UI001_ManualQuestionPageRespons!F5</f>
        <v>0</v>
      </c>
      <c r="F82" s="152">
        <f>UI001_ManualQuestionPageRespons!L5</f>
        <v>4</v>
      </c>
      <c r="G82" s="152">
        <f>UI001_ManualQuestionPageRespons!M5</f>
        <v>0</v>
      </c>
      <c r="H82" s="152">
        <f>UI001_ManualQuestionPageRespons!N5</f>
        <v>0</v>
      </c>
      <c r="I82" s="152">
        <f>UI001_ManualQuestionPageRespons!O5</f>
        <v>4</v>
      </c>
      <c r="J82" s="152"/>
      <c r="K82" s="152"/>
      <c r="L82" s="152"/>
      <c r="M82" s="152"/>
      <c r="N82" s="152"/>
      <c r="O82" s="152"/>
      <c r="P82" s="152"/>
      <c r="Q82" s="152"/>
      <c r="R82" s="152"/>
      <c r="S82" s="152"/>
      <c r="T82" s="152"/>
      <c r="U82" s="152"/>
      <c r="V82" s="152"/>
      <c r="W82" s="152"/>
      <c r="X82" s="152"/>
      <c r="Y82" s="152"/>
      <c r="Z82" s="152"/>
    </row>
    <row r="83" ht="12.8" customHeight="1" spans="1:26">
      <c r="A83" s="152">
        <v>72</v>
      </c>
      <c r="B83" s="152" t="s">
        <v>441</v>
      </c>
      <c r="C83" s="152">
        <f>UI002_ManualQuestionPageDarkLig!A5</f>
        <v>2</v>
      </c>
      <c r="D83" s="152">
        <f>UI002_ManualQuestionPageDarkLig!C5</f>
        <v>0</v>
      </c>
      <c r="E83" s="152">
        <f>UI002_ManualQuestionPageDarkLig!F5</f>
        <v>0</v>
      </c>
      <c r="F83" s="152">
        <f>UI002_ManualQuestionPageDarkLig!L5</f>
        <v>2</v>
      </c>
      <c r="G83" s="152">
        <f>UI002_ManualQuestionPageDarkLig!M5</f>
        <v>0</v>
      </c>
      <c r="H83" s="152">
        <f>UI002_ManualQuestionPageDarkLig!N5</f>
        <v>0</v>
      </c>
      <c r="I83" s="152">
        <f>UI002_ManualQuestionPageDarkLig!O5</f>
        <v>2</v>
      </c>
      <c r="J83" s="152"/>
      <c r="K83" s="152"/>
      <c r="L83" s="152"/>
      <c r="M83" s="152"/>
      <c r="N83" s="152"/>
      <c r="O83" s="152"/>
      <c r="P83" s="152"/>
      <c r="Q83" s="152"/>
      <c r="R83" s="152"/>
      <c r="S83" s="152"/>
      <c r="T83" s="152"/>
      <c r="U83" s="152"/>
      <c r="V83" s="152"/>
      <c r="W83" s="152"/>
      <c r="X83" s="152"/>
      <c r="Y83" s="152"/>
      <c r="Z83" s="152"/>
    </row>
    <row r="84" ht="12.8" customHeight="1" spans="1:26">
      <c r="A84" s="152">
        <v>73</v>
      </c>
      <c r="B84" s="152" t="s">
        <v>446</v>
      </c>
      <c r="C84" s="152">
        <f>UI003_StudioPageResponsiveLayou!A5</f>
        <v>4</v>
      </c>
      <c r="D84" s="152">
        <f>UI003_StudioPageResponsiveLayou!C5</f>
        <v>0</v>
      </c>
      <c r="E84" s="152">
        <f>UI003_StudioPageResponsiveLayou!F5</f>
        <v>0</v>
      </c>
      <c r="F84" s="152">
        <f>UI003_StudioPageResponsiveLayou!L5</f>
        <v>3</v>
      </c>
      <c r="G84" s="152">
        <f>UI003_StudioPageResponsiveLayou!M5</f>
        <v>0</v>
      </c>
      <c r="H84" s="152">
        <f>UI003_StudioPageResponsiveLayou!N5</f>
        <v>1</v>
      </c>
      <c r="I84" s="152">
        <f>UI003_StudioPageResponsiveLayou!O5</f>
        <v>4</v>
      </c>
      <c r="J84" s="152"/>
      <c r="K84" s="152"/>
      <c r="L84" s="152"/>
      <c r="M84" s="152"/>
      <c r="N84" s="152"/>
      <c r="O84" s="152"/>
      <c r="P84" s="152"/>
      <c r="Q84" s="152"/>
      <c r="R84" s="152"/>
      <c r="S84" s="152"/>
      <c r="T84" s="152"/>
      <c r="U84" s="152"/>
      <c r="V84" s="152"/>
      <c r="W84" s="152"/>
      <c r="X84" s="152"/>
      <c r="Y84" s="152"/>
      <c r="Z84" s="152"/>
    </row>
    <row r="85" ht="12.8" customHeight="1" spans="1:26">
      <c r="A85" s="152">
        <v>74</v>
      </c>
      <c r="B85" s="152" t="s">
        <v>451</v>
      </c>
      <c r="C85" s="152">
        <f>UI004_StudioPageDarkLightTheme!A5</f>
        <v>2</v>
      </c>
      <c r="D85" s="152">
        <f>UI004_StudioPageDarkLightTheme!C5</f>
        <v>0</v>
      </c>
      <c r="E85" s="152">
        <f>UI004_StudioPageDarkLightTheme!F5</f>
        <v>0</v>
      </c>
      <c r="F85" s="152">
        <f>UI004_StudioPageDarkLightTheme!L5</f>
        <v>2</v>
      </c>
      <c r="G85" s="152">
        <f>UI004_StudioPageDarkLightTheme!M5</f>
        <v>0</v>
      </c>
      <c r="H85" s="152">
        <f>UI004_StudioPageDarkLightTheme!N5</f>
        <v>0</v>
      </c>
      <c r="I85" s="152">
        <f>UI004_StudioPageDarkLightTheme!O5</f>
        <v>2</v>
      </c>
      <c r="J85" s="152"/>
      <c r="K85" s="152"/>
      <c r="L85" s="152"/>
      <c r="M85" s="152"/>
      <c r="N85" s="152"/>
      <c r="O85" s="152"/>
      <c r="P85" s="152"/>
      <c r="Q85" s="152"/>
      <c r="R85" s="152"/>
      <c r="S85" s="152"/>
      <c r="T85" s="152"/>
      <c r="U85" s="152"/>
      <c r="V85" s="152"/>
      <c r="W85" s="152"/>
      <c r="X85" s="152"/>
      <c r="Y85" s="152"/>
      <c r="Z85" s="152"/>
    </row>
    <row r="86" ht="12.8" customHeight="1" spans="1:26">
      <c r="A86" s="152">
        <v>75</v>
      </c>
      <c r="B86" s="152" t="s">
        <v>455</v>
      </c>
      <c r="C86" s="152">
        <f>UI005_GenerateFormResponsiveLay!A5</f>
        <v>3</v>
      </c>
      <c r="D86" s="152">
        <f>UI005_GenerateFormResponsiveLay!C5</f>
        <v>0</v>
      </c>
      <c r="E86" s="152">
        <f>UI005_GenerateFormResponsiveLay!F5</f>
        <v>0</v>
      </c>
      <c r="F86" s="152">
        <f>UI005_GenerateFormResponsiveLay!L5</f>
        <v>2</v>
      </c>
      <c r="G86" s="152">
        <f>UI005_GenerateFormResponsiveLay!M5</f>
        <v>0</v>
      </c>
      <c r="H86" s="152">
        <f>UI005_GenerateFormResponsiveLay!N5</f>
        <v>1</v>
      </c>
      <c r="I86" s="152">
        <f>UI005_GenerateFormResponsiveLay!O5</f>
        <v>3</v>
      </c>
      <c r="J86" s="152"/>
      <c r="K86" s="152"/>
      <c r="L86" s="152"/>
      <c r="M86" s="152"/>
      <c r="N86" s="152"/>
      <c r="O86" s="152"/>
      <c r="P86" s="152"/>
      <c r="Q86" s="152"/>
      <c r="R86" s="152"/>
      <c r="S86" s="152"/>
      <c r="T86" s="152"/>
      <c r="U86" s="152"/>
      <c r="V86" s="152"/>
      <c r="W86" s="152"/>
      <c r="X86" s="152"/>
      <c r="Y86" s="152"/>
      <c r="Z86" s="152"/>
    </row>
    <row r="87" ht="12.8" customHeight="1" spans="1:26">
      <c r="A87" s="152">
        <v>76</v>
      </c>
      <c r="B87" s="152" t="s">
        <v>460</v>
      </c>
      <c r="C87" s="152">
        <f>UI006_GenerateFormDarkLightThem!A5</f>
        <v>2</v>
      </c>
      <c r="D87" s="152">
        <f>UI006_GenerateFormDarkLightThem!C5</f>
        <v>0</v>
      </c>
      <c r="E87" s="152">
        <f>UI006_GenerateFormDarkLightThem!F5</f>
        <v>0</v>
      </c>
      <c r="F87" s="152">
        <f>UI006_GenerateFormDarkLightThem!L5</f>
        <v>2</v>
      </c>
      <c r="G87" s="152">
        <f>UI006_GenerateFormDarkLightThem!M5</f>
        <v>0</v>
      </c>
      <c r="H87" s="152">
        <f>UI006_GenerateFormDarkLightThem!N5</f>
        <v>0</v>
      </c>
      <c r="I87" s="152">
        <f>UI006_GenerateFormDarkLightThem!O5</f>
        <v>2</v>
      </c>
      <c r="J87" s="152"/>
      <c r="K87" s="152"/>
      <c r="L87" s="152"/>
      <c r="M87" s="152"/>
      <c r="N87" s="152"/>
      <c r="O87" s="152"/>
      <c r="P87" s="152"/>
      <c r="Q87" s="152"/>
      <c r="R87" s="152"/>
      <c r="S87" s="152"/>
      <c r="T87" s="152"/>
      <c r="U87" s="152"/>
      <c r="V87" s="152"/>
      <c r="W87" s="152"/>
      <c r="X87" s="152"/>
      <c r="Y87" s="152"/>
      <c r="Z87" s="152"/>
    </row>
    <row r="88" ht="12.8" customHeight="1" spans="1:26">
      <c r="A88" s="152">
        <v>77</v>
      </c>
      <c r="B88" s="152" t="s">
        <v>464</v>
      </c>
      <c r="C88" s="152">
        <f>UI007_QuotaModalResponsiveDispl!A5</f>
        <v>4</v>
      </c>
      <c r="D88" s="152">
        <f>UI007_QuotaModalResponsiveDispl!C5</f>
        <v>0</v>
      </c>
      <c r="E88" s="152">
        <f>UI007_QuotaModalResponsiveDispl!F5</f>
        <v>0</v>
      </c>
      <c r="F88" s="152">
        <f>UI007_QuotaModalResponsiveDispl!L5</f>
        <v>2</v>
      </c>
      <c r="G88" s="152">
        <f>UI007_QuotaModalResponsiveDispl!M5</f>
        <v>0</v>
      </c>
      <c r="H88" s="152">
        <f>UI007_QuotaModalResponsiveDispl!N5</f>
        <v>2</v>
      </c>
      <c r="I88" s="152">
        <f>UI007_QuotaModalResponsiveDispl!O5</f>
        <v>4</v>
      </c>
      <c r="J88" s="152"/>
      <c r="K88" s="152"/>
      <c r="L88" s="152"/>
      <c r="M88" s="152"/>
      <c r="N88" s="152"/>
      <c r="O88" s="152"/>
      <c r="P88" s="152"/>
      <c r="Q88" s="152"/>
      <c r="R88" s="152"/>
      <c r="S88" s="152"/>
      <c r="T88" s="152"/>
      <c r="U88" s="152"/>
      <c r="V88" s="152"/>
      <c r="W88" s="152"/>
      <c r="X88" s="152"/>
      <c r="Y88" s="152"/>
      <c r="Z88" s="152"/>
    </row>
    <row r="89" ht="12.8" customHeight="1" spans="1:26">
      <c r="A89" s="152">
        <v>78</v>
      </c>
      <c r="B89" s="152" t="s">
        <v>469</v>
      </c>
      <c r="C89" s="152">
        <f>UI008_ToastNotificationPosition!A5</f>
        <v>4</v>
      </c>
      <c r="D89" s="152">
        <f>UI008_ToastNotificationPosition!C5</f>
        <v>0</v>
      </c>
      <c r="E89" s="152">
        <f>UI008_ToastNotificationPosition!F5</f>
        <v>0</v>
      </c>
      <c r="F89" s="152">
        <f>UI008_ToastNotificationPosition!L5</f>
        <v>3</v>
      </c>
      <c r="G89" s="152">
        <f>UI008_ToastNotificationPosition!M5</f>
        <v>0</v>
      </c>
      <c r="H89" s="152">
        <f>UI008_ToastNotificationPosition!N5</f>
        <v>1</v>
      </c>
      <c r="I89" s="152">
        <f>UI008_ToastNotificationPosition!O5</f>
        <v>4</v>
      </c>
      <c r="J89" s="152"/>
      <c r="K89" s="152"/>
      <c r="L89" s="152"/>
      <c r="M89" s="152"/>
      <c r="N89" s="152"/>
      <c r="O89" s="152"/>
      <c r="P89" s="152"/>
      <c r="Q89" s="152"/>
      <c r="R89" s="152"/>
      <c r="S89" s="152"/>
      <c r="T89" s="152"/>
      <c r="U89" s="152"/>
      <c r="V89" s="152"/>
      <c r="W89" s="152"/>
      <c r="X89" s="152"/>
      <c r="Y89" s="152"/>
      <c r="Z89" s="152"/>
    </row>
    <row r="90" ht="12.8" customHeight="1" spans="1:26">
      <c r="A90" s="152">
        <v>79</v>
      </c>
      <c r="B90" s="152" t="s">
        <v>474</v>
      </c>
      <c r="C90" s="152">
        <f>UI009_FileUploadDropzoneVisualS!A5</f>
        <v>4</v>
      </c>
      <c r="D90" s="152">
        <f>UI009_FileUploadDropzoneVisualS!C5</f>
        <v>0</v>
      </c>
      <c r="E90" s="152">
        <f>UI009_FileUploadDropzoneVisualS!F5</f>
        <v>0</v>
      </c>
      <c r="F90" s="152">
        <f>UI009_FileUploadDropzoneVisualS!L5</f>
        <v>3</v>
      </c>
      <c r="G90" s="152">
        <f>UI009_FileUploadDropzoneVisualS!M5</f>
        <v>1</v>
      </c>
      <c r="H90" s="152">
        <f>UI009_FileUploadDropzoneVisualS!N5</f>
        <v>0</v>
      </c>
      <c r="I90" s="152">
        <f>UI009_FileUploadDropzoneVisualS!O5</f>
        <v>4</v>
      </c>
      <c r="J90" s="152"/>
      <c r="K90" s="152"/>
      <c r="L90" s="152"/>
      <c r="M90" s="152"/>
      <c r="N90" s="152"/>
      <c r="O90" s="152"/>
      <c r="P90" s="152"/>
      <c r="Q90" s="152"/>
      <c r="R90" s="152"/>
      <c r="S90" s="152"/>
      <c r="T90" s="152"/>
      <c r="U90" s="152"/>
      <c r="V90" s="152"/>
      <c r="W90" s="152"/>
      <c r="X90" s="152"/>
      <c r="Y90" s="152"/>
      <c r="Z90" s="152"/>
    </row>
    <row r="91" ht="12.8" customHeight="1" spans="1:26">
      <c r="A91" s="152">
        <v>80</v>
      </c>
      <c r="B91" s="152" t="s">
        <v>479</v>
      </c>
      <c r="C91" s="152">
        <f>UI010_ButtonLoadingDisabledStat!A5</f>
        <v>4</v>
      </c>
      <c r="D91" s="152">
        <f>UI010_ButtonLoadingDisabledStat!C5</f>
        <v>0</v>
      </c>
      <c r="E91" s="152">
        <f>UI010_ButtonLoadingDisabledStat!F5</f>
        <v>0</v>
      </c>
      <c r="F91" s="152">
        <f>UI010_ButtonLoadingDisabledStat!L5</f>
        <v>4</v>
      </c>
      <c r="G91" s="152">
        <f>UI010_ButtonLoadingDisabledStat!M5</f>
        <v>0</v>
      </c>
      <c r="H91" s="152">
        <f>UI010_ButtonLoadingDisabledStat!N5</f>
        <v>0</v>
      </c>
      <c r="I91" s="152">
        <f>UI010_ButtonLoadingDisabledStat!O5</f>
        <v>4</v>
      </c>
      <c r="J91" s="152"/>
      <c r="K91" s="152"/>
      <c r="L91" s="152"/>
      <c r="M91" s="152"/>
      <c r="N91" s="152"/>
      <c r="O91" s="152"/>
      <c r="P91" s="152"/>
      <c r="Q91" s="152"/>
      <c r="R91" s="152"/>
      <c r="S91" s="152"/>
      <c r="T91" s="152"/>
      <c r="U91" s="152"/>
      <c r="V91" s="152"/>
      <c r="W91" s="152"/>
      <c r="X91" s="152"/>
      <c r="Y91" s="152"/>
      <c r="Z91" s="152"/>
    </row>
    <row r="92" ht="12.8" customHeight="1" spans="1:26">
      <c r="A92" s="152">
        <v>81</v>
      </c>
      <c r="B92" s="152" t="s">
        <v>484</v>
      </c>
      <c r="C92" s="152">
        <f>UI011_FormFieldValidationVisual!A5</f>
        <v>4</v>
      </c>
      <c r="D92" s="152">
        <f>UI011_FormFieldValidationVisual!C5</f>
        <v>0</v>
      </c>
      <c r="E92" s="152">
        <f>UI011_FormFieldValidationVisual!F5</f>
        <v>0</v>
      </c>
      <c r="F92" s="152">
        <f>UI011_FormFieldValidationVisual!L5</f>
        <v>3</v>
      </c>
      <c r="G92" s="152">
        <f>UI011_FormFieldValidationVisual!M5</f>
        <v>1</v>
      </c>
      <c r="H92" s="152">
        <f>UI011_FormFieldValidationVisual!N5</f>
        <v>0</v>
      </c>
      <c r="I92" s="152">
        <f>UI011_FormFieldValidationVisual!O5</f>
        <v>4</v>
      </c>
      <c r="J92" s="152"/>
      <c r="K92" s="152"/>
      <c r="L92" s="152"/>
      <c r="M92" s="152"/>
      <c r="N92" s="152"/>
      <c r="O92" s="152"/>
      <c r="P92" s="152"/>
      <c r="Q92" s="152"/>
      <c r="R92" s="152"/>
      <c r="S92" s="152"/>
      <c r="T92" s="152"/>
      <c r="U92" s="152"/>
      <c r="V92" s="152"/>
      <c r="W92" s="152"/>
      <c r="X92" s="152"/>
      <c r="Y92" s="152"/>
      <c r="Z92" s="152"/>
    </row>
    <row r="93" ht="12.8" customHeight="1" spans="1:26">
      <c r="A93" s="152">
        <v>82</v>
      </c>
      <c r="B93" s="152" t="s">
        <v>489</v>
      </c>
      <c r="C93" s="152">
        <f>UI012_NavigationSidebarResponsi!A5</f>
        <v>4</v>
      </c>
      <c r="D93" s="152">
        <f>UI012_NavigationSidebarResponsi!C5</f>
        <v>0</v>
      </c>
      <c r="E93" s="152">
        <f>UI012_NavigationSidebarResponsi!F5</f>
        <v>0</v>
      </c>
      <c r="F93" s="152">
        <f>UI012_NavigationSidebarResponsi!L5</f>
        <v>3</v>
      </c>
      <c r="G93" s="152">
        <f>UI012_NavigationSidebarResponsi!M5</f>
        <v>0</v>
      </c>
      <c r="H93" s="152">
        <f>UI012_NavigationSidebarResponsi!N5</f>
        <v>1</v>
      </c>
      <c r="I93" s="152">
        <f>UI012_NavigationSidebarResponsi!O5</f>
        <v>4</v>
      </c>
      <c r="J93" s="152"/>
      <c r="K93" s="152"/>
      <c r="L93" s="152"/>
      <c r="M93" s="152"/>
      <c r="N93" s="152"/>
      <c r="O93" s="152"/>
      <c r="P93" s="152"/>
      <c r="Q93" s="152"/>
      <c r="R93" s="152"/>
      <c r="S93" s="152"/>
      <c r="T93" s="152"/>
      <c r="U93" s="152"/>
      <c r="V93" s="152"/>
      <c r="W93" s="152"/>
      <c r="X93" s="152"/>
      <c r="Y93" s="152"/>
      <c r="Z93" s="152"/>
    </row>
    <row r="94" ht="12.8" customHeight="1" spans="1:26">
      <c r="A94" s="152">
        <v>83</v>
      </c>
      <c r="B94" s="152" t="s">
        <v>494</v>
      </c>
      <c r="C94" s="152">
        <f>UI013_ModalDialogPositioningZIn!A5</f>
        <v>4</v>
      </c>
      <c r="D94" s="152">
        <f>UI013_ModalDialogPositioningZIn!C5</f>
        <v>0</v>
      </c>
      <c r="E94" s="152">
        <f>UI013_ModalDialogPositioningZIn!F5</f>
        <v>0</v>
      </c>
      <c r="F94" s="152">
        <f>UI013_ModalDialogPositioningZIn!L5</f>
        <v>4</v>
      </c>
      <c r="G94" s="152">
        <f>UI013_ModalDialogPositioningZIn!M5</f>
        <v>0</v>
      </c>
      <c r="H94" s="152">
        <f>UI013_ModalDialogPositioningZIn!N5</f>
        <v>0</v>
      </c>
      <c r="I94" s="152">
        <f>UI013_ModalDialogPositioningZIn!O5</f>
        <v>4</v>
      </c>
      <c r="J94" s="152"/>
      <c r="K94" s="152"/>
      <c r="L94" s="152"/>
      <c r="M94" s="152"/>
      <c r="N94" s="152"/>
      <c r="O94" s="152"/>
      <c r="P94" s="152"/>
      <c r="Q94" s="152"/>
      <c r="R94" s="152"/>
      <c r="S94" s="152"/>
      <c r="T94" s="152"/>
      <c r="U94" s="152"/>
      <c r="V94" s="152"/>
      <c r="W94" s="152"/>
      <c r="X94" s="152"/>
      <c r="Y94" s="152"/>
      <c r="Z94" s="152"/>
    </row>
    <row r="95" ht="12.8" customHeight="1" spans="1:26">
      <c r="A95" s="152">
        <v>84</v>
      </c>
      <c r="B95" s="152" t="s">
        <v>499</v>
      </c>
      <c r="C95" s="152">
        <f>UI014_TableGridResponsiveOverfl!A5</f>
        <v>3</v>
      </c>
      <c r="D95" s="152">
        <f>UI014_TableGridResponsiveOverfl!C5</f>
        <v>0</v>
      </c>
      <c r="E95" s="152">
        <f>UI014_TableGridResponsiveOverfl!F5</f>
        <v>0</v>
      </c>
      <c r="F95" s="152">
        <f>UI014_TableGridResponsiveOverfl!L5</f>
        <v>2</v>
      </c>
      <c r="G95" s="152">
        <f>UI014_TableGridResponsiveOverfl!M5</f>
        <v>0</v>
      </c>
      <c r="H95" s="152">
        <f>UI014_TableGridResponsiveOverfl!N5</f>
        <v>1</v>
      </c>
      <c r="I95" s="152">
        <f>UI014_TableGridResponsiveOverfl!O5</f>
        <v>3</v>
      </c>
      <c r="J95" s="152"/>
      <c r="K95" s="152"/>
      <c r="L95" s="152"/>
      <c r="M95" s="152"/>
      <c r="N95" s="152"/>
      <c r="O95" s="152"/>
      <c r="P95" s="152"/>
      <c r="Q95" s="152"/>
      <c r="R95" s="152"/>
      <c r="S95" s="152"/>
      <c r="T95" s="152"/>
      <c r="U95" s="152"/>
      <c r="V95" s="152"/>
      <c r="W95" s="152"/>
      <c r="X95" s="152"/>
      <c r="Y95" s="152"/>
      <c r="Z95" s="152"/>
    </row>
    <row r="96" ht="12.8" customHeight="1" spans="1:26">
      <c r="A96" s="152">
        <v>85</v>
      </c>
      <c r="B96" s="152" t="s">
        <v>504</v>
      </c>
      <c r="C96" s="152">
        <f>UI015_TooltipHoverDisplay!A5</f>
        <v>4</v>
      </c>
      <c r="D96" s="152">
        <f>UI015_TooltipHoverDisplay!C5</f>
        <v>0</v>
      </c>
      <c r="E96" s="152">
        <f>UI015_TooltipHoverDisplay!F5</f>
        <v>0</v>
      </c>
      <c r="F96" s="152">
        <f>UI015_TooltipHoverDisplay!L5</f>
        <v>3</v>
      </c>
      <c r="G96" s="152">
        <f>UI015_TooltipHoverDisplay!M5</f>
        <v>1</v>
      </c>
      <c r="H96" s="152">
        <f>UI015_TooltipHoverDisplay!N5</f>
        <v>0</v>
      </c>
      <c r="I96" s="152">
        <f>UI015_TooltipHoverDisplay!O5</f>
        <v>4</v>
      </c>
      <c r="J96" s="152"/>
      <c r="K96" s="152"/>
      <c r="L96" s="152"/>
      <c r="M96" s="152"/>
      <c r="N96" s="152"/>
      <c r="O96" s="152"/>
      <c r="P96" s="152"/>
      <c r="Q96" s="152"/>
      <c r="R96" s="152"/>
      <c r="S96" s="152"/>
      <c r="T96" s="152"/>
      <c r="U96" s="152"/>
      <c r="V96" s="152"/>
      <c r="W96" s="152"/>
      <c r="X96" s="152"/>
      <c r="Y96" s="152"/>
      <c r="Z96" s="152"/>
    </row>
    <row r="97" ht="12.8" customHeight="1" spans="1:26">
      <c r="A97" s="152">
        <v>86</v>
      </c>
      <c r="B97" s="152" t="s">
        <v>509</v>
      </c>
      <c r="C97" s="152">
        <f>UI016_LoadingSpinnerSkeletonSta!A5</f>
        <v>3</v>
      </c>
      <c r="D97" s="152">
        <f>UI016_LoadingSpinnerSkeletonSta!C5</f>
        <v>0</v>
      </c>
      <c r="E97" s="152">
        <f>UI016_LoadingSpinnerSkeletonSta!F5</f>
        <v>0</v>
      </c>
      <c r="F97" s="152">
        <f>UI016_LoadingSpinnerSkeletonSta!L5</f>
        <v>2</v>
      </c>
      <c r="G97" s="152">
        <f>UI016_LoadingSpinnerSkeletonSta!M5</f>
        <v>0</v>
      </c>
      <c r="H97" s="152">
        <f>UI016_LoadingSpinnerSkeletonSta!N5</f>
        <v>1</v>
      </c>
      <c r="I97" s="152">
        <f>UI016_LoadingSpinnerSkeletonSta!O5</f>
        <v>3</v>
      </c>
      <c r="J97" s="152"/>
      <c r="K97" s="152"/>
      <c r="L97" s="152"/>
      <c r="M97" s="152"/>
      <c r="N97" s="152"/>
      <c r="O97" s="152"/>
      <c r="P97" s="152"/>
      <c r="Q97" s="152"/>
      <c r="R97" s="152"/>
      <c r="S97" s="152"/>
      <c r="T97" s="152"/>
      <c r="U97" s="152"/>
      <c r="V97" s="152"/>
      <c r="W97" s="152"/>
      <c r="X97" s="152"/>
      <c r="Y97" s="152"/>
      <c r="Z97" s="152"/>
    </row>
    <row r="98" ht="12.8" customHeight="1" spans="1:26">
      <c r="A98" s="152">
        <v>87</v>
      </c>
      <c r="B98" s="152" t="s">
        <v>514</v>
      </c>
      <c r="C98" s="152">
        <f>UI017_AccessibilityKeyboardNavi!A5</f>
        <v>4</v>
      </c>
      <c r="D98" s="152">
        <f>UI017_AccessibilityKeyboardNavi!C5</f>
        <v>0</v>
      </c>
      <c r="E98" s="152">
        <f>UI017_AccessibilityKeyboardNavi!F5</f>
        <v>0</v>
      </c>
      <c r="F98" s="152">
        <f>UI017_AccessibilityKeyboardNavi!L5</f>
        <v>2</v>
      </c>
      <c r="G98" s="152">
        <f>UI017_AccessibilityKeyboardNavi!M5</f>
        <v>2</v>
      </c>
      <c r="H98" s="152">
        <f>UI017_AccessibilityKeyboardNavi!N5</f>
        <v>0</v>
      </c>
      <c r="I98" s="152">
        <f>UI017_AccessibilityKeyboardNavi!O5</f>
        <v>4</v>
      </c>
      <c r="J98" s="152"/>
      <c r="K98" s="152"/>
      <c r="L98" s="152"/>
      <c r="M98" s="152"/>
      <c r="N98" s="152"/>
      <c r="O98" s="152"/>
      <c r="P98" s="152"/>
      <c r="Q98" s="152"/>
      <c r="R98" s="152"/>
      <c r="S98" s="152"/>
      <c r="T98" s="152"/>
      <c r="U98" s="152"/>
      <c r="V98" s="152"/>
      <c r="W98" s="152"/>
      <c r="X98" s="152"/>
      <c r="Y98" s="152"/>
      <c r="Z98" s="152"/>
    </row>
    <row r="99" ht="12.8" customHeight="1" spans="1:26">
      <c r="A99" s="152">
        <v>88</v>
      </c>
      <c r="B99" s="152" t="s">
        <v>519</v>
      </c>
      <c r="C99" s="152">
        <f>UI018_BrandingLogoHeaderConsist!A5</f>
        <v>4</v>
      </c>
      <c r="D99" s="152">
        <f>UI018_BrandingLogoHeaderConsist!C5</f>
        <v>0</v>
      </c>
      <c r="E99" s="152">
        <f>UI018_BrandingLogoHeaderConsist!F5</f>
        <v>0</v>
      </c>
      <c r="F99" s="152">
        <f>UI018_BrandingLogoHeaderConsist!L5</f>
        <v>4</v>
      </c>
      <c r="G99" s="152">
        <f>UI018_BrandingLogoHeaderConsist!M5</f>
        <v>0</v>
      </c>
      <c r="H99" s="152">
        <f>UI018_BrandingLogoHeaderConsist!N5</f>
        <v>0</v>
      </c>
      <c r="I99" s="152">
        <f>UI018_BrandingLogoHeaderConsist!O5</f>
        <v>4</v>
      </c>
      <c r="J99" s="152"/>
      <c r="K99" s="152"/>
      <c r="L99" s="152"/>
      <c r="M99" s="152"/>
      <c r="N99" s="152"/>
      <c r="O99" s="152"/>
      <c r="P99" s="152"/>
      <c r="Q99" s="152"/>
      <c r="R99" s="152"/>
      <c r="S99" s="152"/>
      <c r="T99" s="152"/>
      <c r="U99" s="152"/>
      <c r="V99" s="152"/>
      <c r="W99" s="152"/>
      <c r="X99" s="152"/>
      <c r="Y99" s="152"/>
      <c r="Z99" s="152"/>
    </row>
    <row r="100" ht="12.8" customHeight="1" spans="1:26">
      <c r="A100" s="152">
        <v>89</v>
      </c>
      <c r="B100" s="152" t="s">
        <v>526</v>
      </c>
      <c r="C100" s="152">
        <f>AUTH001_RegisterHR!A5</f>
        <v>7</v>
      </c>
      <c r="D100" s="152">
        <f>AUTH001_RegisterHR!C5</f>
        <v>0</v>
      </c>
      <c r="E100" s="152">
        <f>AUTH001_RegisterHR!F5</f>
        <v>0</v>
      </c>
      <c r="F100" s="152">
        <f>AUTH001_RegisterHR!L5</f>
        <v>1</v>
      </c>
      <c r="G100" s="152">
        <f>AUTH001_RegisterHR!M5</f>
        <v>6</v>
      </c>
      <c r="H100" s="152">
        <f>AUTH001_RegisterHR!N5</f>
        <v>0</v>
      </c>
      <c r="I100" s="152">
        <f>AUTH001_RegisterHR!O5</f>
        <v>7</v>
      </c>
      <c r="J100" s="152"/>
      <c r="K100" s="152"/>
      <c r="L100" s="152"/>
      <c r="M100" s="152"/>
      <c r="N100" s="152"/>
      <c r="O100" s="152"/>
      <c r="P100" s="152"/>
      <c r="Q100" s="152"/>
      <c r="R100" s="152"/>
      <c r="S100" s="152"/>
      <c r="T100" s="152"/>
      <c r="U100" s="152"/>
      <c r="V100" s="152"/>
      <c r="W100" s="152"/>
      <c r="X100" s="152"/>
      <c r="Y100" s="152"/>
      <c r="Z100" s="152"/>
    </row>
    <row r="101" ht="12.8" customHeight="1" spans="1:26">
      <c r="A101" s="152">
        <v>90</v>
      </c>
      <c r="B101" s="152" t="s">
        <v>531</v>
      </c>
      <c r="C101" s="152">
        <f>AUTH002_Login!A5</f>
        <v>7</v>
      </c>
      <c r="D101" s="152">
        <f>AUTH002_Login!C5</f>
        <v>0</v>
      </c>
      <c r="E101" s="152">
        <f>AUTH002_Login!F5</f>
        <v>0</v>
      </c>
      <c r="F101" s="152">
        <f>AUTH002_Login!L5</f>
        <v>2</v>
      </c>
      <c r="G101" s="152">
        <f>AUTH002_Login!M5</f>
        <v>5</v>
      </c>
      <c r="H101" s="152">
        <f>AUTH002_Login!N5</f>
        <v>0</v>
      </c>
      <c r="I101" s="152">
        <f>AUTH002_Login!O5</f>
        <v>7</v>
      </c>
      <c r="J101" s="152"/>
      <c r="K101" s="152"/>
      <c r="L101" s="152"/>
      <c r="M101" s="152"/>
      <c r="N101" s="152"/>
      <c r="O101" s="152"/>
      <c r="P101" s="152"/>
      <c r="Q101" s="152"/>
      <c r="R101" s="152"/>
      <c r="S101" s="152"/>
      <c r="T101" s="152"/>
      <c r="U101" s="152"/>
      <c r="V101" s="152"/>
      <c r="W101" s="152"/>
      <c r="X101" s="152"/>
      <c r="Y101" s="152"/>
      <c r="Z101" s="152"/>
    </row>
    <row r="102" ht="12.8" customHeight="1" spans="1:26">
      <c r="A102" s="152">
        <v>91</v>
      </c>
      <c r="B102" s="152" t="s">
        <v>535</v>
      </c>
      <c r="C102" s="152">
        <f>AUTH003_RegisterJobSeeker!A5</f>
        <v>7</v>
      </c>
      <c r="D102" s="152">
        <f>AUTH003_RegisterJobSeeker!C5</f>
        <v>0</v>
      </c>
      <c r="E102" s="152">
        <f>AUTH003_RegisterJobSeeker!F5</f>
        <v>0</v>
      </c>
      <c r="F102" s="152">
        <f>AUTH003_RegisterJobSeeker!L5</f>
        <v>1</v>
      </c>
      <c r="G102" s="152">
        <f>AUTH003_RegisterJobSeeker!M5</f>
        <v>6</v>
      </c>
      <c r="H102" s="152">
        <f>AUTH003_RegisterJobSeeker!N5</f>
        <v>0</v>
      </c>
      <c r="I102" s="152">
        <f>AUTH003_RegisterJobSeeker!O5</f>
        <v>7</v>
      </c>
      <c r="J102" s="152"/>
      <c r="K102" s="152"/>
      <c r="L102" s="152"/>
      <c r="M102" s="152"/>
      <c r="N102" s="152"/>
      <c r="O102" s="152"/>
      <c r="P102" s="152"/>
      <c r="Q102" s="152"/>
      <c r="R102" s="152"/>
      <c r="S102" s="152"/>
      <c r="T102" s="152"/>
      <c r="U102" s="152"/>
      <c r="V102" s="152"/>
      <c r="W102" s="152"/>
      <c r="X102" s="152"/>
      <c r="Y102" s="152"/>
      <c r="Z102" s="152"/>
    </row>
    <row r="103" ht="12.8" customHeight="1" spans="1:26">
      <c r="A103" s="152">
        <v>92</v>
      </c>
      <c r="B103" s="152" t="s">
        <v>539</v>
      </c>
      <c r="C103" s="152">
        <f>AUTH004_VerifyEmail!A5</f>
        <v>6</v>
      </c>
      <c r="D103" s="152">
        <f>AUTH004_VerifyEmail!C5</f>
        <v>0</v>
      </c>
      <c r="E103" s="152">
        <f>AUTH004_VerifyEmail!F5</f>
        <v>0</v>
      </c>
      <c r="F103" s="152">
        <f>AUTH004_VerifyEmail!L5</f>
        <v>5</v>
      </c>
      <c r="G103" s="152">
        <f>AUTH004_VerifyEmail!M5</f>
        <v>1</v>
      </c>
      <c r="H103" s="152">
        <f>AUTH004_VerifyEmail!N5</f>
        <v>0</v>
      </c>
      <c r="I103" s="152">
        <f>AUTH004_VerifyEmail!O5</f>
        <v>6</v>
      </c>
      <c r="J103" s="152"/>
      <c r="K103" s="152"/>
      <c r="L103" s="152"/>
      <c r="M103" s="152"/>
      <c r="N103" s="152"/>
      <c r="O103" s="152"/>
      <c r="P103" s="152"/>
      <c r="Q103" s="152"/>
      <c r="R103" s="152"/>
      <c r="S103" s="152"/>
      <c r="T103" s="152"/>
      <c r="U103" s="152"/>
      <c r="V103" s="152"/>
      <c r="W103" s="152"/>
      <c r="X103" s="152"/>
      <c r="Y103" s="152"/>
      <c r="Z103" s="152"/>
    </row>
    <row r="104" ht="12.8" customHeight="1" spans="1:26">
      <c r="A104" s="152">
        <v>93</v>
      </c>
      <c r="B104" s="152" t="s">
        <v>544</v>
      </c>
      <c r="C104" s="152">
        <f>AUTH005_ForgotResetPassword!A5</f>
        <v>8</v>
      </c>
      <c r="D104" s="152">
        <f>AUTH005_ForgotResetPassword!C5</f>
        <v>0</v>
      </c>
      <c r="E104" s="152">
        <f>AUTH005_ForgotResetPassword!F5</f>
        <v>0</v>
      </c>
      <c r="F104" s="152">
        <f>AUTH005_ForgotResetPassword!L5</f>
        <v>2</v>
      </c>
      <c r="G104" s="152">
        <f>AUTH005_ForgotResetPassword!M5</f>
        <v>6</v>
      </c>
      <c r="H104" s="152">
        <f>AUTH005_ForgotResetPassword!N5</f>
        <v>0</v>
      </c>
      <c r="I104" s="152">
        <f>AUTH005_ForgotResetPassword!O5</f>
        <v>8</v>
      </c>
      <c r="J104" s="152"/>
      <c r="K104" s="152"/>
      <c r="L104" s="152"/>
      <c r="M104" s="152"/>
      <c r="N104" s="152"/>
      <c r="O104" s="152"/>
      <c r="P104" s="152"/>
      <c r="Q104" s="152"/>
      <c r="R104" s="152"/>
      <c r="S104" s="152"/>
      <c r="T104" s="152"/>
      <c r="U104" s="152"/>
      <c r="V104" s="152"/>
      <c r="W104" s="152"/>
      <c r="X104" s="152"/>
      <c r="Y104" s="152"/>
      <c r="Z104" s="152"/>
    </row>
    <row r="105" ht="12.8" customHeight="1" spans="1:26">
      <c r="A105" s="152">
        <v>94</v>
      </c>
      <c r="B105" s="152" t="s">
        <v>551</v>
      </c>
      <c r="C105" s="152">
        <f>AUTH006_AccessControl!A5</f>
        <v>6</v>
      </c>
      <c r="D105" s="152">
        <f>AUTH006_AccessControl!C5</f>
        <v>0</v>
      </c>
      <c r="E105" s="152">
        <f>AUTH006_AccessControl!F5</f>
        <v>0</v>
      </c>
      <c r="F105" s="152">
        <f>AUTH006_AccessControl!L5</f>
        <v>5</v>
      </c>
      <c r="G105" s="152">
        <f>AUTH006_AccessControl!M5</f>
        <v>1</v>
      </c>
      <c r="H105" s="152">
        <f>AUTH006_AccessControl!N5</f>
        <v>0</v>
      </c>
      <c r="I105" s="152">
        <f>AUTH006_AccessControl!O5</f>
        <v>6</v>
      </c>
      <c r="J105" s="152"/>
      <c r="K105" s="152"/>
      <c r="L105" s="152"/>
      <c r="M105" s="152"/>
      <c r="N105" s="152"/>
      <c r="O105" s="152"/>
      <c r="P105" s="152"/>
      <c r="Q105" s="152"/>
      <c r="R105" s="152"/>
      <c r="S105" s="152"/>
      <c r="T105" s="152"/>
      <c r="U105" s="152"/>
      <c r="V105" s="152"/>
      <c r="W105" s="152"/>
      <c r="X105" s="152"/>
      <c r="Y105" s="152"/>
      <c r="Z105" s="152"/>
    </row>
    <row r="106" ht="12.8" customHeight="1" spans="1:26">
      <c r="A106" s="152">
        <v>95</v>
      </c>
      <c r="B106" s="152" t="s">
        <v>558</v>
      </c>
      <c r="C106" s="152">
        <f>AUTH007_UpdateProfile!A5</f>
        <v>8</v>
      </c>
      <c r="D106" s="152">
        <f>AUTH007_UpdateProfile!C5</f>
        <v>0</v>
      </c>
      <c r="E106" s="152">
        <f>AUTH007_UpdateProfile!F5</f>
        <v>0</v>
      </c>
      <c r="F106" s="152">
        <f>AUTH007_UpdateProfile!L5</f>
        <v>4</v>
      </c>
      <c r="G106" s="152">
        <f>AUTH007_UpdateProfile!M5</f>
        <v>4</v>
      </c>
      <c r="H106" s="152">
        <f>AUTH007_UpdateProfile!N5</f>
        <v>0</v>
      </c>
      <c r="I106" s="152">
        <f>AUTH007_UpdateProfile!O5</f>
        <v>8</v>
      </c>
      <c r="J106" s="152"/>
      <c r="K106" s="152"/>
      <c r="L106" s="152"/>
      <c r="M106" s="152"/>
      <c r="N106" s="152"/>
      <c r="O106" s="152"/>
      <c r="P106" s="152"/>
      <c r="Q106" s="152"/>
      <c r="R106" s="152"/>
      <c r="S106" s="152"/>
      <c r="T106" s="152"/>
      <c r="U106" s="152"/>
      <c r="V106" s="152"/>
      <c r="W106" s="152"/>
      <c r="X106" s="152"/>
      <c r="Y106" s="152"/>
      <c r="Z106" s="152"/>
    </row>
    <row r="107" ht="12.8" customHeight="1" spans="1:26">
      <c r="A107" s="152">
        <v>96</v>
      </c>
      <c r="B107" s="152" t="s">
        <v>565</v>
      </c>
      <c r="C107" s="152">
        <f>AUTH008_ManageUsers!A5</f>
        <v>10</v>
      </c>
      <c r="D107" s="152">
        <f>AUTH008_ManageUsers!C5</f>
        <v>0</v>
      </c>
      <c r="E107" s="152">
        <f>AUTH008_ManageUsers!F5</f>
        <v>0</v>
      </c>
      <c r="F107" s="152">
        <f>AUTH008_ManageUsers!L5</f>
        <v>9</v>
      </c>
      <c r="G107" s="152">
        <f>AUTH008_ManageUsers!M5</f>
        <v>1</v>
      </c>
      <c r="H107" s="152">
        <f>AUTH008_ManageUsers!N5</f>
        <v>0</v>
      </c>
      <c r="I107" s="152">
        <f>AUTH008_ManageUsers!O5</f>
        <v>10</v>
      </c>
      <c r="J107" s="152"/>
      <c r="K107" s="152"/>
      <c r="L107" s="152"/>
      <c r="M107" s="152"/>
      <c r="N107" s="152"/>
      <c r="O107" s="152"/>
      <c r="P107" s="152"/>
      <c r="Q107" s="152"/>
      <c r="R107" s="152"/>
      <c r="S107" s="152"/>
      <c r="T107" s="152"/>
      <c r="U107" s="152"/>
      <c r="V107" s="152"/>
      <c r="W107" s="152"/>
      <c r="X107" s="152"/>
      <c r="Y107" s="152"/>
      <c r="Z107" s="152"/>
    </row>
    <row r="108" ht="12.8" customHeight="1" spans="1:26">
      <c r="A108" s="152">
        <v>97</v>
      </c>
      <c r="B108" s="152" t="s">
        <v>572</v>
      </c>
      <c r="C108" s="152">
        <f>BE001_HealthCheckEndpoints!A5</f>
        <v>3</v>
      </c>
      <c r="D108" s="152">
        <f>BE001_HealthCheckEndpoints!C5</f>
        <v>0</v>
      </c>
      <c r="E108" s="152">
        <f>BE001_HealthCheckEndpoints!F5</f>
        <v>0</v>
      </c>
      <c r="F108" s="152">
        <f>BE001_HealthCheckEndpoints!L5</f>
        <v>2</v>
      </c>
      <c r="G108" s="152">
        <f>BE001_HealthCheckEndpoints!M5</f>
        <v>1</v>
      </c>
      <c r="H108" s="152">
        <f>BE001_HealthCheckEndpoints!N5</f>
        <v>0</v>
      </c>
      <c r="I108" s="152">
        <f>BE001_HealthCheckEndpoints!O5</f>
        <v>3</v>
      </c>
      <c r="J108" s="152"/>
      <c r="K108" s="152"/>
      <c r="L108" s="152"/>
      <c r="M108" s="152"/>
      <c r="N108" s="152"/>
      <c r="O108" s="152"/>
      <c r="P108" s="152"/>
      <c r="Q108" s="152"/>
      <c r="R108" s="152"/>
      <c r="S108" s="152"/>
      <c r="T108" s="152"/>
      <c r="U108" s="152"/>
      <c r="V108" s="152"/>
      <c r="W108" s="152"/>
      <c r="X108" s="152"/>
      <c r="Y108" s="152"/>
      <c r="Z108" s="152"/>
    </row>
    <row r="109" ht="12.8" customHeight="1" spans="1:26">
      <c r="A109" s="152">
        <v>98</v>
      </c>
      <c r="B109" s="152" t="s">
        <v>577</v>
      </c>
      <c r="C109" s="152">
        <f>BE002_InternalApiKeyAuthGate!A5</f>
        <v>4</v>
      </c>
      <c r="D109" s="152">
        <f>BE002_InternalApiKeyAuthGate!C5</f>
        <v>0</v>
      </c>
      <c r="E109" s="152">
        <f>BE002_InternalApiKeyAuthGate!F5</f>
        <v>0</v>
      </c>
      <c r="F109" s="152">
        <f>BE002_InternalApiKeyAuthGate!L5</f>
        <v>1</v>
      </c>
      <c r="G109" s="152">
        <f>BE002_InternalApiKeyAuthGate!M5</f>
        <v>2</v>
      </c>
      <c r="H109" s="152">
        <f>BE002_InternalApiKeyAuthGate!N5</f>
        <v>1</v>
      </c>
      <c r="I109" s="152">
        <f>BE002_InternalApiKeyAuthGate!O5</f>
        <v>4</v>
      </c>
      <c r="J109" s="152"/>
      <c r="K109" s="152"/>
      <c r="L109" s="152"/>
      <c r="M109" s="152"/>
      <c r="N109" s="152"/>
      <c r="O109" s="152"/>
      <c r="P109" s="152"/>
      <c r="Q109" s="152"/>
      <c r="R109" s="152"/>
      <c r="S109" s="152"/>
      <c r="T109" s="152"/>
      <c r="U109" s="152"/>
      <c r="V109" s="152"/>
      <c r="W109" s="152"/>
      <c r="X109" s="152"/>
      <c r="Y109" s="152"/>
      <c r="Z109" s="152"/>
    </row>
    <row r="110" ht="12.8" customHeight="1" spans="1:26">
      <c r="A110" s="152">
        <v>99</v>
      </c>
      <c r="B110" s="152" t="s">
        <v>582</v>
      </c>
      <c r="C110" s="152">
        <f>BE003_ChatEndpointValidation!A5</f>
        <v>4</v>
      </c>
      <c r="D110" s="152">
        <f>BE003_ChatEndpointValidation!C5</f>
        <v>0</v>
      </c>
      <c r="E110" s="152">
        <f>BE003_ChatEndpointValidation!F5</f>
        <v>0</v>
      </c>
      <c r="F110" s="152">
        <f>BE003_ChatEndpointValidation!L5</f>
        <v>2</v>
      </c>
      <c r="G110" s="152">
        <f>BE003_ChatEndpointValidation!M5</f>
        <v>2</v>
      </c>
      <c r="H110" s="152">
        <f>BE003_ChatEndpointValidation!N5</f>
        <v>0</v>
      </c>
      <c r="I110" s="152">
        <f>BE003_ChatEndpointValidation!O5</f>
        <v>4</v>
      </c>
      <c r="J110" s="152"/>
      <c r="K110" s="152"/>
      <c r="L110" s="152"/>
      <c r="M110" s="152"/>
      <c r="N110" s="152"/>
      <c r="O110" s="152"/>
      <c r="P110" s="152"/>
      <c r="Q110" s="152"/>
      <c r="R110" s="152"/>
      <c r="S110" s="152"/>
      <c r="T110" s="152"/>
      <c r="U110" s="152"/>
      <c r="V110" s="152"/>
      <c r="W110" s="152"/>
      <c r="X110" s="152"/>
      <c r="Y110" s="152"/>
      <c r="Z110" s="152"/>
    </row>
    <row r="111" ht="12.8" customHeight="1" spans="1:26">
      <c r="A111" s="152">
        <v>100</v>
      </c>
      <c r="B111" s="152" t="s">
        <v>587</v>
      </c>
      <c r="C111" s="152">
        <f>BE004_IngestSystemFilesValidati!A5</f>
        <v>6</v>
      </c>
      <c r="D111" s="152">
        <f>BE004_IngestSystemFilesValidati!C5</f>
        <v>0</v>
      </c>
      <c r="E111" s="152">
        <f>BE004_IngestSystemFilesValidati!F5</f>
        <v>0</v>
      </c>
      <c r="F111" s="152">
        <f>BE004_IngestSystemFilesValidati!L5</f>
        <v>1</v>
      </c>
      <c r="G111" s="152">
        <f>BE004_IngestSystemFilesValidati!M5</f>
        <v>4</v>
      </c>
      <c r="H111" s="152">
        <f>BE004_IngestSystemFilesValidati!N5</f>
        <v>1</v>
      </c>
      <c r="I111" s="152">
        <f>BE004_IngestSystemFilesValidati!O5</f>
        <v>6</v>
      </c>
      <c r="J111" s="152"/>
      <c r="K111" s="152"/>
      <c r="L111" s="152"/>
      <c r="M111" s="152"/>
      <c r="N111" s="152"/>
      <c r="O111" s="152"/>
      <c r="P111" s="152"/>
      <c r="Q111" s="152"/>
      <c r="R111" s="152"/>
      <c r="S111" s="152"/>
      <c r="T111" s="152"/>
      <c r="U111" s="152"/>
      <c r="V111" s="152"/>
      <c r="W111" s="152"/>
      <c r="X111" s="152"/>
      <c r="Y111" s="152"/>
      <c r="Z111" s="152"/>
    </row>
    <row r="112" ht="12.8" customHeight="1" spans="1:26">
      <c r="A112" s="152">
        <v>101</v>
      </c>
      <c r="B112" s="152" t="s">
        <v>592</v>
      </c>
      <c r="C112" s="152">
        <f>BE005_IngestHrFilesValidation!A5</f>
        <v>3</v>
      </c>
      <c r="D112" s="152">
        <f>BE005_IngestHrFilesValidation!C5</f>
        <v>0</v>
      </c>
      <c r="E112" s="152">
        <f>BE005_IngestHrFilesValidation!F5</f>
        <v>0</v>
      </c>
      <c r="F112" s="152">
        <f>BE005_IngestHrFilesValidation!L5</f>
        <v>1</v>
      </c>
      <c r="G112" s="152">
        <f>BE005_IngestHrFilesValidation!M5</f>
        <v>1</v>
      </c>
      <c r="H112" s="152">
        <f>BE005_IngestHrFilesValidation!N5</f>
        <v>1</v>
      </c>
      <c r="I112" s="152">
        <f>BE005_IngestHrFilesValidation!O5</f>
        <v>3</v>
      </c>
      <c r="J112" s="152"/>
      <c r="K112" s="152"/>
      <c r="L112" s="152"/>
      <c r="M112" s="152"/>
      <c r="N112" s="152"/>
      <c r="O112" s="152"/>
      <c r="P112" s="152"/>
      <c r="Q112" s="152"/>
      <c r="R112" s="152"/>
      <c r="S112" s="152"/>
      <c r="T112" s="152"/>
      <c r="U112" s="152"/>
      <c r="V112" s="152"/>
      <c r="W112" s="152"/>
      <c r="X112" s="152"/>
      <c r="Y112" s="152"/>
      <c r="Z112" s="152"/>
    </row>
    <row r="113" ht="12.8" customHeight="1" spans="1:26">
      <c r="A113" s="152">
        <v>102</v>
      </c>
      <c r="B113" s="152" t="s">
        <v>597</v>
      </c>
      <c r="C113" s="152">
        <f>BE006_JdValidationRules!A5</f>
        <v>8</v>
      </c>
      <c r="D113" s="152">
        <f>BE006_JdValidationRules!C5</f>
        <v>0</v>
      </c>
      <c r="E113" s="152">
        <f>BE006_JdValidationRules!F5</f>
        <v>0</v>
      </c>
      <c r="F113" s="152">
        <f>BE006_JdValidationRules!L5</f>
        <v>1</v>
      </c>
      <c r="G113" s="152">
        <f>BE006_JdValidationRules!M5</f>
        <v>7</v>
      </c>
      <c r="H113" s="152">
        <f>BE006_JdValidationRules!N5</f>
        <v>0</v>
      </c>
      <c r="I113" s="152">
        <f>BE006_JdValidationRules!O5</f>
        <v>8</v>
      </c>
      <c r="J113" s="152"/>
      <c r="K113" s="152"/>
      <c r="L113" s="152"/>
      <c r="M113" s="152"/>
      <c r="N113" s="152"/>
      <c r="O113" s="152"/>
      <c r="P113" s="152"/>
      <c r="Q113" s="152"/>
      <c r="R113" s="152"/>
      <c r="S113" s="152"/>
      <c r="T113" s="152"/>
      <c r="U113" s="152"/>
      <c r="V113" s="152"/>
      <c r="W113" s="152"/>
      <c r="X113" s="152"/>
      <c r="Y113" s="152"/>
      <c r="Z113" s="152"/>
    </row>
    <row r="114" ht="12.8" customHeight="1" spans="1:26">
      <c r="A114" s="152">
        <v>103</v>
      </c>
      <c r="B114" s="152" t="s">
        <v>602</v>
      </c>
      <c r="C114" s="152">
        <f>BE007_InterviewPlanStartValidat!A5</f>
        <v>4</v>
      </c>
      <c r="D114" s="152">
        <f>BE007_InterviewPlanStartValidat!C5</f>
        <v>0</v>
      </c>
      <c r="E114" s="152">
        <f>BE007_InterviewPlanStartValidat!F5</f>
        <v>0</v>
      </c>
      <c r="F114" s="152">
        <f>BE007_InterviewPlanStartValidat!L5</f>
        <v>1</v>
      </c>
      <c r="G114" s="152">
        <f>BE007_InterviewPlanStartValidat!M5</f>
        <v>3</v>
      </c>
      <c r="H114" s="152">
        <f>BE007_InterviewPlanStartValidat!N5</f>
        <v>0</v>
      </c>
      <c r="I114" s="152">
        <f>BE007_InterviewPlanStartValidat!O5</f>
        <v>4</v>
      </c>
      <c r="J114" s="152"/>
      <c r="K114" s="152"/>
      <c r="L114" s="152"/>
      <c r="M114" s="152"/>
      <c r="N114" s="152"/>
      <c r="O114" s="152"/>
      <c r="P114" s="152"/>
      <c r="Q114" s="152"/>
      <c r="R114" s="152"/>
      <c r="S114" s="152"/>
      <c r="T114" s="152"/>
      <c r="U114" s="152"/>
      <c r="V114" s="152"/>
      <c r="W114" s="152"/>
      <c r="X114" s="152"/>
      <c r="Y114" s="152"/>
      <c r="Z114" s="152"/>
    </row>
    <row r="115" ht="12.8" customHeight="1" spans="1:26">
      <c r="A115" s="152">
        <v>104</v>
      </c>
      <c r="B115" s="152" t="s">
        <v>607</v>
      </c>
      <c r="C115" s="152">
        <f>BE008_InterviewPlanMessagesClar!A5</f>
        <v>4</v>
      </c>
      <c r="D115" s="152">
        <f>BE008_InterviewPlanMessagesClar!C5</f>
        <v>0</v>
      </c>
      <c r="E115" s="152">
        <f>BE008_InterviewPlanMessagesClar!F5</f>
        <v>0</v>
      </c>
      <c r="F115" s="152">
        <f>BE008_InterviewPlanMessagesClar!L5</f>
        <v>1</v>
      </c>
      <c r="G115" s="152">
        <f>BE008_InterviewPlanMessagesClar!M5</f>
        <v>1</v>
      </c>
      <c r="H115" s="152">
        <f>BE008_InterviewPlanMessagesClar!N5</f>
        <v>2</v>
      </c>
      <c r="I115" s="152">
        <f>BE008_InterviewPlanMessagesClar!O5</f>
        <v>4</v>
      </c>
      <c r="J115" s="152"/>
      <c r="K115" s="152"/>
      <c r="L115" s="152"/>
      <c r="M115" s="152"/>
      <c r="N115" s="152"/>
      <c r="O115" s="152"/>
      <c r="P115" s="152"/>
      <c r="Q115" s="152"/>
      <c r="R115" s="152"/>
      <c r="S115" s="152"/>
      <c r="T115" s="152"/>
      <c r="U115" s="152"/>
      <c r="V115" s="152"/>
      <c r="W115" s="152"/>
      <c r="X115" s="152"/>
      <c r="Y115" s="152"/>
      <c r="Z115" s="152"/>
    </row>
    <row r="116" ht="12.8" customHeight="1" spans="1:26">
      <c r="A116" s="152">
        <v>105</v>
      </c>
      <c r="B116" s="152" t="s">
        <v>612</v>
      </c>
      <c r="C116" s="152">
        <f>BE009_InterviewPlanConfirmValid!A5</f>
        <v>5</v>
      </c>
      <c r="D116" s="152">
        <f>BE009_InterviewPlanConfirmValid!C5</f>
        <v>0</v>
      </c>
      <c r="E116" s="152">
        <f>BE009_InterviewPlanConfirmValid!F5</f>
        <v>0</v>
      </c>
      <c r="F116" s="152">
        <f>BE009_InterviewPlanConfirmValid!L5</f>
        <v>1</v>
      </c>
      <c r="G116" s="152">
        <f>BE009_InterviewPlanConfirmValid!M5</f>
        <v>4</v>
      </c>
      <c r="H116" s="152">
        <f>BE009_InterviewPlanConfirmValid!N5</f>
        <v>0</v>
      </c>
      <c r="I116" s="152">
        <f>BE009_InterviewPlanConfirmValid!O5</f>
        <v>5</v>
      </c>
      <c r="J116" s="152"/>
      <c r="K116" s="152"/>
      <c r="L116" s="152"/>
      <c r="M116" s="152"/>
      <c r="N116" s="152"/>
      <c r="O116" s="152"/>
      <c r="P116" s="152"/>
      <c r="Q116" s="152"/>
      <c r="R116" s="152"/>
      <c r="S116" s="152"/>
      <c r="T116" s="152"/>
      <c r="U116" s="152"/>
      <c r="V116" s="152"/>
      <c r="W116" s="152"/>
      <c r="X116" s="152"/>
      <c r="Y116" s="152"/>
      <c r="Z116" s="152"/>
    </row>
    <row r="117" ht="12.8" customHeight="1" spans="1:26">
      <c r="A117" s="152">
        <v>106</v>
      </c>
      <c r="B117" s="152" t="s">
        <v>617</v>
      </c>
      <c r="C117" s="152">
        <f>BE010_InterviewQuestionsGenerat!A5</f>
        <v>4</v>
      </c>
      <c r="D117" s="152">
        <f>BE010_InterviewQuestionsGenerat!C5</f>
        <v>0</v>
      </c>
      <c r="E117" s="152">
        <f>BE010_InterviewQuestionsGenerat!F5</f>
        <v>0</v>
      </c>
      <c r="F117" s="152">
        <f>BE010_InterviewQuestionsGenerat!L5</f>
        <v>2</v>
      </c>
      <c r="G117" s="152">
        <f>BE010_InterviewQuestionsGenerat!M5</f>
        <v>1</v>
      </c>
      <c r="H117" s="152">
        <f>BE010_InterviewQuestionsGenerat!N5</f>
        <v>1</v>
      </c>
      <c r="I117" s="152">
        <f>BE010_InterviewQuestionsGenerat!O5</f>
        <v>4</v>
      </c>
      <c r="J117" s="152"/>
      <c r="K117" s="152"/>
      <c r="L117" s="152"/>
      <c r="M117" s="152"/>
      <c r="N117" s="152"/>
      <c r="O117" s="152"/>
      <c r="P117" s="152"/>
      <c r="Q117" s="152"/>
      <c r="R117" s="152"/>
      <c r="S117" s="152"/>
      <c r="T117" s="152"/>
      <c r="U117" s="152"/>
      <c r="V117" s="152"/>
      <c r="W117" s="152"/>
      <c r="X117" s="152"/>
      <c r="Y117" s="152"/>
      <c r="Z117" s="152"/>
    </row>
    <row r="118" ht="12.8" customHeight="1" spans="1:26">
      <c r="A118" s="152">
        <v>107</v>
      </c>
      <c r="B118" s="152" t="s">
        <v>622</v>
      </c>
      <c r="C118" s="152">
        <f>BE011_ErrorResponseEnvelopeCons!A5</f>
        <v>3</v>
      </c>
      <c r="D118" s="152">
        <f>BE011_ErrorResponseEnvelopeCons!C5</f>
        <v>0</v>
      </c>
      <c r="E118" s="152">
        <f>BE011_ErrorResponseEnvelopeCons!F5</f>
        <v>0</v>
      </c>
      <c r="F118" s="152">
        <f>BE011_ErrorResponseEnvelopeCons!L5</f>
        <v>1</v>
      </c>
      <c r="G118" s="152">
        <f>BE011_ErrorResponseEnvelopeCons!M5</f>
        <v>2</v>
      </c>
      <c r="H118" s="152">
        <f>BE011_ErrorResponseEnvelopeCons!N5</f>
        <v>0</v>
      </c>
      <c r="I118" s="152">
        <f>BE011_ErrorResponseEnvelopeCons!O5</f>
        <v>3</v>
      </c>
      <c r="J118" s="152"/>
      <c r="K118" s="152"/>
      <c r="L118" s="152"/>
      <c r="M118" s="152"/>
      <c r="N118" s="152"/>
      <c r="O118" s="152"/>
      <c r="P118" s="152"/>
      <c r="Q118" s="152"/>
      <c r="R118" s="152"/>
      <c r="S118" s="152"/>
      <c r="T118" s="152"/>
      <c r="U118" s="152"/>
      <c r="V118" s="152"/>
      <c r="W118" s="152"/>
      <c r="X118" s="152"/>
      <c r="Y118" s="152"/>
      <c r="Z118" s="152"/>
    </row>
    <row r="119" ht="12.8" customHeight="1" spans="1:26">
      <c r="A119" s="152">
        <v>108</v>
      </c>
      <c r="B119" s="152" t="s">
        <v>627</v>
      </c>
      <c r="C119" s="152">
        <f>BE012_LlmErrorMapping!A5</f>
        <v>3</v>
      </c>
      <c r="D119" s="152">
        <f>BE012_LlmErrorMapping!C5</f>
        <v>0</v>
      </c>
      <c r="E119" s="152">
        <f>BE012_LlmErrorMapping!F5</f>
        <v>0</v>
      </c>
      <c r="F119" s="152">
        <f>BE012_LlmErrorMapping!L5</f>
        <v>1</v>
      </c>
      <c r="G119" s="152">
        <f>BE012_LlmErrorMapping!M5</f>
        <v>2</v>
      </c>
      <c r="H119" s="152">
        <f>BE012_LlmErrorMapping!N5</f>
        <v>0</v>
      </c>
      <c r="I119" s="152">
        <f>BE012_LlmErrorMapping!O5</f>
        <v>3</v>
      </c>
      <c r="J119" s="152"/>
      <c r="K119" s="152"/>
      <c r="L119" s="152"/>
      <c r="M119" s="152"/>
      <c r="N119" s="152"/>
      <c r="O119" s="152"/>
      <c r="P119" s="152"/>
      <c r="Q119" s="152"/>
      <c r="R119" s="152"/>
      <c r="S119" s="152"/>
      <c r="T119" s="152"/>
      <c r="U119" s="152"/>
      <c r="V119" s="152"/>
      <c r="W119" s="152"/>
      <c r="X119" s="152"/>
      <c r="Y119" s="152"/>
      <c r="Z119" s="152"/>
    </row>
    <row r="120" ht="12.8" customHeight="1" spans="1:26">
      <c r="A120" s="152">
        <v>109</v>
      </c>
      <c r="B120" s="152" t="s">
        <v>632</v>
      </c>
      <c r="C120" s="152">
        <f>BE013_LegacyEndpointsDeprecatio!A5</f>
        <v>4</v>
      </c>
      <c r="D120" s="152">
        <f>BE013_LegacyEndpointsDeprecatio!C5</f>
        <v>0</v>
      </c>
      <c r="E120" s="152">
        <f>BE013_LegacyEndpointsDeprecatio!F5</f>
        <v>0</v>
      </c>
      <c r="F120" s="152">
        <f>BE013_LegacyEndpointsDeprecatio!L5</f>
        <v>3</v>
      </c>
      <c r="G120" s="152">
        <f>BE013_LegacyEndpointsDeprecatio!M5</f>
        <v>0</v>
      </c>
      <c r="H120" s="152">
        <f>BE013_LegacyEndpointsDeprecatio!N5</f>
        <v>1</v>
      </c>
      <c r="I120" s="152">
        <f>BE013_LegacyEndpointsDeprecatio!O5</f>
        <v>4</v>
      </c>
      <c r="J120" s="152"/>
      <c r="K120" s="152"/>
      <c r="L120" s="152"/>
      <c r="M120" s="152"/>
      <c r="N120" s="152"/>
      <c r="O120" s="152"/>
      <c r="P120" s="152"/>
      <c r="Q120" s="152"/>
      <c r="R120" s="152"/>
      <c r="S120" s="152"/>
      <c r="T120" s="152"/>
      <c r="U120" s="152"/>
      <c r="V120" s="152"/>
      <c r="W120" s="152"/>
      <c r="X120" s="152"/>
      <c r="Y120" s="152"/>
      <c r="Z120" s="152"/>
    </row>
    <row r="121" ht="12.8" customHeight="1" spans="1:26">
      <c r="A121" s="152">
        <v>110</v>
      </c>
      <c r="B121" s="152" t="s">
        <v>637</v>
      </c>
      <c r="C121" s="152">
        <f>BE014_SynchronousBlockingNoTime!A5</f>
        <v>2</v>
      </c>
      <c r="D121" s="152">
        <f>BE014_SynchronousBlockingNoTime!C5</f>
        <v>0</v>
      </c>
      <c r="E121" s="152">
        <f>BE014_SynchronousBlockingNoTime!F5</f>
        <v>0</v>
      </c>
      <c r="F121" s="152">
        <f>BE014_SynchronousBlockingNoTime!L5</f>
        <v>1</v>
      </c>
      <c r="G121" s="152">
        <f>BE014_SynchronousBlockingNoTime!M5</f>
        <v>0</v>
      </c>
      <c r="H121" s="152">
        <f>BE014_SynchronousBlockingNoTime!N5</f>
        <v>1</v>
      </c>
      <c r="I121" s="152">
        <f>BE014_SynchronousBlockingNoTime!O5</f>
        <v>2</v>
      </c>
      <c r="J121" s="152"/>
      <c r="K121" s="152"/>
      <c r="L121" s="152"/>
      <c r="M121" s="152"/>
      <c r="N121" s="152"/>
      <c r="O121" s="152"/>
      <c r="P121" s="152"/>
      <c r="Q121" s="152"/>
      <c r="R121" s="152"/>
      <c r="S121" s="152"/>
      <c r="T121" s="152"/>
      <c r="U121" s="152"/>
      <c r="V121" s="152"/>
      <c r="W121" s="152"/>
      <c r="X121" s="152"/>
      <c r="Y121" s="152"/>
      <c r="Z121" s="152"/>
    </row>
    <row r="122" ht="12.8" customHeight="1" spans="1:26">
      <c r="A122" s="152">
        <v>111</v>
      </c>
      <c r="B122" s="152" t="s">
        <v>642</v>
      </c>
      <c r="C122" s="152">
        <f>BE015_NoCorsMiddlewareConfigure!A5</f>
        <v>2</v>
      </c>
      <c r="D122" s="152">
        <f>BE015_NoCorsMiddlewareConfigure!C5</f>
        <v>0</v>
      </c>
      <c r="E122" s="152">
        <f>BE015_NoCorsMiddlewareConfigure!F5</f>
        <v>0</v>
      </c>
      <c r="F122" s="152">
        <f>BE015_NoCorsMiddlewareConfigure!L5</f>
        <v>1</v>
      </c>
      <c r="G122" s="152">
        <f>BE015_NoCorsMiddlewareConfigure!M5</f>
        <v>0</v>
      </c>
      <c r="H122" s="152">
        <f>BE015_NoCorsMiddlewareConfigure!N5</f>
        <v>1</v>
      </c>
      <c r="I122" s="152">
        <f>BE015_NoCorsMiddlewareConfigure!O5</f>
        <v>2</v>
      </c>
      <c r="J122" s="152"/>
      <c r="K122" s="152"/>
      <c r="L122" s="152"/>
      <c r="M122" s="152"/>
      <c r="N122" s="152"/>
      <c r="O122" s="152"/>
      <c r="P122" s="152"/>
      <c r="Q122" s="152"/>
      <c r="R122" s="152"/>
      <c r="S122" s="152"/>
      <c r="T122" s="152"/>
      <c r="U122" s="152"/>
      <c r="V122" s="152"/>
      <c r="W122" s="152"/>
      <c r="X122" s="152"/>
      <c r="Y122" s="152"/>
      <c r="Z122" s="152"/>
    </row>
    <row r="123" ht="12.8" customHeight="1" spans="1:26">
      <c r="A123" s="152">
        <v>112</v>
      </c>
      <c r="B123" s="152" t="s">
        <v>647</v>
      </c>
      <c r="C123" s="152">
        <f>BE016_NoRateLimitingConfigured!A5</f>
        <v>2</v>
      </c>
      <c r="D123" s="152">
        <f>BE016_NoRateLimitingConfigured!C5</f>
        <v>0</v>
      </c>
      <c r="E123" s="152">
        <f>BE016_NoRateLimitingConfigured!F5</f>
        <v>0</v>
      </c>
      <c r="F123" s="152">
        <f>BE016_NoRateLimitingConfigured!L5</f>
        <v>0</v>
      </c>
      <c r="G123" s="152">
        <f>BE016_NoRateLimitingConfigured!M5</f>
        <v>0</v>
      </c>
      <c r="H123" s="152">
        <f>BE016_NoRateLimitingConfigured!N5</f>
        <v>2</v>
      </c>
      <c r="I123" s="152">
        <f>BE016_NoRateLimitingConfigured!O5</f>
        <v>2</v>
      </c>
      <c r="J123" s="152"/>
      <c r="K123" s="152"/>
      <c r="L123" s="152"/>
      <c r="M123" s="152"/>
      <c r="N123" s="152"/>
      <c r="O123" s="152"/>
      <c r="P123" s="152"/>
      <c r="Q123" s="152"/>
      <c r="R123" s="152"/>
      <c r="S123" s="152"/>
      <c r="T123" s="152"/>
      <c r="U123" s="152"/>
      <c r="V123" s="152"/>
      <c r="W123" s="152"/>
      <c r="X123" s="152"/>
      <c r="Y123" s="152"/>
      <c r="Z123" s="152"/>
    </row>
    <row r="124" ht="12.8" customHeight="1" spans="1:26">
      <c r="A124" s="152">
        <v>113</v>
      </c>
      <c r="B124" s="152" t="s">
        <v>652</v>
      </c>
      <c r="C124" s="152">
        <f>BE017_StartupNoFailFastValidati!A5</f>
        <v>3</v>
      </c>
      <c r="D124" s="152">
        <f>BE017_StartupNoFailFastValidati!C5</f>
        <v>0</v>
      </c>
      <c r="E124" s="152">
        <f>BE017_StartupNoFailFastValidati!F5</f>
        <v>0</v>
      </c>
      <c r="F124" s="152">
        <f>BE017_StartupNoFailFastValidati!L5</f>
        <v>0</v>
      </c>
      <c r="G124" s="152">
        <f>BE017_StartupNoFailFastValidati!M5</f>
        <v>0</v>
      </c>
      <c r="H124" s="152">
        <f>BE017_StartupNoFailFastValidati!N5</f>
        <v>3</v>
      </c>
      <c r="I124" s="152">
        <f>BE017_StartupNoFailFastValidati!O5</f>
        <v>3</v>
      </c>
      <c r="J124" s="152"/>
      <c r="K124" s="152"/>
      <c r="L124" s="152"/>
      <c r="M124" s="152"/>
      <c r="N124" s="152"/>
      <c r="O124" s="152"/>
      <c r="P124" s="152"/>
      <c r="Q124" s="152"/>
      <c r="R124" s="152"/>
      <c r="S124" s="152"/>
      <c r="T124" s="152"/>
      <c r="U124" s="152"/>
      <c r="V124" s="152"/>
      <c r="W124" s="152"/>
      <c r="X124" s="152"/>
      <c r="Y124" s="152"/>
      <c r="Z124" s="152"/>
    </row>
    <row r="125" ht="12.8" customHeight="1" spans="1:26">
      <c r="A125" s="152">
        <v>114</v>
      </c>
      <c r="B125" s="152" t="s">
        <v>657</v>
      </c>
      <c r="C125" s="152">
        <f>BE018_FileExtensionAllowList!A5</f>
        <v>9</v>
      </c>
      <c r="D125" s="152">
        <f>BE018_FileExtensionAllowList!C5</f>
        <v>0</v>
      </c>
      <c r="E125" s="152">
        <f>BE018_FileExtensionAllowList!F5</f>
        <v>0</v>
      </c>
      <c r="F125" s="152">
        <f>BE018_FileExtensionAllowList!L5</f>
        <v>7</v>
      </c>
      <c r="G125" s="152">
        <f>BE018_FileExtensionAllowList!M5</f>
        <v>2</v>
      </c>
      <c r="H125" s="152">
        <f>BE018_FileExtensionAllowList!N5</f>
        <v>0</v>
      </c>
      <c r="I125" s="152">
        <f>BE018_FileExtensionAllowList!O5</f>
        <v>9</v>
      </c>
      <c r="J125" s="152"/>
      <c r="K125" s="152"/>
      <c r="L125" s="152"/>
      <c r="M125" s="152"/>
      <c r="N125" s="152"/>
      <c r="O125" s="152"/>
      <c r="P125" s="152"/>
      <c r="Q125" s="152"/>
      <c r="R125" s="152"/>
      <c r="S125" s="152"/>
      <c r="T125" s="152"/>
      <c r="U125" s="152"/>
      <c r="V125" s="152"/>
      <c r="W125" s="152"/>
      <c r="X125" s="152"/>
      <c r="Y125" s="152"/>
      <c r="Z125" s="152"/>
    </row>
    <row r="126" ht="12.8" customHeight="1" spans="1:26">
      <c r="A126" s="152"/>
      <c r="B126" s="152" t="s">
        <v>673</v>
      </c>
      <c r="C126" s="152">
        <f t="shared" ref="C126:I126" si="0">SUM(C12:C125)</f>
        <v>392</v>
      </c>
      <c r="D126" s="152">
        <f t="shared" si="0"/>
        <v>0</v>
      </c>
      <c r="E126" s="152">
        <f t="shared" si="0"/>
        <v>0</v>
      </c>
      <c r="F126" s="152">
        <f t="shared" si="0"/>
        <v>229</v>
      </c>
      <c r="G126" s="152">
        <f t="shared" si="0"/>
        <v>120</v>
      </c>
      <c r="H126" s="152">
        <f t="shared" si="0"/>
        <v>43</v>
      </c>
      <c r="I126" s="152">
        <f t="shared" si="0"/>
        <v>392</v>
      </c>
      <c r="J126" s="152"/>
      <c r="K126" s="152"/>
      <c r="L126" s="152"/>
      <c r="M126" s="152"/>
      <c r="N126" s="152"/>
      <c r="O126" s="152"/>
      <c r="P126" s="152"/>
      <c r="Q126" s="152"/>
      <c r="R126" s="152"/>
      <c r="S126" s="152"/>
      <c r="T126" s="152"/>
      <c r="U126" s="152"/>
      <c r="V126" s="152"/>
      <c r="W126" s="152"/>
      <c r="X126" s="152"/>
      <c r="Y126" s="152"/>
      <c r="Z126" s="152"/>
    </row>
    <row r="127" ht="12.8" customHeight="1" spans="1:26">
      <c r="A127" s="152"/>
      <c r="B127" s="152"/>
      <c r="C127" s="152"/>
      <c r="D127" s="152"/>
      <c r="E127" s="152"/>
      <c r="F127" s="152"/>
      <c r="G127" s="152"/>
      <c r="H127" s="152"/>
      <c r="I127" s="152"/>
      <c r="J127" s="152"/>
      <c r="K127" s="152"/>
      <c r="L127" s="152"/>
      <c r="M127" s="152"/>
      <c r="N127" s="152"/>
      <c r="O127" s="152"/>
      <c r="P127" s="152"/>
      <c r="Q127" s="152"/>
      <c r="R127" s="152"/>
      <c r="S127" s="152"/>
      <c r="T127" s="152"/>
      <c r="U127" s="152"/>
      <c r="V127" s="152"/>
      <c r="W127" s="152"/>
      <c r="X127" s="152"/>
      <c r="Y127" s="152"/>
      <c r="Z127" s="152"/>
    </row>
    <row r="128" ht="12.8" customHeight="1" spans="1:26">
      <c r="A128" s="152"/>
      <c r="B128" s="152" t="s">
        <v>674</v>
      </c>
      <c r="C128" s="152"/>
      <c r="D128" s="152">
        <f>(C126+D126)*100/(I126)</f>
        <v>100</v>
      </c>
      <c r="E128" s="152" t="s">
        <v>675</v>
      </c>
      <c r="F128" s="152"/>
      <c r="G128" s="152"/>
      <c r="H128" s="152"/>
      <c r="I128" s="152"/>
      <c r="J128" s="152"/>
      <c r="K128" s="152"/>
      <c r="L128" s="152"/>
      <c r="M128" s="152"/>
      <c r="N128" s="152"/>
      <c r="O128" s="152"/>
      <c r="P128" s="152"/>
      <c r="Q128" s="152"/>
      <c r="R128" s="152"/>
      <c r="S128" s="152"/>
      <c r="T128" s="152"/>
      <c r="U128" s="152"/>
      <c r="V128" s="152"/>
      <c r="W128" s="152"/>
      <c r="X128" s="152"/>
      <c r="Y128" s="152"/>
      <c r="Z128" s="152"/>
    </row>
    <row r="129" ht="12.8" customHeight="1" spans="1:26">
      <c r="A129" s="152"/>
      <c r="B129" s="152" t="s">
        <v>676</v>
      </c>
      <c r="C129" s="152"/>
      <c r="D129" s="152">
        <f>C126*100/(I126)</f>
        <v>100</v>
      </c>
      <c r="E129" s="152" t="s">
        <v>675</v>
      </c>
      <c r="F129" s="152"/>
      <c r="G129" s="152"/>
      <c r="H129" s="152"/>
      <c r="I129" s="152"/>
      <c r="J129" s="152"/>
      <c r="K129" s="152"/>
      <c r="L129" s="152"/>
      <c r="M129" s="152"/>
      <c r="N129" s="152"/>
      <c r="O129" s="152"/>
      <c r="P129" s="152"/>
      <c r="Q129" s="152"/>
      <c r="R129" s="152"/>
      <c r="S129" s="152"/>
      <c r="T129" s="152"/>
      <c r="U129" s="152"/>
      <c r="V129" s="152"/>
      <c r="W129" s="152"/>
      <c r="X129" s="152"/>
      <c r="Y129" s="152"/>
      <c r="Z129" s="152"/>
    </row>
    <row r="130" ht="12.8" customHeight="1" spans="1:26">
      <c r="A130" s="152"/>
      <c r="B130" s="152" t="s">
        <v>677</v>
      </c>
      <c r="C130" s="152"/>
      <c r="D130" s="152">
        <f>F126*100/I126</f>
        <v>58.4183673469388</v>
      </c>
      <c r="E130" s="152" t="s">
        <v>675</v>
      </c>
      <c r="F130" s="152"/>
      <c r="G130" s="152"/>
      <c r="H130" s="152"/>
      <c r="I130" s="152"/>
      <c r="J130" s="152"/>
      <c r="K130" s="152"/>
      <c r="L130" s="152"/>
      <c r="M130" s="152"/>
      <c r="N130" s="152"/>
      <c r="O130" s="152"/>
      <c r="P130" s="152"/>
      <c r="Q130" s="152"/>
      <c r="R130" s="152"/>
      <c r="S130" s="152"/>
      <c r="T130" s="152"/>
      <c r="U130" s="152"/>
      <c r="V130" s="152"/>
      <c r="W130" s="152"/>
      <c r="X130" s="152"/>
      <c r="Y130" s="152"/>
      <c r="Z130" s="152"/>
    </row>
    <row r="131" ht="12.8" customHeight="1" spans="1:26">
      <c r="A131" s="152"/>
      <c r="B131" s="152" t="s">
        <v>678</v>
      </c>
      <c r="C131" s="152"/>
      <c r="D131" s="152">
        <f>G126*100/I126</f>
        <v>30.6122448979592</v>
      </c>
      <c r="E131" s="152" t="s">
        <v>675</v>
      </c>
      <c r="F131" s="152"/>
      <c r="G131" s="152"/>
      <c r="H131" s="152"/>
      <c r="I131" s="152"/>
      <c r="J131" s="152"/>
      <c r="K131" s="152"/>
      <c r="L131" s="152"/>
      <c r="M131" s="152"/>
      <c r="N131" s="152"/>
      <c r="O131" s="152"/>
      <c r="P131" s="152"/>
      <c r="Q131" s="152"/>
      <c r="R131" s="152"/>
      <c r="S131" s="152"/>
      <c r="T131" s="152"/>
      <c r="U131" s="152"/>
      <c r="V131" s="152"/>
      <c r="W131" s="152"/>
      <c r="X131" s="152"/>
      <c r="Y131" s="152"/>
      <c r="Z131" s="152"/>
    </row>
    <row r="132" ht="12.8" customHeight="1" spans="1:26">
      <c r="A132" s="152"/>
      <c r="B132" s="152" t="s">
        <v>679</v>
      </c>
      <c r="C132" s="152"/>
      <c r="D132" s="152">
        <f>H126*100/I126</f>
        <v>10.969387755102</v>
      </c>
      <c r="E132" s="152" t="s">
        <v>675</v>
      </c>
      <c r="F132" s="152"/>
      <c r="G132" s="152"/>
      <c r="H132" s="152"/>
      <c r="I132" s="152"/>
      <c r="J132" s="152"/>
      <c r="K132" s="152"/>
      <c r="L132" s="152"/>
      <c r="M132" s="152"/>
      <c r="N132" s="152"/>
      <c r="O132" s="152"/>
      <c r="P132" s="152"/>
      <c r="Q132" s="152"/>
      <c r="R132" s="152"/>
      <c r="S132" s="152"/>
      <c r="T132" s="152"/>
      <c r="U132" s="152"/>
      <c r="V132" s="152"/>
      <c r="W132" s="152"/>
      <c r="X132" s="152"/>
      <c r="Y132" s="152"/>
      <c r="Z132" s="152"/>
    </row>
    <row r="133" ht="12.8" customHeight="1" spans="1:26">
      <c r="A133" s="152"/>
      <c r="B133" s="152"/>
      <c r="C133" s="152"/>
      <c r="D133" s="152"/>
      <c r="E133" s="152"/>
      <c r="F133" s="152"/>
      <c r="G133" s="152"/>
      <c r="H133" s="152"/>
      <c r="I133" s="152"/>
      <c r="J133" s="152"/>
      <c r="K133" s="152"/>
      <c r="L133" s="152"/>
      <c r="M133" s="152"/>
      <c r="N133" s="152"/>
      <c r="O133" s="152"/>
      <c r="P133" s="152"/>
      <c r="Q133" s="152"/>
      <c r="R133" s="152"/>
      <c r="S133" s="152"/>
      <c r="T133" s="152"/>
      <c r="U133" s="152"/>
      <c r="V133" s="152"/>
      <c r="W133" s="152"/>
      <c r="X133" s="152"/>
      <c r="Y133" s="152"/>
      <c r="Z133" s="152"/>
    </row>
    <row r="134" ht="12.8" customHeight="1" spans="1:26">
      <c r="A134" s="152"/>
      <c r="B134" s="152"/>
      <c r="C134" s="152"/>
      <c r="D134" s="152"/>
      <c r="E134" s="152"/>
      <c r="F134" s="152"/>
      <c r="G134" s="152"/>
      <c r="H134" s="152"/>
      <c r="I134" s="152"/>
      <c r="J134" s="152"/>
      <c r="K134" s="152"/>
      <c r="L134" s="152"/>
      <c r="M134" s="152"/>
      <c r="N134" s="152"/>
      <c r="O134" s="152"/>
      <c r="P134" s="152"/>
      <c r="Q134" s="152"/>
      <c r="R134" s="152"/>
      <c r="S134" s="152"/>
      <c r="T134" s="152"/>
      <c r="U134" s="152"/>
      <c r="V134" s="152"/>
      <c r="W134" s="152"/>
      <c r="X134" s="152"/>
      <c r="Y134" s="152"/>
      <c r="Z134" s="152"/>
    </row>
    <row r="135" ht="12.8" customHeight="1" spans="1:26">
      <c r="A135" s="152"/>
      <c r="B135" s="152"/>
      <c r="C135" s="152"/>
      <c r="D135" s="152"/>
      <c r="E135" s="152"/>
      <c r="F135" s="152"/>
      <c r="G135" s="152"/>
      <c r="H135" s="152"/>
      <c r="I135" s="152"/>
      <c r="J135" s="152"/>
      <c r="K135" s="152"/>
      <c r="L135" s="152"/>
      <c r="M135" s="152"/>
      <c r="N135" s="152"/>
      <c r="O135" s="152"/>
      <c r="P135" s="152"/>
      <c r="Q135" s="152"/>
      <c r="R135" s="152"/>
      <c r="S135" s="152"/>
      <c r="T135" s="152"/>
      <c r="U135" s="152"/>
      <c r="V135" s="152"/>
      <c r="W135" s="152"/>
      <c r="X135" s="152"/>
      <c r="Y135" s="152"/>
      <c r="Z135" s="152"/>
    </row>
    <row r="136" ht="12.8" customHeight="1" spans="1:26">
      <c r="A136" s="152"/>
      <c r="B136" s="152"/>
      <c r="C136" s="152"/>
      <c r="D136" s="152"/>
      <c r="E136" s="152"/>
      <c r="F136" s="152"/>
      <c r="G136" s="152"/>
      <c r="H136" s="152"/>
      <c r="I136" s="152"/>
      <c r="J136" s="152"/>
      <c r="K136" s="152"/>
      <c r="L136" s="152"/>
      <c r="M136" s="152"/>
      <c r="N136" s="152"/>
      <c r="O136" s="152"/>
      <c r="P136" s="152"/>
      <c r="Q136" s="152"/>
      <c r="R136" s="152"/>
      <c r="S136" s="152"/>
      <c r="T136" s="152"/>
      <c r="U136" s="152"/>
      <c r="V136" s="152"/>
      <c r="W136" s="152"/>
      <c r="X136" s="152"/>
      <c r="Y136" s="152"/>
      <c r="Z136" s="152"/>
    </row>
    <row r="137" ht="12.8" customHeight="1" spans="1:26">
      <c r="A137" s="152"/>
      <c r="B137" s="152"/>
      <c r="C137" s="152"/>
      <c r="D137" s="152"/>
      <c r="E137" s="152"/>
      <c r="F137" s="152"/>
      <c r="G137" s="152"/>
      <c r="H137" s="152"/>
      <c r="I137" s="152"/>
      <c r="J137" s="152"/>
      <c r="K137" s="152"/>
      <c r="L137" s="152"/>
      <c r="M137" s="152"/>
      <c r="N137" s="152"/>
      <c r="O137" s="152"/>
      <c r="P137" s="152"/>
      <c r="Q137" s="152"/>
      <c r="R137" s="152"/>
      <c r="S137" s="152"/>
      <c r="T137" s="152"/>
      <c r="U137" s="152"/>
      <c r="V137" s="152"/>
      <c r="W137" s="152"/>
      <c r="X137" s="152"/>
      <c r="Y137" s="152"/>
      <c r="Z137" s="152"/>
    </row>
    <row r="138" ht="12.8" customHeight="1" spans="1:26">
      <c r="A138" s="152"/>
      <c r="B138" s="152"/>
      <c r="C138" s="152"/>
      <c r="D138" s="152"/>
      <c r="E138" s="152"/>
      <c r="F138" s="152"/>
      <c r="G138" s="152"/>
      <c r="H138" s="152"/>
      <c r="I138" s="152"/>
      <c r="J138" s="152"/>
      <c r="K138" s="152"/>
      <c r="L138" s="152"/>
      <c r="M138" s="152"/>
      <c r="N138" s="152"/>
      <c r="O138" s="152"/>
      <c r="P138" s="152"/>
      <c r="Q138" s="152"/>
      <c r="R138" s="152"/>
      <c r="S138" s="152"/>
      <c r="T138" s="152"/>
      <c r="U138" s="152"/>
      <c r="V138" s="152"/>
      <c r="W138" s="152"/>
      <c r="X138" s="152"/>
      <c r="Y138" s="152"/>
      <c r="Z138" s="152"/>
    </row>
    <row r="139" ht="12.8" customHeight="1" spans="1:26">
      <c r="A139" s="152"/>
      <c r="B139" s="152"/>
      <c r="C139" s="152"/>
      <c r="D139" s="152"/>
      <c r="E139" s="152"/>
      <c r="F139" s="152"/>
      <c r="G139" s="152"/>
      <c r="H139" s="152"/>
      <c r="I139" s="152"/>
      <c r="J139" s="152"/>
      <c r="K139" s="152"/>
      <c r="L139" s="152"/>
      <c r="M139" s="152"/>
      <c r="N139" s="152"/>
      <c r="O139" s="152"/>
      <c r="P139" s="152"/>
      <c r="Q139" s="152"/>
      <c r="R139" s="152"/>
      <c r="S139" s="152"/>
      <c r="T139" s="152"/>
      <c r="U139" s="152"/>
      <c r="V139" s="152"/>
      <c r="W139" s="152"/>
      <c r="X139" s="152"/>
      <c r="Y139" s="152"/>
      <c r="Z139" s="152"/>
    </row>
    <row r="140" ht="12.8" customHeight="1" spans="1:26">
      <c r="A140" s="152"/>
      <c r="B140" s="152"/>
      <c r="C140" s="152"/>
      <c r="D140" s="152"/>
      <c r="E140" s="152"/>
      <c r="F140" s="152"/>
      <c r="G140" s="152"/>
      <c r="H140" s="152"/>
      <c r="I140" s="152"/>
      <c r="J140" s="152"/>
      <c r="K140" s="152"/>
      <c r="L140" s="152"/>
      <c r="M140" s="152"/>
      <c r="N140" s="152"/>
      <c r="O140" s="152"/>
      <c r="P140" s="152"/>
      <c r="Q140" s="152"/>
      <c r="R140" s="152"/>
      <c r="S140" s="152"/>
      <c r="T140" s="152"/>
      <c r="U140" s="152"/>
      <c r="V140" s="152"/>
      <c r="W140" s="152"/>
      <c r="X140" s="152"/>
      <c r="Y140" s="152"/>
      <c r="Z140" s="152"/>
    </row>
    <row r="141" ht="12.8" customHeight="1" spans="1:26">
      <c r="A141" s="152"/>
      <c r="B141" s="152"/>
      <c r="C141" s="152"/>
      <c r="D141" s="152"/>
      <c r="E141" s="152"/>
      <c r="F141" s="152"/>
      <c r="G141" s="152"/>
      <c r="H141" s="152"/>
      <c r="I141" s="152"/>
      <c r="J141" s="152"/>
      <c r="K141" s="152"/>
      <c r="L141" s="152"/>
      <c r="M141" s="152"/>
      <c r="N141" s="152"/>
      <c r="O141" s="152"/>
      <c r="P141" s="152"/>
      <c r="Q141" s="152"/>
      <c r="R141" s="152"/>
      <c r="S141" s="152"/>
      <c r="T141" s="152"/>
      <c r="U141" s="152"/>
      <c r="V141" s="152"/>
      <c r="W141" s="152"/>
      <c r="X141" s="152"/>
      <c r="Y141" s="152"/>
      <c r="Z141" s="152"/>
    </row>
    <row r="142" ht="12.8" customHeight="1" spans="1:26">
      <c r="A142" s="152"/>
      <c r="B142" s="152"/>
      <c r="C142" s="152"/>
      <c r="D142" s="152"/>
      <c r="E142" s="152"/>
      <c r="F142" s="152"/>
      <c r="G142" s="152"/>
      <c r="H142" s="152"/>
      <c r="I142" s="152"/>
      <c r="J142" s="152"/>
      <c r="K142" s="152"/>
      <c r="L142" s="152"/>
      <c r="M142" s="152"/>
      <c r="N142" s="152"/>
      <c r="O142" s="152"/>
      <c r="P142" s="152"/>
      <c r="Q142" s="152"/>
      <c r="R142" s="152"/>
      <c r="S142" s="152"/>
      <c r="T142" s="152"/>
      <c r="U142" s="152"/>
      <c r="V142" s="152"/>
      <c r="W142" s="152"/>
      <c r="X142" s="152"/>
      <c r="Y142" s="152"/>
      <c r="Z142" s="152"/>
    </row>
    <row r="143" ht="12.8" customHeight="1" spans="1:26">
      <c r="A143" s="152"/>
      <c r="B143" s="152"/>
      <c r="C143" s="152"/>
      <c r="D143" s="152"/>
      <c r="E143" s="152"/>
      <c r="F143" s="152"/>
      <c r="G143" s="152"/>
      <c r="H143" s="152"/>
      <c r="I143" s="152"/>
      <c r="J143" s="152"/>
      <c r="K143" s="152"/>
      <c r="L143" s="152"/>
      <c r="M143" s="152"/>
      <c r="N143" s="152"/>
      <c r="O143" s="152"/>
      <c r="P143" s="152"/>
      <c r="Q143" s="152"/>
      <c r="R143" s="152"/>
      <c r="S143" s="152"/>
      <c r="T143" s="152"/>
      <c r="U143" s="152"/>
      <c r="V143" s="152"/>
      <c r="W143" s="152"/>
      <c r="X143" s="152"/>
      <c r="Y143" s="152"/>
      <c r="Z143" s="152"/>
    </row>
    <row r="144" ht="12.8" customHeight="1" spans="1:26">
      <c r="A144" s="152"/>
      <c r="B144" s="152"/>
      <c r="C144" s="152"/>
      <c r="D144" s="152"/>
      <c r="E144" s="152"/>
      <c r="F144" s="152"/>
      <c r="G144" s="152"/>
      <c r="H144" s="152"/>
      <c r="I144" s="152"/>
      <c r="J144" s="152"/>
      <c r="K144" s="152"/>
      <c r="L144" s="152"/>
      <c r="M144" s="152"/>
      <c r="N144" s="152"/>
      <c r="O144" s="152"/>
      <c r="P144" s="152"/>
      <c r="Q144" s="152"/>
      <c r="R144" s="152"/>
      <c r="S144" s="152"/>
      <c r="T144" s="152"/>
      <c r="U144" s="152"/>
      <c r="V144" s="152"/>
      <c r="W144" s="152"/>
      <c r="X144" s="152"/>
      <c r="Y144" s="152"/>
      <c r="Z144" s="152"/>
    </row>
    <row r="145" ht="12.8" customHeight="1" spans="1:26">
      <c r="A145" s="152"/>
      <c r="B145" s="152"/>
      <c r="C145" s="152"/>
      <c r="D145" s="152"/>
      <c r="E145" s="152"/>
      <c r="F145" s="152"/>
      <c r="G145" s="152"/>
      <c r="H145" s="152"/>
      <c r="I145" s="152"/>
      <c r="J145" s="152"/>
      <c r="K145" s="152"/>
      <c r="L145" s="152"/>
      <c r="M145" s="152"/>
      <c r="N145" s="152"/>
      <c r="O145" s="152"/>
      <c r="P145" s="152"/>
      <c r="Q145" s="152"/>
      <c r="R145" s="152"/>
      <c r="S145" s="152"/>
      <c r="T145" s="152"/>
      <c r="U145" s="152"/>
      <c r="V145" s="152"/>
      <c r="W145" s="152"/>
      <c r="X145" s="152"/>
      <c r="Y145" s="152"/>
      <c r="Z145" s="152"/>
    </row>
    <row r="146" ht="12.8" customHeight="1" spans="1:26">
      <c r="A146" s="152"/>
      <c r="B146" s="152"/>
      <c r="C146" s="152"/>
      <c r="D146" s="152"/>
      <c r="E146" s="152"/>
      <c r="F146" s="152"/>
      <c r="G146" s="152"/>
      <c r="H146" s="152"/>
      <c r="I146" s="152"/>
      <c r="J146" s="152"/>
      <c r="K146" s="152"/>
      <c r="L146" s="152"/>
      <c r="M146" s="152"/>
      <c r="N146" s="152"/>
      <c r="O146" s="152"/>
      <c r="P146" s="152"/>
      <c r="Q146" s="152"/>
      <c r="R146" s="152"/>
      <c r="S146" s="152"/>
      <c r="T146" s="152"/>
      <c r="U146" s="152"/>
      <c r="V146" s="152"/>
      <c r="W146" s="152"/>
      <c r="X146" s="152"/>
      <c r="Y146" s="152"/>
      <c r="Z146" s="152"/>
    </row>
    <row r="147" ht="12.8" customHeight="1" spans="1:26">
      <c r="A147" s="152"/>
      <c r="B147" s="152"/>
      <c r="C147" s="152"/>
      <c r="D147" s="152"/>
      <c r="E147" s="152"/>
      <c r="F147" s="152"/>
      <c r="G147" s="152"/>
      <c r="H147" s="152"/>
      <c r="I147" s="152"/>
      <c r="J147" s="152"/>
      <c r="K147" s="152"/>
      <c r="L147" s="152"/>
      <c r="M147" s="152"/>
      <c r="N147" s="152"/>
      <c r="O147" s="152"/>
      <c r="P147" s="152"/>
      <c r="Q147" s="152"/>
      <c r="R147" s="152"/>
      <c r="S147" s="152"/>
      <c r="T147" s="152"/>
      <c r="U147" s="152"/>
      <c r="V147" s="152"/>
      <c r="W147" s="152"/>
      <c r="X147" s="152"/>
      <c r="Y147" s="152"/>
      <c r="Z147" s="152"/>
    </row>
    <row r="148" ht="12.8" customHeight="1" spans="1:26">
      <c r="A148" s="152"/>
      <c r="B148" s="152"/>
      <c r="C148" s="152"/>
      <c r="D148" s="152"/>
      <c r="E148" s="152"/>
      <c r="F148" s="152"/>
      <c r="G148" s="152"/>
      <c r="H148" s="152"/>
      <c r="I148" s="152"/>
      <c r="J148" s="152"/>
      <c r="K148" s="152"/>
      <c r="L148" s="152"/>
      <c r="M148" s="152"/>
      <c r="N148" s="152"/>
      <c r="O148" s="152"/>
      <c r="P148" s="152"/>
      <c r="Q148" s="152"/>
      <c r="R148" s="152"/>
      <c r="S148" s="152"/>
      <c r="T148" s="152"/>
      <c r="U148" s="152"/>
      <c r="V148" s="152"/>
      <c r="W148" s="152"/>
      <c r="X148" s="152"/>
      <c r="Y148" s="152"/>
      <c r="Z148" s="152"/>
    </row>
    <row r="149" ht="12.8" customHeight="1" spans="1:26">
      <c r="A149" s="152"/>
      <c r="B149" s="152"/>
      <c r="C149" s="152"/>
      <c r="D149" s="152"/>
      <c r="E149" s="152"/>
      <c r="F149" s="152"/>
      <c r="G149" s="152"/>
      <c r="H149" s="152"/>
      <c r="I149" s="152"/>
      <c r="J149" s="152"/>
      <c r="K149" s="152"/>
      <c r="L149" s="152"/>
      <c r="M149" s="152"/>
      <c r="N149" s="152"/>
      <c r="O149" s="152"/>
      <c r="P149" s="152"/>
      <c r="Q149" s="152"/>
      <c r="R149" s="152"/>
      <c r="S149" s="152"/>
      <c r="T149" s="152"/>
      <c r="U149" s="152"/>
      <c r="V149" s="152"/>
      <c r="W149" s="152"/>
      <c r="X149" s="152"/>
      <c r="Y149" s="152"/>
      <c r="Z149" s="152"/>
    </row>
    <row r="150" ht="12.8" customHeight="1" spans="1:26">
      <c r="A150" s="152"/>
      <c r="B150" s="152"/>
      <c r="C150" s="152"/>
      <c r="D150" s="152"/>
      <c r="E150" s="152"/>
      <c r="F150" s="152"/>
      <c r="G150" s="152"/>
      <c r="H150" s="152"/>
      <c r="I150" s="152"/>
      <c r="J150" s="152"/>
      <c r="K150" s="152"/>
      <c r="L150" s="152"/>
      <c r="M150" s="152"/>
      <c r="N150" s="152"/>
      <c r="O150" s="152"/>
      <c r="P150" s="152"/>
      <c r="Q150" s="152"/>
      <c r="R150" s="152"/>
      <c r="S150" s="152"/>
      <c r="T150" s="152"/>
      <c r="U150" s="152"/>
      <c r="V150" s="152"/>
      <c r="W150" s="152"/>
      <c r="X150" s="152"/>
      <c r="Y150" s="152"/>
      <c r="Z150" s="152"/>
    </row>
    <row r="151" ht="12.8" customHeight="1" spans="1:26">
      <c r="A151" s="152"/>
      <c r="B151" s="152"/>
      <c r="C151" s="152"/>
      <c r="D151" s="152"/>
      <c r="E151" s="152"/>
      <c r="F151" s="152"/>
      <c r="G151" s="152"/>
      <c r="H151" s="152"/>
      <c r="I151" s="152"/>
      <c r="J151" s="152"/>
      <c r="K151" s="152"/>
      <c r="L151" s="152"/>
      <c r="M151" s="152"/>
      <c r="N151" s="152"/>
      <c r="O151" s="152"/>
      <c r="P151" s="152"/>
      <c r="Q151" s="152"/>
      <c r="R151" s="152"/>
      <c r="S151" s="152"/>
      <c r="T151" s="152"/>
      <c r="U151" s="152"/>
      <c r="V151" s="152"/>
      <c r="W151" s="152"/>
      <c r="X151" s="152"/>
      <c r="Y151" s="152"/>
      <c r="Z151" s="152"/>
    </row>
    <row r="152" ht="12.8" customHeight="1" spans="1:26">
      <c r="A152" s="152"/>
      <c r="B152" s="152"/>
      <c r="C152" s="152"/>
      <c r="D152" s="152"/>
      <c r="E152" s="152"/>
      <c r="F152" s="152"/>
      <c r="G152" s="152"/>
      <c r="H152" s="152"/>
      <c r="I152" s="152"/>
      <c r="J152" s="152"/>
      <c r="K152" s="152"/>
      <c r="L152" s="152"/>
      <c r="M152" s="152"/>
      <c r="N152" s="152"/>
      <c r="O152" s="152"/>
      <c r="P152" s="152"/>
      <c r="Q152" s="152"/>
      <c r="R152" s="152"/>
      <c r="S152" s="152"/>
      <c r="T152" s="152"/>
      <c r="U152" s="152"/>
      <c r="V152" s="152"/>
      <c r="W152" s="152"/>
      <c r="X152" s="152"/>
      <c r="Y152" s="152"/>
      <c r="Z152" s="152"/>
    </row>
    <row r="153" ht="12.8" customHeight="1" spans="1:26">
      <c r="A153" s="152"/>
      <c r="B153" s="152"/>
      <c r="C153" s="152"/>
      <c r="D153" s="152"/>
      <c r="E153" s="152"/>
      <c r="F153" s="152"/>
      <c r="G153" s="152"/>
      <c r="H153" s="152"/>
      <c r="I153" s="152"/>
      <c r="J153" s="152"/>
      <c r="K153" s="152"/>
      <c r="L153" s="152"/>
      <c r="M153" s="152"/>
      <c r="N153" s="152"/>
      <c r="O153" s="152"/>
      <c r="P153" s="152"/>
      <c r="Q153" s="152"/>
      <c r="R153" s="152"/>
      <c r="S153" s="152"/>
      <c r="T153" s="152"/>
      <c r="U153" s="152"/>
      <c r="V153" s="152"/>
      <c r="W153" s="152"/>
      <c r="X153" s="152"/>
      <c r="Y153" s="152"/>
      <c r="Z153" s="152"/>
    </row>
    <row r="154" ht="12.8" customHeight="1" spans="1:26">
      <c r="A154" s="152"/>
      <c r="B154" s="152"/>
      <c r="C154" s="152"/>
      <c r="D154" s="152"/>
      <c r="E154" s="152"/>
      <c r="F154" s="152"/>
      <c r="G154" s="152"/>
      <c r="H154" s="152"/>
      <c r="I154" s="152"/>
      <c r="J154" s="152"/>
      <c r="K154" s="152"/>
      <c r="L154" s="152"/>
      <c r="M154" s="152"/>
      <c r="N154" s="152"/>
      <c r="O154" s="152"/>
      <c r="P154" s="152"/>
      <c r="Q154" s="152"/>
      <c r="R154" s="152"/>
      <c r="S154" s="152"/>
      <c r="T154" s="152"/>
      <c r="U154" s="152"/>
      <c r="V154" s="152"/>
      <c r="W154" s="152"/>
      <c r="X154" s="152"/>
      <c r="Y154" s="152"/>
      <c r="Z154" s="152"/>
    </row>
    <row r="155" ht="12.8" customHeight="1" spans="1:26">
      <c r="A155" s="152"/>
      <c r="B155" s="152"/>
      <c r="C155" s="152"/>
      <c r="D155" s="152"/>
      <c r="E155" s="152"/>
      <c r="F155" s="152"/>
      <c r="G155" s="152"/>
      <c r="H155" s="152"/>
      <c r="I155" s="152"/>
      <c r="J155" s="152"/>
      <c r="K155" s="152"/>
      <c r="L155" s="152"/>
      <c r="M155" s="152"/>
      <c r="N155" s="152"/>
      <c r="O155" s="152"/>
      <c r="P155" s="152"/>
      <c r="Q155" s="152"/>
      <c r="R155" s="152"/>
      <c r="S155" s="152"/>
      <c r="T155" s="152"/>
      <c r="U155" s="152"/>
      <c r="V155" s="152"/>
      <c r="W155" s="152"/>
      <c r="X155" s="152"/>
      <c r="Y155" s="152"/>
      <c r="Z155" s="152"/>
    </row>
    <row r="156" ht="12.8" customHeight="1" spans="1:26">
      <c r="A156" s="152"/>
      <c r="B156" s="152"/>
      <c r="C156" s="152"/>
      <c r="D156" s="152"/>
      <c r="E156" s="152"/>
      <c r="F156" s="152"/>
      <c r="G156" s="152"/>
      <c r="H156" s="152"/>
      <c r="I156" s="152"/>
      <c r="J156" s="152"/>
      <c r="K156" s="152"/>
      <c r="L156" s="152"/>
      <c r="M156" s="152"/>
      <c r="N156" s="152"/>
      <c r="O156" s="152"/>
      <c r="P156" s="152"/>
      <c r="Q156" s="152"/>
      <c r="R156" s="152"/>
      <c r="S156" s="152"/>
      <c r="T156" s="152"/>
      <c r="U156" s="152"/>
      <c r="V156" s="152"/>
      <c r="W156" s="152"/>
      <c r="X156" s="152"/>
      <c r="Y156" s="152"/>
      <c r="Z156" s="152"/>
    </row>
    <row r="157" ht="12.8" customHeight="1" spans="1:26">
      <c r="A157" s="152"/>
      <c r="B157" s="152"/>
      <c r="C157" s="152"/>
      <c r="D157" s="152"/>
      <c r="E157" s="152"/>
      <c r="F157" s="152"/>
      <c r="G157" s="152"/>
      <c r="H157" s="152"/>
      <c r="I157" s="152"/>
      <c r="J157" s="152"/>
      <c r="K157" s="152"/>
      <c r="L157" s="152"/>
      <c r="M157" s="152"/>
      <c r="N157" s="152"/>
      <c r="O157" s="152"/>
      <c r="P157" s="152"/>
      <c r="Q157" s="152"/>
      <c r="R157" s="152"/>
      <c r="S157" s="152"/>
      <c r="T157" s="152"/>
      <c r="U157" s="152"/>
      <c r="V157" s="152"/>
      <c r="W157" s="152"/>
      <c r="X157" s="152"/>
      <c r="Y157" s="152"/>
      <c r="Z157" s="152"/>
    </row>
    <row r="158" ht="12.8" customHeight="1" spans="1:26">
      <c r="A158" s="152"/>
      <c r="B158" s="152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</row>
    <row r="159" ht="12.8" customHeight="1" spans="1:26">
      <c r="A159" s="152"/>
      <c r="B159" s="152"/>
      <c r="C159" s="152"/>
      <c r="D159" s="152"/>
      <c r="E159" s="152"/>
      <c r="F159" s="152"/>
      <c r="G159" s="152"/>
      <c r="H159" s="152"/>
      <c r="I159" s="152"/>
      <c r="J159" s="152"/>
      <c r="K159" s="152"/>
      <c r="L159" s="152"/>
      <c r="M159" s="152"/>
      <c r="N159" s="152"/>
      <c r="O159" s="152"/>
      <c r="P159" s="152"/>
      <c r="Q159" s="152"/>
      <c r="R159" s="152"/>
      <c r="S159" s="152"/>
      <c r="T159" s="152"/>
      <c r="U159" s="152"/>
      <c r="V159" s="152"/>
      <c r="W159" s="152"/>
      <c r="X159" s="152"/>
      <c r="Y159" s="152"/>
      <c r="Z159" s="152"/>
    </row>
    <row r="160" ht="12.8" customHeight="1" spans="1:26">
      <c r="A160" s="152"/>
      <c r="B160" s="152"/>
      <c r="C160" s="152"/>
      <c r="D160" s="152"/>
      <c r="E160" s="152"/>
      <c r="F160" s="152"/>
      <c r="G160" s="152"/>
      <c r="H160" s="152"/>
      <c r="I160" s="152"/>
      <c r="J160" s="152"/>
      <c r="K160" s="152"/>
      <c r="L160" s="152"/>
      <c r="M160" s="152"/>
      <c r="N160" s="152"/>
      <c r="O160" s="152"/>
      <c r="P160" s="152"/>
      <c r="Q160" s="152"/>
      <c r="R160" s="152"/>
      <c r="S160" s="152"/>
      <c r="T160" s="152"/>
      <c r="U160" s="152"/>
      <c r="V160" s="152"/>
      <c r="W160" s="152"/>
      <c r="X160" s="152"/>
      <c r="Y160" s="152"/>
      <c r="Z160" s="152"/>
    </row>
    <row r="161" ht="12.8" customHeight="1" spans="1:26">
      <c r="A161" s="152"/>
      <c r="B161" s="152"/>
      <c r="C161" s="152"/>
      <c r="D161" s="152"/>
      <c r="E161" s="152"/>
      <c r="F161" s="152"/>
      <c r="G161" s="152"/>
      <c r="H161" s="152"/>
      <c r="I161" s="152"/>
      <c r="J161" s="152"/>
      <c r="K161" s="152"/>
      <c r="L161" s="152"/>
      <c r="M161" s="152"/>
      <c r="N161" s="152"/>
      <c r="O161" s="152"/>
      <c r="P161" s="152"/>
      <c r="Q161" s="152"/>
      <c r="R161" s="152"/>
      <c r="S161" s="152"/>
      <c r="T161" s="152"/>
      <c r="U161" s="152"/>
      <c r="V161" s="152"/>
      <c r="W161" s="152"/>
      <c r="X161" s="152"/>
      <c r="Y161" s="152"/>
      <c r="Z161" s="152"/>
    </row>
    <row r="162" ht="12.8" customHeight="1" spans="1:26">
      <c r="A162" s="152"/>
      <c r="B162" s="152"/>
      <c r="C162" s="152"/>
      <c r="D162" s="152"/>
      <c r="E162" s="152"/>
      <c r="F162" s="152"/>
      <c r="G162" s="152"/>
      <c r="H162" s="152"/>
      <c r="I162" s="152"/>
      <c r="J162" s="152"/>
      <c r="K162" s="152"/>
      <c r="L162" s="152"/>
      <c r="M162" s="152"/>
      <c r="N162" s="152"/>
      <c r="O162" s="152"/>
      <c r="P162" s="152"/>
      <c r="Q162" s="152"/>
      <c r="R162" s="152"/>
      <c r="S162" s="152"/>
      <c r="T162" s="152"/>
      <c r="U162" s="152"/>
      <c r="V162" s="152"/>
      <c r="W162" s="152"/>
      <c r="X162" s="152"/>
      <c r="Y162" s="152"/>
      <c r="Z162" s="152"/>
    </row>
    <row r="163" ht="12.8" customHeight="1" spans="1:26">
      <c r="A163" s="152"/>
      <c r="B163" s="152"/>
      <c r="C163" s="152"/>
      <c r="D163" s="152"/>
      <c r="E163" s="152"/>
      <c r="F163" s="152"/>
      <c r="G163" s="152"/>
      <c r="H163" s="152"/>
      <c r="I163" s="152"/>
      <c r="J163" s="152"/>
      <c r="K163" s="152"/>
      <c r="L163" s="152"/>
      <c r="M163" s="152"/>
      <c r="N163" s="152"/>
      <c r="O163" s="152"/>
      <c r="P163" s="152"/>
      <c r="Q163" s="152"/>
      <c r="R163" s="152"/>
      <c r="S163" s="152"/>
      <c r="T163" s="152"/>
      <c r="U163" s="152"/>
      <c r="V163" s="152"/>
      <c r="W163" s="152"/>
      <c r="X163" s="152"/>
      <c r="Y163" s="152"/>
      <c r="Z163" s="152"/>
    </row>
    <row r="164" ht="12.8" customHeight="1" spans="1:26">
      <c r="A164" s="152"/>
      <c r="B164" s="152"/>
      <c r="C164" s="152"/>
      <c r="D164" s="152"/>
      <c r="E164" s="152"/>
      <c r="F164" s="152"/>
      <c r="G164" s="152"/>
      <c r="H164" s="152"/>
      <c r="I164" s="152"/>
      <c r="J164" s="152"/>
      <c r="K164" s="152"/>
      <c r="L164" s="152"/>
      <c r="M164" s="152"/>
      <c r="N164" s="152"/>
      <c r="O164" s="152"/>
      <c r="P164" s="152"/>
      <c r="Q164" s="152"/>
      <c r="R164" s="152"/>
      <c r="S164" s="152"/>
      <c r="T164" s="152"/>
      <c r="U164" s="152"/>
      <c r="V164" s="152"/>
      <c r="W164" s="152"/>
      <c r="X164" s="152"/>
      <c r="Y164" s="152"/>
      <c r="Z164" s="152"/>
    </row>
    <row r="165" ht="12.8" customHeight="1" spans="1:26">
      <c r="A165" s="152"/>
      <c r="B165" s="152"/>
      <c r="C165" s="152"/>
      <c r="D165" s="152"/>
      <c r="E165" s="152"/>
      <c r="F165" s="152"/>
      <c r="G165" s="152"/>
      <c r="H165" s="152"/>
      <c r="I165" s="152"/>
      <c r="J165" s="152"/>
      <c r="K165" s="152"/>
      <c r="L165" s="152"/>
      <c r="M165" s="152"/>
      <c r="N165" s="152"/>
      <c r="O165" s="152"/>
      <c r="P165" s="152"/>
      <c r="Q165" s="152"/>
      <c r="R165" s="152"/>
      <c r="S165" s="152"/>
      <c r="T165" s="152"/>
      <c r="U165" s="152"/>
      <c r="V165" s="152"/>
      <c r="W165" s="152"/>
      <c r="X165" s="152"/>
      <c r="Y165" s="152"/>
      <c r="Z165" s="152"/>
    </row>
    <row r="166" ht="12.8" customHeight="1" spans="1:26">
      <c r="A166" s="152"/>
      <c r="B166" s="152"/>
      <c r="C166" s="152"/>
      <c r="D166" s="152"/>
      <c r="E166" s="152"/>
      <c r="F166" s="152"/>
      <c r="G166" s="152"/>
      <c r="H166" s="152"/>
      <c r="I166" s="152"/>
      <c r="J166" s="152"/>
      <c r="K166" s="152"/>
      <c r="L166" s="152"/>
      <c r="M166" s="152"/>
      <c r="N166" s="152"/>
      <c r="O166" s="152"/>
      <c r="P166" s="152"/>
      <c r="Q166" s="152"/>
      <c r="R166" s="152"/>
      <c r="S166" s="152"/>
      <c r="T166" s="152"/>
      <c r="U166" s="152"/>
      <c r="V166" s="152"/>
      <c r="W166" s="152"/>
      <c r="X166" s="152"/>
      <c r="Y166" s="152"/>
      <c r="Z166" s="152"/>
    </row>
    <row r="167" ht="12.8" customHeight="1" spans="1:26">
      <c r="A167" s="152"/>
      <c r="B167" s="152"/>
      <c r="C167" s="152"/>
      <c r="D167" s="152"/>
      <c r="E167" s="152"/>
      <c r="F167" s="152"/>
      <c r="G167" s="152"/>
      <c r="H167" s="152"/>
      <c r="I167" s="152"/>
      <c r="J167" s="152"/>
      <c r="K167" s="152"/>
      <c r="L167" s="152"/>
      <c r="M167" s="152"/>
      <c r="N167" s="152"/>
      <c r="O167" s="152"/>
      <c r="P167" s="152"/>
      <c r="Q167" s="152"/>
      <c r="R167" s="152"/>
      <c r="S167" s="152"/>
      <c r="T167" s="152"/>
      <c r="U167" s="152"/>
      <c r="V167" s="152"/>
      <c r="W167" s="152"/>
      <c r="X167" s="152"/>
      <c r="Y167" s="152"/>
      <c r="Z167" s="152"/>
    </row>
    <row r="168" ht="12.8" customHeight="1" spans="1:26">
      <c r="A168" s="152"/>
      <c r="B168" s="152"/>
      <c r="C168" s="152"/>
      <c r="D168" s="152"/>
      <c r="E168" s="152"/>
      <c r="F168" s="152"/>
      <c r="G168" s="152"/>
      <c r="H168" s="152"/>
      <c r="I168" s="152"/>
      <c r="J168" s="152"/>
      <c r="K168" s="152"/>
      <c r="L168" s="152"/>
      <c r="M168" s="152"/>
      <c r="N168" s="152"/>
      <c r="O168" s="152"/>
      <c r="P168" s="152"/>
      <c r="Q168" s="152"/>
      <c r="R168" s="152"/>
      <c r="S168" s="152"/>
      <c r="T168" s="152"/>
      <c r="U168" s="152"/>
      <c r="V168" s="152"/>
      <c r="W168" s="152"/>
      <c r="X168" s="152"/>
      <c r="Y168" s="152"/>
      <c r="Z168" s="152"/>
    </row>
    <row r="169" ht="12.8" customHeight="1" spans="1:26">
      <c r="A169" s="152"/>
      <c r="B169" s="152"/>
      <c r="C169" s="152"/>
      <c r="D169" s="152"/>
      <c r="E169" s="152"/>
      <c r="F169" s="152"/>
      <c r="G169" s="152"/>
      <c r="H169" s="152"/>
      <c r="I169" s="152"/>
      <c r="J169" s="152"/>
      <c r="K169" s="152"/>
      <c r="L169" s="152"/>
      <c r="M169" s="152"/>
      <c r="N169" s="152"/>
      <c r="O169" s="152"/>
      <c r="P169" s="152"/>
      <c r="Q169" s="152"/>
      <c r="R169" s="152"/>
      <c r="S169" s="152"/>
      <c r="T169" s="152"/>
      <c r="U169" s="152"/>
      <c r="V169" s="152"/>
      <c r="W169" s="152"/>
      <c r="X169" s="152"/>
      <c r="Y169" s="152"/>
      <c r="Z169" s="152"/>
    </row>
    <row r="170" ht="12.8" customHeight="1" spans="1:26">
      <c r="A170" s="152"/>
      <c r="B170" s="152"/>
      <c r="C170" s="152"/>
      <c r="D170" s="152"/>
      <c r="E170" s="152"/>
      <c r="F170" s="152"/>
      <c r="G170" s="152"/>
      <c r="H170" s="152"/>
      <c r="I170" s="152"/>
      <c r="J170" s="152"/>
      <c r="K170" s="152"/>
      <c r="L170" s="152"/>
      <c r="M170" s="152"/>
      <c r="N170" s="152"/>
      <c r="O170" s="152"/>
      <c r="P170" s="152"/>
      <c r="Q170" s="152"/>
      <c r="R170" s="152"/>
      <c r="S170" s="152"/>
      <c r="T170" s="152"/>
      <c r="U170" s="152"/>
      <c r="V170" s="152"/>
      <c r="W170" s="152"/>
      <c r="X170" s="152"/>
      <c r="Y170" s="152"/>
      <c r="Z170" s="152"/>
    </row>
    <row r="171" ht="12.8" customHeight="1" spans="1:26">
      <c r="A171" s="152"/>
      <c r="B171" s="152"/>
      <c r="C171" s="152"/>
      <c r="D171" s="152"/>
      <c r="E171" s="152"/>
      <c r="F171" s="152"/>
      <c r="G171" s="152"/>
      <c r="H171" s="152"/>
      <c r="I171" s="152"/>
      <c r="J171" s="152"/>
      <c r="K171" s="152"/>
      <c r="L171" s="152"/>
      <c r="M171" s="152"/>
      <c r="N171" s="152"/>
      <c r="O171" s="152"/>
      <c r="P171" s="152"/>
      <c r="Q171" s="152"/>
      <c r="R171" s="152"/>
      <c r="S171" s="152"/>
      <c r="T171" s="152"/>
      <c r="U171" s="152"/>
      <c r="V171" s="152"/>
      <c r="W171" s="152"/>
      <c r="X171" s="152"/>
      <c r="Y171" s="152"/>
      <c r="Z171" s="152"/>
    </row>
    <row r="172" ht="12.8" customHeight="1" spans="1:26">
      <c r="A172" s="152"/>
      <c r="B172" s="152"/>
      <c r="C172" s="152"/>
      <c r="D172" s="152"/>
      <c r="E172" s="152"/>
      <c r="F172" s="152"/>
      <c r="G172" s="152"/>
      <c r="H172" s="152"/>
      <c r="I172" s="152"/>
      <c r="J172" s="152"/>
      <c r="K172" s="152"/>
      <c r="L172" s="152"/>
      <c r="M172" s="152"/>
      <c r="N172" s="152"/>
      <c r="O172" s="152"/>
      <c r="P172" s="152"/>
      <c r="Q172" s="152"/>
      <c r="R172" s="152"/>
      <c r="S172" s="152"/>
      <c r="T172" s="152"/>
      <c r="U172" s="152"/>
      <c r="V172" s="152"/>
      <c r="W172" s="152"/>
      <c r="X172" s="152"/>
      <c r="Y172" s="152"/>
      <c r="Z172" s="152"/>
    </row>
    <row r="173" ht="12.8" customHeight="1" spans="1:26">
      <c r="A173" s="152"/>
      <c r="B173" s="152"/>
      <c r="C173" s="152"/>
      <c r="D173" s="152"/>
      <c r="E173" s="152"/>
      <c r="F173" s="152"/>
      <c r="G173" s="152"/>
      <c r="H173" s="152"/>
      <c r="I173" s="152"/>
      <c r="J173" s="152"/>
      <c r="K173" s="152"/>
      <c r="L173" s="152"/>
      <c r="M173" s="152"/>
      <c r="N173" s="152"/>
      <c r="O173" s="152"/>
      <c r="P173" s="152"/>
      <c r="Q173" s="152"/>
      <c r="R173" s="152"/>
      <c r="S173" s="152"/>
      <c r="T173" s="152"/>
      <c r="U173" s="152"/>
      <c r="V173" s="152"/>
      <c r="W173" s="152"/>
      <c r="X173" s="152"/>
      <c r="Y173" s="152"/>
      <c r="Z173" s="152"/>
    </row>
    <row r="174" ht="12.8" customHeight="1" spans="1:26">
      <c r="A174" s="152"/>
      <c r="B174" s="152"/>
      <c r="C174" s="152"/>
      <c r="D174" s="152"/>
      <c r="E174" s="152"/>
      <c r="F174" s="152"/>
      <c r="G174" s="152"/>
      <c r="H174" s="152"/>
      <c r="I174" s="152"/>
      <c r="J174" s="152"/>
      <c r="K174" s="152"/>
      <c r="L174" s="152"/>
      <c r="M174" s="152"/>
      <c r="N174" s="152"/>
      <c r="O174" s="152"/>
      <c r="P174" s="152"/>
      <c r="Q174" s="152"/>
      <c r="R174" s="152"/>
      <c r="S174" s="152"/>
      <c r="T174" s="152"/>
      <c r="U174" s="152"/>
      <c r="V174" s="152"/>
      <c r="W174" s="152"/>
      <c r="X174" s="152"/>
      <c r="Y174" s="152"/>
      <c r="Z174" s="152"/>
    </row>
    <row r="175" ht="12.8" customHeight="1" spans="1:26">
      <c r="A175" s="152"/>
      <c r="B175" s="152"/>
      <c r="C175" s="152"/>
      <c r="D175" s="152"/>
      <c r="E175" s="152"/>
      <c r="F175" s="152"/>
      <c r="G175" s="152"/>
      <c r="H175" s="152"/>
      <c r="I175" s="152"/>
      <c r="J175" s="152"/>
      <c r="K175" s="152"/>
      <c r="L175" s="152"/>
      <c r="M175" s="152"/>
      <c r="N175" s="152"/>
      <c r="O175" s="152"/>
      <c r="P175" s="152"/>
      <c r="Q175" s="152"/>
      <c r="R175" s="152"/>
      <c r="S175" s="152"/>
      <c r="T175" s="152"/>
      <c r="U175" s="152"/>
      <c r="V175" s="152"/>
      <c r="W175" s="152"/>
      <c r="X175" s="152"/>
      <c r="Y175" s="152"/>
      <c r="Z175" s="152"/>
    </row>
    <row r="176" ht="12.8" customHeight="1" spans="1:26">
      <c r="A176" s="152"/>
      <c r="B176" s="152"/>
      <c r="C176" s="152"/>
      <c r="D176" s="152"/>
      <c r="E176" s="152"/>
      <c r="F176" s="152"/>
      <c r="G176" s="152"/>
      <c r="H176" s="152"/>
      <c r="I176" s="152"/>
      <c r="J176" s="152"/>
      <c r="K176" s="152"/>
      <c r="L176" s="152"/>
      <c r="M176" s="152"/>
      <c r="N176" s="152"/>
      <c r="O176" s="152"/>
      <c r="P176" s="152"/>
      <c r="Q176" s="152"/>
      <c r="R176" s="152"/>
      <c r="S176" s="152"/>
      <c r="T176" s="152"/>
      <c r="U176" s="152"/>
      <c r="V176" s="152"/>
      <c r="W176" s="152"/>
      <c r="X176" s="152"/>
      <c r="Y176" s="152"/>
      <c r="Z176" s="152"/>
    </row>
    <row r="177" ht="12.8" customHeight="1" spans="1:26">
      <c r="A177" s="152"/>
      <c r="B177" s="152"/>
      <c r="C177" s="152"/>
      <c r="D177" s="152"/>
      <c r="E177" s="152"/>
      <c r="F177" s="152"/>
      <c r="G177" s="152"/>
      <c r="H177" s="152"/>
      <c r="I177" s="152"/>
      <c r="J177" s="152"/>
      <c r="K177" s="152"/>
      <c r="L177" s="152"/>
      <c r="M177" s="152"/>
      <c r="N177" s="152"/>
      <c r="O177" s="152"/>
      <c r="P177" s="152"/>
      <c r="Q177" s="152"/>
      <c r="R177" s="152"/>
      <c r="S177" s="152"/>
      <c r="T177" s="152"/>
      <c r="U177" s="152"/>
      <c r="V177" s="152"/>
      <c r="W177" s="152"/>
      <c r="X177" s="152"/>
      <c r="Y177" s="152"/>
      <c r="Z177" s="152"/>
    </row>
    <row r="178" ht="12.8" customHeight="1" spans="1:26">
      <c r="A178" s="152"/>
      <c r="B178" s="152"/>
      <c r="C178" s="152"/>
      <c r="D178" s="152"/>
      <c r="E178" s="152"/>
      <c r="F178" s="152"/>
      <c r="G178" s="152"/>
      <c r="H178" s="152"/>
      <c r="I178" s="152"/>
      <c r="J178" s="152"/>
      <c r="K178" s="152"/>
      <c r="L178" s="152"/>
      <c r="M178" s="152"/>
      <c r="N178" s="152"/>
      <c r="O178" s="152"/>
      <c r="P178" s="152"/>
      <c r="Q178" s="152"/>
      <c r="R178" s="152"/>
      <c r="S178" s="152"/>
      <c r="T178" s="152"/>
      <c r="U178" s="152"/>
      <c r="V178" s="152"/>
      <c r="W178" s="152"/>
      <c r="X178" s="152"/>
      <c r="Y178" s="152"/>
      <c r="Z178" s="152"/>
    </row>
    <row r="179" ht="12.8" customHeight="1" spans="1:26">
      <c r="A179" s="152"/>
      <c r="B179" s="152"/>
      <c r="C179" s="152"/>
      <c r="D179" s="152"/>
      <c r="E179" s="152"/>
      <c r="F179" s="152"/>
      <c r="G179" s="152"/>
      <c r="H179" s="152"/>
      <c r="I179" s="152"/>
      <c r="J179" s="152"/>
      <c r="K179" s="152"/>
      <c r="L179" s="152"/>
      <c r="M179" s="152"/>
      <c r="N179" s="152"/>
      <c r="O179" s="152"/>
      <c r="P179" s="152"/>
      <c r="Q179" s="152"/>
      <c r="R179" s="152"/>
      <c r="S179" s="152"/>
      <c r="T179" s="152"/>
      <c r="U179" s="152"/>
      <c r="V179" s="152"/>
      <c r="W179" s="152"/>
      <c r="X179" s="152"/>
      <c r="Y179" s="152"/>
      <c r="Z179" s="152"/>
    </row>
    <row r="180" ht="12.8" customHeight="1" spans="1:26">
      <c r="A180" s="152"/>
      <c r="B180" s="152"/>
      <c r="C180" s="152"/>
      <c r="D180" s="152"/>
      <c r="E180" s="152"/>
      <c r="F180" s="152"/>
      <c r="G180" s="152"/>
      <c r="H180" s="152"/>
      <c r="I180" s="152"/>
      <c r="J180" s="152"/>
      <c r="K180" s="152"/>
      <c r="L180" s="152"/>
      <c r="M180" s="152"/>
      <c r="N180" s="152"/>
      <c r="O180" s="152"/>
      <c r="P180" s="152"/>
      <c r="Q180" s="152"/>
      <c r="R180" s="152"/>
      <c r="S180" s="152"/>
      <c r="T180" s="152"/>
      <c r="U180" s="152"/>
      <c r="V180" s="152"/>
      <c r="W180" s="152"/>
      <c r="X180" s="152"/>
      <c r="Y180" s="152"/>
      <c r="Z180" s="152"/>
    </row>
    <row r="181" ht="12.8" customHeight="1" spans="1:26">
      <c r="A181" s="152"/>
      <c r="B181" s="152"/>
      <c r="C181" s="152"/>
      <c r="D181" s="152"/>
      <c r="E181" s="152"/>
      <c r="F181" s="152"/>
      <c r="G181" s="152"/>
      <c r="H181" s="152"/>
      <c r="I181" s="152"/>
      <c r="J181" s="152"/>
      <c r="K181" s="152"/>
      <c r="L181" s="152"/>
      <c r="M181" s="152"/>
      <c r="N181" s="152"/>
      <c r="O181" s="152"/>
      <c r="P181" s="152"/>
      <c r="Q181" s="152"/>
      <c r="R181" s="152"/>
      <c r="S181" s="152"/>
      <c r="T181" s="152"/>
      <c r="U181" s="152"/>
      <c r="V181" s="152"/>
      <c r="W181" s="152"/>
      <c r="X181" s="152"/>
      <c r="Y181" s="152"/>
      <c r="Z181" s="152"/>
    </row>
    <row r="182" ht="12.8" customHeight="1" spans="1:26">
      <c r="A182" s="152"/>
      <c r="B182" s="152"/>
      <c r="C182" s="152"/>
      <c r="D182" s="152"/>
      <c r="E182" s="152"/>
      <c r="F182" s="152"/>
      <c r="G182" s="152"/>
      <c r="H182" s="152"/>
      <c r="I182" s="152"/>
      <c r="J182" s="152"/>
      <c r="K182" s="152"/>
      <c r="L182" s="152"/>
      <c r="M182" s="152"/>
      <c r="N182" s="152"/>
      <c r="O182" s="152"/>
      <c r="P182" s="152"/>
      <c r="Q182" s="152"/>
      <c r="R182" s="152"/>
      <c r="S182" s="152"/>
      <c r="T182" s="152"/>
      <c r="U182" s="152"/>
      <c r="V182" s="152"/>
      <c r="W182" s="152"/>
      <c r="X182" s="152"/>
      <c r="Y182" s="152"/>
      <c r="Z182" s="152"/>
    </row>
    <row r="183" ht="12.8" customHeight="1" spans="1:26">
      <c r="A183" s="152"/>
      <c r="B183" s="152"/>
      <c r="C183" s="152"/>
      <c r="D183" s="152"/>
      <c r="E183" s="152"/>
      <c r="F183" s="152"/>
      <c r="G183" s="152"/>
      <c r="H183" s="152"/>
      <c r="I183" s="152"/>
      <c r="J183" s="152"/>
      <c r="K183" s="152"/>
      <c r="L183" s="152"/>
      <c r="M183" s="152"/>
      <c r="N183" s="152"/>
      <c r="O183" s="152"/>
      <c r="P183" s="152"/>
      <c r="Q183" s="152"/>
      <c r="R183" s="152"/>
      <c r="S183" s="152"/>
      <c r="T183" s="152"/>
      <c r="U183" s="152"/>
      <c r="V183" s="152"/>
      <c r="W183" s="152"/>
      <c r="X183" s="152"/>
      <c r="Y183" s="152"/>
      <c r="Z183" s="152"/>
    </row>
    <row r="184" ht="12.8" customHeight="1" spans="1:26">
      <c r="A184" s="152"/>
      <c r="B184" s="152"/>
      <c r="C184" s="152"/>
      <c r="D184" s="152"/>
      <c r="E184" s="152"/>
      <c r="F184" s="152"/>
      <c r="G184" s="152"/>
      <c r="H184" s="152"/>
      <c r="I184" s="152"/>
      <c r="J184" s="152"/>
      <c r="K184" s="152"/>
      <c r="L184" s="152"/>
      <c r="M184" s="152"/>
      <c r="N184" s="152"/>
      <c r="O184" s="152"/>
      <c r="P184" s="152"/>
      <c r="Q184" s="152"/>
      <c r="R184" s="152"/>
      <c r="S184" s="152"/>
      <c r="T184" s="152"/>
      <c r="U184" s="152"/>
      <c r="V184" s="152"/>
      <c r="W184" s="152"/>
      <c r="X184" s="152"/>
      <c r="Y184" s="152"/>
      <c r="Z184" s="152"/>
    </row>
    <row r="185" ht="12.8" customHeight="1" spans="1:26">
      <c r="A185" s="152"/>
      <c r="B185" s="152"/>
      <c r="C185" s="152"/>
      <c r="D185" s="152"/>
      <c r="E185" s="152"/>
      <c r="F185" s="152"/>
      <c r="G185" s="152"/>
      <c r="H185" s="152"/>
      <c r="I185" s="152"/>
      <c r="J185" s="152"/>
      <c r="K185" s="152"/>
      <c r="L185" s="152"/>
      <c r="M185" s="152"/>
      <c r="N185" s="152"/>
      <c r="O185" s="152"/>
      <c r="P185" s="152"/>
      <c r="Q185" s="152"/>
      <c r="R185" s="152"/>
      <c r="S185" s="152"/>
      <c r="T185" s="152"/>
      <c r="U185" s="152"/>
      <c r="V185" s="152"/>
      <c r="W185" s="152"/>
      <c r="X185" s="152"/>
      <c r="Y185" s="152"/>
      <c r="Z185" s="152"/>
    </row>
    <row r="186" ht="12.8" customHeight="1" spans="1:26">
      <c r="A186" s="152"/>
      <c r="B186" s="152"/>
      <c r="C186" s="152"/>
      <c r="D186" s="152"/>
      <c r="E186" s="152"/>
      <c r="F186" s="152"/>
      <c r="G186" s="152"/>
      <c r="H186" s="152"/>
      <c r="I186" s="152"/>
      <c r="J186" s="152"/>
      <c r="K186" s="152"/>
      <c r="L186" s="152"/>
      <c r="M186" s="152"/>
      <c r="N186" s="152"/>
      <c r="O186" s="152"/>
      <c r="P186" s="152"/>
      <c r="Q186" s="152"/>
      <c r="R186" s="152"/>
      <c r="S186" s="152"/>
      <c r="T186" s="152"/>
      <c r="U186" s="152"/>
      <c r="V186" s="152"/>
      <c r="W186" s="152"/>
      <c r="X186" s="152"/>
      <c r="Y186" s="152"/>
      <c r="Z186" s="152"/>
    </row>
    <row r="187" ht="12.8" customHeight="1" spans="1:26">
      <c r="A187" s="152"/>
      <c r="B187" s="152"/>
      <c r="C187" s="152"/>
      <c r="D187" s="152"/>
      <c r="E187" s="152"/>
      <c r="F187" s="152"/>
      <c r="G187" s="152"/>
      <c r="H187" s="152"/>
      <c r="I187" s="152"/>
      <c r="J187" s="152"/>
      <c r="K187" s="152"/>
      <c r="L187" s="152"/>
      <c r="M187" s="152"/>
      <c r="N187" s="152"/>
      <c r="O187" s="152"/>
      <c r="P187" s="152"/>
      <c r="Q187" s="152"/>
      <c r="R187" s="152"/>
      <c r="S187" s="152"/>
      <c r="T187" s="152"/>
      <c r="U187" s="152"/>
      <c r="V187" s="152"/>
      <c r="W187" s="152"/>
      <c r="X187" s="152"/>
      <c r="Y187" s="152"/>
      <c r="Z187" s="152"/>
    </row>
    <row r="188" ht="12.8" customHeight="1" spans="1:26">
      <c r="A188" s="152"/>
      <c r="B188" s="152"/>
      <c r="C188" s="152"/>
      <c r="D188" s="152"/>
      <c r="E188" s="152"/>
      <c r="F188" s="152"/>
      <c r="G188" s="152"/>
      <c r="H188" s="152"/>
      <c r="I188" s="152"/>
      <c r="J188" s="152"/>
      <c r="K188" s="152"/>
      <c r="L188" s="152"/>
      <c r="M188" s="152"/>
      <c r="N188" s="152"/>
      <c r="O188" s="152"/>
      <c r="P188" s="152"/>
      <c r="Q188" s="152"/>
      <c r="R188" s="152"/>
      <c r="S188" s="152"/>
      <c r="T188" s="152"/>
      <c r="U188" s="152"/>
      <c r="V188" s="152"/>
      <c r="W188" s="152"/>
      <c r="X188" s="152"/>
      <c r="Y188" s="152"/>
      <c r="Z188" s="152"/>
    </row>
    <row r="189" ht="12.8" customHeight="1" spans="1:26">
      <c r="A189" s="152"/>
      <c r="B189" s="152"/>
      <c r="C189" s="152"/>
      <c r="D189" s="152"/>
      <c r="E189" s="152"/>
      <c r="F189" s="152"/>
      <c r="G189" s="152"/>
      <c r="H189" s="152"/>
      <c r="I189" s="152"/>
      <c r="J189" s="152"/>
      <c r="K189" s="152"/>
      <c r="L189" s="152"/>
      <c r="M189" s="152"/>
      <c r="N189" s="152"/>
      <c r="O189" s="152"/>
      <c r="P189" s="152"/>
      <c r="Q189" s="152"/>
      <c r="R189" s="152"/>
      <c r="S189" s="152"/>
      <c r="T189" s="152"/>
      <c r="U189" s="152"/>
      <c r="V189" s="152"/>
      <c r="W189" s="152"/>
      <c r="X189" s="152"/>
      <c r="Y189" s="152"/>
      <c r="Z189" s="152"/>
    </row>
    <row r="190" ht="12.8" customHeight="1" spans="1:26">
      <c r="A190" s="152"/>
      <c r="B190" s="152"/>
      <c r="C190" s="152"/>
      <c r="D190" s="152"/>
      <c r="E190" s="152"/>
      <c r="F190" s="152"/>
      <c r="G190" s="152"/>
      <c r="H190" s="152"/>
      <c r="I190" s="152"/>
      <c r="J190" s="152"/>
      <c r="K190" s="152"/>
      <c r="L190" s="152"/>
      <c r="M190" s="152"/>
      <c r="N190" s="152"/>
      <c r="O190" s="152"/>
      <c r="P190" s="152"/>
      <c r="Q190" s="152"/>
      <c r="R190" s="152"/>
      <c r="S190" s="152"/>
      <c r="T190" s="152"/>
      <c r="U190" s="152"/>
      <c r="V190" s="152"/>
      <c r="W190" s="152"/>
      <c r="X190" s="152"/>
      <c r="Y190" s="152"/>
      <c r="Z190" s="152"/>
    </row>
    <row r="191" ht="12.8" customHeight="1" spans="1:26">
      <c r="A191" s="152"/>
      <c r="B191" s="152"/>
      <c r="C191" s="152"/>
      <c r="D191" s="152"/>
      <c r="E191" s="152"/>
      <c r="F191" s="152"/>
      <c r="G191" s="152"/>
      <c r="H191" s="152"/>
      <c r="I191" s="152"/>
      <c r="J191" s="152"/>
      <c r="K191" s="152"/>
      <c r="L191" s="152"/>
      <c r="M191" s="152"/>
      <c r="N191" s="152"/>
      <c r="O191" s="152"/>
      <c r="P191" s="152"/>
      <c r="Q191" s="152"/>
      <c r="R191" s="152"/>
      <c r="S191" s="152"/>
      <c r="T191" s="152"/>
      <c r="U191" s="152"/>
      <c r="V191" s="152"/>
      <c r="W191" s="152"/>
      <c r="X191" s="152"/>
      <c r="Y191" s="152"/>
      <c r="Z191" s="152"/>
    </row>
    <row r="192" ht="12.8" customHeight="1" spans="1:26">
      <c r="A192" s="152"/>
      <c r="B192" s="152"/>
      <c r="C192" s="152"/>
      <c r="D192" s="152"/>
      <c r="E192" s="152"/>
      <c r="F192" s="152"/>
      <c r="G192" s="152"/>
      <c r="H192" s="152"/>
      <c r="I192" s="152"/>
      <c r="J192" s="152"/>
      <c r="K192" s="152"/>
      <c r="L192" s="152"/>
      <c r="M192" s="152"/>
      <c r="N192" s="152"/>
      <c r="O192" s="152"/>
      <c r="P192" s="152"/>
      <c r="Q192" s="152"/>
      <c r="R192" s="152"/>
      <c r="S192" s="152"/>
      <c r="T192" s="152"/>
      <c r="U192" s="152"/>
      <c r="V192" s="152"/>
      <c r="W192" s="152"/>
      <c r="X192" s="152"/>
      <c r="Y192" s="152"/>
      <c r="Z192" s="152"/>
    </row>
    <row r="193" ht="12.8" customHeight="1" spans="1:26">
      <c r="A193" s="152"/>
      <c r="B193" s="152"/>
      <c r="C193" s="152"/>
      <c r="D193" s="152"/>
      <c r="E193" s="152"/>
      <c r="F193" s="152"/>
      <c r="G193" s="152"/>
      <c r="H193" s="152"/>
      <c r="I193" s="152"/>
      <c r="J193" s="152"/>
      <c r="K193" s="152"/>
      <c r="L193" s="152"/>
      <c r="M193" s="152"/>
      <c r="N193" s="152"/>
      <c r="O193" s="152"/>
      <c r="P193" s="152"/>
      <c r="Q193" s="152"/>
      <c r="R193" s="152"/>
      <c r="S193" s="152"/>
      <c r="T193" s="152"/>
      <c r="U193" s="152"/>
      <c r="V193" s="152"/>
      <c r="W193" s="152"/>
      <c r="X193" s="152"/>
      <c r="Y193" s="152"/>
      <c r="Z193" s="152"/>
    </row>
    <row r="194" ht="12.8" customHeight="1" spans="1:26">
      <c r="A194" s="152"/>
      <c r="B194" s="152"/>
      <c r="C194" s="152"/>
      <c r="D194" s="152"/>
      <c r="E194" s="152"/>
      <c r="F194" s="152"/>
      <c r="G194" s="152"/>
      <c r="H194" s="152"/>
      <c r="I194" s="152"/>
      <c r="J194" s="152"/>
      <c r="K194" s="152"/>
      <c r="L194" s="152"/>
      <c r="M194" s="152"/>
      <c r="N194" s="152"/>
      <c r="O194" s="152"/>
      <c r="P194" s="152"/>
      <c r="Q194" s="152"/>
      <c r="R194" s="152"/>
      <c r="S194" s="152"/>
      <c r="T194" s="152"/>
      <c r="U194" s="152"/>
      <c r="V194" s="152"/>
      <c r="W194" s="152"/>
      <c r="X194" s="152"/>
      <c r="Y194" s="152"/>
      <c r="Z194" s="152"/>
    </row>
    <row r="195" ht="12.8" customHeight="1" spans="1:26">
      <c r="A195" s="152"/>
      <c r="B195" s="152"/>
      <c r="C195" s="152"/>
      <c r="D195" s="152"/>
      <c r="E195" s="152"/>
      <c r="F195" s="152"/>
      <c r="G195" s="152"/>
      <c r="H195" s="152"/>
      <c r="I195" s="152"/>
      <c r="J195" s="152"/>
      <c r="K195" s="152"/>
      <c r="L195" s="152"/>
      <c r="M195" s="152"/>
      <c r="N195" s="152"/>
      <c r="O195" s="152"/>
      <c r="P195" s="152"/>
      <c r="Q195" s="152"/>
      <c r="R195" s="152"/>
      <c r="S195" s="152"/>
      <c r="T195" s="152"/>
      <c r="U195" s="152"/>
      <c r="V195" s="152"/>
      <c r="W195" s="152"/>
      <c r="X195" s="152"/>
      <c r="Y195" s="152"/>
      <c r="Z195" s="152"/>
    </row>
    <row r="196" ht="12.8" customHeight="1" spans="1:26">
      <c r="A196" s="152"/>
      <c r="B196" s="152"/>
      <c r="C196" s="152"/>
      <c r="D196" s="152"/>
      <c r="E196" s="152"/>
      <c r="F196" s="152"/>
      <c r="G196" s="152"/>
      <c r="H196" s="152"/>
      <c r="I196" s="152"/>
      <c r="J196" s="152"/>
      <c r="K196" s="152"/>
      <c r="L196" s="152"/>
      <c r="M196" s="152"/>
      <c r="N196" s="152"/>
      <c r="O196" s="152"/>
      <c r="P196" s="152"/>
      <c r="Q196" s="152"/>
      <c r="R196" s="152"/>
      <c r="S196" s="152"/>
      <c r="T196" s="152"/>
      <c r="U196" s="152"/>
      <c r="V196" s="152"/>
      <c r="W196" s="152"/>
      <c r="X196" s="152"/>
      <c r="Y196" s="152"/>
      <c r="Z196" s="152"/>
    </row>
    <row r="197" ht="12.8" customHeight="1" spans="1:26">
      <c r="A197" s="152"/>
      <c r="B197" s="152"/>
      <c r="C197" s="152"/>
      <c r="D197" s="152"/>
      <c r="E197" s="152"/>
      <c r="F197" s="152"/>
      <c r="G197" s="152"/>
      <c r="H197" s="152"/>
      <c r="I197" s="152"/>
      <c r="J197" s="152"/>
      <c r="K197" s="152"/>
      <c r="L197" s="152"/>
      <c r="M197" s="152"/>
      <c r="N197" s="152"/>
      <c r="O197" s="152"/>
      <c r="P197" s="152"/>
      <c r="Q197" s="152"/>
      <c r="R197" s="152"/>
      <c r="S197" s="152"/>
      <c r="T197" s="152"/>
      <c r="U197" s="152"/>
      <c r="V197" s="152"/>
      <c r="W197" s="152"/>
      <c r="X197" s="152"/>
      <c r="Y197" s="152"/>
      <c r="Z197" s="152"/>
    </row>
    <row r="198" ht="12.8" customHeight="1" spans="1:26">
      <c r="A198" s="152"/>
      <c r="B198" s="152"/>
      <c r="C198" s="152"/>
      <c r="D198" s="152"/>
      <c r="E198" s="152"/>
      <c r="F198" s="152"/>
      <c r="G198" s="152"/>
      <c r="H198" s="152"/>
      <c r="I198" s="152"/>
      <c r="J198" s="152"/>
      <c r="K198" s="152"/>
      <c r="L198" s="152"/>
      <c r="M198" s="152"/>
      <c r="N198" s="152"/>
      <c r="O198" s="152"/>
      <c r="P198" s="152"/>
      <c r="Q198" s="152"/>
      <c r="R198" s="152"/>
      <c r="S198" s="152"/>
      <c r="T198" s="152"/>
      <c r="U198" s="152"/>
      <c r="V198" s="152"/>
      <c r="W198" s="152"/>
      <c r="X198" s="152"/>
      <c r="Y198" s="152"/>
      <c r="Z198" s="152"/>
    </row>
    <row r="199" ht="12.8" customHeight="1" spans="1:26">
      <c r="A199" s="152"/>
      <c r="B199" s="152"/>
      <c r="C199" s="152"/>
      <c r="D199" s="152"/>
      <c r="E199" s="152"/>
      <c r="F199" s="152"/>
      <c r="G199" s="152"/>
      <c r="H199" s="152"/>
      <c r="I199" s="152"/>
      <c r="J199" s="152"/>
      <c r="K199" s="152"/>
      <c r="L199" s="152"/>
      <c r="M199" s="152"/>
      <c r="N199" s="152"/>
      <c r="O199" s="152"/>
      <c r="P199" s="152"/>
      <c r="Q199" s="152"/>
      <c r="R199" s="152"/>
      <c r="S199" s="152"/>
      <c r="T199" s="152"/>
      <c r="U199" s="152"/>
      <c r="V199" s="152"/>
      <c r="W199" s="152"/>
      <c r="X199" s="152"/>
      <c r="Y199" s="152"/>
      <c r="Z199" s="152"/>
    </row>
    <row r="200" ht="12.8" customHeight="1" spans="1:26">
      <c r="A200" s="152"/>
      <c r="B200" s="152"/>
      <c r="C200" s="152"/>
      <c r="D200" s="152"/>
      <c r="E200" s="152"/>
      <c r="F200" s="152"/>
      <c r="G200" s="152"/>
      <c r="H200" s="152"/>
      <c r="I200" s="152"/>
      <c r="J200" s="152"/>
      <c r="K200" s="152"/>
      <c r="L200" s="152"/>
      <c r="M200" s="152"/>
      <c r="N200" s="152"/>
      <c r="O200" s="152"/>
      <c r="P200" s="152"/>
      <c r="Q200" s="152"/>
      <c r="R200" s="152"/>
      <c r="S200" s="152"/>
      <c r="T200" s="152"/>
      <c r="U200" s="152"/>
      <c r="V200" s="152"/>
      <c r="W200" s="152"/>
      <c r="X200" s="152"/>
      <c r="Y200" s="152"/>
      <c r="Z200" s="152"/>
    </row>
    <row r="201" ht="12.8" customHeight="1" spans="1:26">
      <c r="A201" s="152"/>
      <c r="B201" s="152"/>
      <c r="C201" s="152"/>
      <c r="D201" s="152"/>
      <c r="E201" s="152"/>
      <c r="F201" s="152"/>
      <c r="G201" s="152"/>
      <c r="H201" s="152"/>
      <c r="I201" s="152"/>
      <c r="J201" s="152"/>
      <c r="K201" s="152"/>
      <c r="L201" s="152"/>
      <c r="M201" s="152"/>
      <c r="N201" s="152"/>
      <c r="O201" s="152"/>
      <c r="P201" s="152"/>
      <c r="Q201" s="152"/>
      <c r="R201" s="152"/>
      <c r="S201" s="152"/>
      <c r="T201" s="152"/>
      <c r="U201" s="152"/>
      <c r="V201" s="152"/>
      <c r="W201" s="152"/>
      <c r="X201" s="152"/>
      <c r="Y201" s="152"/>
      <c r="Z201" s="152"/>
    </row>
    <row r="202" ht="12.8" customHeight="1" spans="1:26">
      <c r="A202" s="152"/>
      <c r="B202" s="152"/>
      <c r="C202" s="152"/>
      <c r="D202" s="152"/>
      <c r="E202" s="152"/>
      <c r="F202" s="152"/>
      <c r="G202" s="152"/>
      <c r="H202" s="152"/>
      <c r="I202" s="152"/>
      <c r="J202" s="152"/>
      <c r="K202" s="152"/>
      <c r="L202" s="152"/>
      <c r="M202" s="152"/>
      <c r="N202" s="152"/>
      <c r="O202" s="152"/>
      <c r="P202" s="152"/>
      <c r="Q202" s="152"/>
      <c r="R202" s="152"/>
      <c r="S202" s="152"/>
      <c r="T202" s="152"/>
      <c r="U202" s="152"/>
      <c r="V202" s="152"/>
      <c r="W202" s="152"/>
      <c r="X202" s="152"/>
      <c r="Y202" s="152"/>
      <c r="Z202" s="152"/>
    </row>
    <row r="203" ht="12.8" customHeight="1" spans="1:26">
      <c r="A203" s="152"/>
      <c r="B203" s="152"/>
      <c r="C203" s="152"/>
      <c r="D203" s="152"/>
      <c r="E203" s="152"/>
      <c r="F203" s="152"/>
      <c r="G203" s="152"/>
      <c r="H203" s="152"/>
      <c r="I203" s="152"/>
      <c r="J203" s="152"/>
      <c r="K203" s="152"/>
      <c r="L203" s="152"/>
      <c r="M203" s="152"/>
      <c r="N203" s="152"/>
      <c r="O203" s="152"/>
      <c r="P203" s="152"/>
      <c r="Q203" s="152"/>
      <c r="R203" s="152"/>
      <c r="S203" s="152"/>
      <c r="T203" s="152"/>
      <c r="U203" s="152"/>
      <c r="V203" s="152"/>
      <c r="W203" s="152"/>
      <c r="X203" s="152"/>
      <c r="Y203" s="152"/>
      <c r="Z203" s="152"/>
    </row>
    <row r="204" ht="12.8" customHeight="1" spans="1:26">
      <c r="A204" s="152"/>
      <c r="B204" s="152"/>
      <c r="C204" s="152"/>
      <c r="D204" s="152"/>
      <c r="E204" s="152"/>
      <c r="F204" s="152"/>
      <c r="G204" s="152"/>
      <c r="H204" s="152"/>
      <c r="I204" s="152"/>
      <c r="J204" s="152"/>
      <c r="K204" s="152"/>
      <c r="L204" s="152"/>
      <c r="M204" s="152"/>
      <c r="N204" s="152"/>
      <c r="O204" s="152"/>
      <c r="P204" s="152"/>
      <c r="Q204" s="152"/>
      <c r="R204" s="152"/>
      <c r="S204" s="152"/>
      <c r="T204" s="152"/>
      <c r="U204" s="152"/>
      <c r="V204" s="152"/>
      <c r="W204" s="152"/>
      <c r="X204" s="152"/>
      <c r="Y204" s="152"/>
      <c r="Z204" s="152"/>
    </row>
    <row r="205" ht="12.8" customHeight="1" spans="1:26">
      <c r="A205" s="152"/>
      <c r="B205" s="152"/>
      <c r="C205" s="152"/>
      <c r="D205" s="152"/>
      <c r="E205" s="152"/>
      <c r="F205" s="152"/>
      <c r="G205" s="152"/>
      <c r="H205" s="152"/>
      <c r="I205" s="152"/>
      <c r="J205" s="152"/>
      <c r="K205" s="152"/>
      <c r="L205" s="152"/>
      <c r="M205" s="152"/>
      <c r="N205" s="152"/>
      <c r="O205" s="152"/>
      <c r="P205" s="152"/>
      <c r="Q205" s="152"/>
      <c r="R205" s="152"/>
      <c r="S205" s="152"/>
      <c r="T205" s="152"/>
      <c r="U205" s="152"/>
      <c r="V205" s="152"/>
      <c r="W205" s="152"/>
      <c r="X205" s="152"/>
      <c r="Y205" s="152"/>
      <c r="Z205" s="152"/>
    </row>
    <row r="206" ht="12.8" customHeight="1" spans="1:26">
      <c r="A206" s="152"/>
      <c r="B206" s="152"/>
      <c r="C206" s="152"/>
      <c r="D206" s="152"/>
      <c r="E206" s="152"/>
      <c r="F206" s="152"/>
      <c r="G206" s="152"/>
      <c r="H206" s="152"/>
      <c r="I206" s="152"/>
      <c r="J206" s="152"/>
      <c r="K206" s="152"/>
      <c r="L206" s="152"/>
      <c r="M206" s="152"/>
      <c r="N206" s="152"/>
      <c r="O206" s="152"/>
      <c r="P206" s="152"/>
      <c r="Q206" s="152"/>
      <c r="R206" s="152"/>
      <c r="S206" s="152"/>
      <c r="T206" s="152"/>
      <c r="U206" s="152"/>
      <c r="V206" s="152"/>
      <c r="W206" s="152"/>
      <c r="X206" s="152"/>
      <c r="Y206" s="152"/>
      <c r="Z206" s="152"/>
    </row>
    <row r="207" ht="12.8" customHeight="1" spans="1:26">
      <c r="A207" s="152"/>
      <c r="B207" s="152"/>
      <c r="C207" s="152"/>
      <c r="D207" s="152"/>
      <c r="E207" s="152"/>
      <c r="F207" s="152"/>
      <c r="G207" s="152"/>
      <c r="H207" s="152"/>
      <c r="I207" s="152"/>
      <c r="J207" s="152"/>
      <c r="K207" s="152"/>
      <c r="L207" s="152"/>
      <c r="M207" s="152"/>
      <c r="N207" s="152"/>
      <c r="O207" s="152"/>
      <c r="P207" s="152"/>
      <c r="Q207" s="152"/>
      <c r="R207" s="152"/>
      <c r="S207" s="152"/>
      <c r="T207" s="152"/>
      <c r="U207" s="152"/>
      <c r="V207" s="152"/>
      <c r="W207" s="152"/>
      <c r="X207" s="152"/>
      <c r="Y207" s="152"/>
      <c r="Z207" s="152"/>
    </row>
    <row r="208" ht="12.8" customHeight="1" spans="1:26">
      <c r="A208" s="152"/>
      <c r="B208" s="152"/>
      <c r="C208" s="152"/>
      <c r="D208" s="152"/>
      <c r="E208" s="152"/>
      <c r="F208" s="152"/>
      <c r="G208" s="152"/>
      <c r="H208" s="152"/>
      <c r="I208" s="152"/>
      <c r="J208" s="152"/>
      <c r="K208" s="152"/>
      <c r="L208" s="152"/>
      <c r="M208" s="152"/>
      <c r="N208" s="152"/>
      <c r="O208" s="152"/>
      <c r="P208" s="152"/>
      <c r="Q208" s="152"/>
      <c r="R208" s="152"/>
      <c r="S208" s="152"/>
      <c r="T208" s="152"/>
      <c r="U208" s="152"/>
      <c r="V208" s="152"/>
      <c r="W208" s="152"/>
      <c r="X208" s="152"/>
      <c r="Y208" s="152"/>
      <c r="Z208" s="152"/>
    </row>
    <row r="209" ht="12.8" customHeight="1" spans="1:26">
      <c r="A209" s="152"/>
      <c r="B209" s="152"/>
      <c r="C209" s="152"/>
      <c r="D209" s="152"/>
      <c r="E209" s="152"/>
      <c r="F209" s="152"/>
      <c r="G209" s="152"/>
      <c r="H209" s="152"/>
      <c r="I209" s="152"/>
      <c r="J209" s="152"/>
      <c r="K209" s="152"/>
      <c r="L209" s="152"/>
      <c r="M209" s="152"/>
      <c r="N209" s="152"/>
      <c r="O209" s="152"/>
      <c r="P209" s="152"/>
      <c r="Q209" s="152"/>
      <c r="R209" s="152"/>
      <c r="S209" s="152"/>
      <c r="T209" s="152"/>
      <c r="U209" s="152"/>
      <c r="V209" s="152"/>
      <c r="W209" s="152"/>
      <c r="X209" s="152"/>
      <c r="Y209" s="152"/>
      <c r="Z209" s="152"/>
    </row>
    <row r="210" ht="12.8" customHeight="1" spans="1:26">
      <c r="A210" s="152"/>
      <c r="B210" s="152"/>
      <c r="C210" s="152"/>
      <c r="D210" s="152"/>
      <c r="E210" s="152"/>
      <c r="F210" s="152"/>
      <c r="G210" s="152"/>
      <c r="H210" s="152"/>
      <c r="I210" s="152"/>
      <c r="J210" s="152"/>
      <c r="K210" s="152"/>
      <c r="L210" s="152"/>
      <c r="M210" s="152"/>
      <c r="N210" s="152"/>
      <c r="O210" s="152"/>
      <c r="P210" s="152"/>
      <c r="Q210" s="152"/>
      <c r="R210" s="152"/>
      <c r="S210" s="152"/>
      <c r="T210" s="152"/>
      <c r="U210" s="152"/>
      <c r="V210" s="152"/>
      <c r="W210" s="152"/>
      <c r="X210" s="152"/>
      <c r="Y210" s="152"/>
      <c r="Z210" s="152"/>
    </row>
    <row r="211" ht="12.8" customHeight="1" spans="1:26">
      <c r="A211" s="152"/>
      <c r="B211" s="152"/>
      <c r="C211" s="152"/>
      <c r="D211" s="152"/>
      <c r="E211" s="152"/>
      <c r="F211" s="152"/>
      <c r="G211" s="152"/>
      <c r="H211" s="152"/>
      <c r="I211" s="152"/>
      <c r="J211" s="152"/>
      <c r="K211" s="152"/>
      <c r="L211" s="152"/>
      <c r="M211" s="152"/>
      <c r="N211" s="152"/>
      <c r="O211" s="152"/>
      <c r="P211" s="152"/>
      <c r="Q211" s="152"/>
      <c r="R211" s="152"/>
      <c r="S211" s="152"/>
      <c r="T211" s="152"/>
      <c r="U211" s="152"/>
      <c r="V211" s="152"/>
      <c r="W211" s="152"/>
      <c r="X211" s="152"/>
      <c r="Y211" s="152"/>
      <c r="Z211" s="152"/>
    </row>
    <row r="212" ht="12.8" customHeight="1" spans="1:26">
      <c r="A212" s="152"/>
      <c r="B212" s="152"/>
      <c r="C212" s="152"/>
      <c r="D212" s="152"/>
      <c r="E212" s="152"/>
      <c r="F212" s="152"/>
      <c r="G212" s="152"/>
      <c r="H212" s="152"/>
      <c r="I212" s="152"/>
      <c r="J212" s="152"/>
      <c r="K212" s="152"/>
      <c r="L212" s="152"/>
      <c r="M212" s="152"/>
      <c r="N212" s="152"/>
      <c r="O212" s="152"/>
      <c r="P212" s="152"/>
      <c r="Q212" s="152"/>
      <c r="R212" s="152"/>
      <c r="S212" s="152"/>
      <c r="T212" s="152"/>
      <c r="U212" s="152"/>
      <c r="V212" s="152"/>
      <c r="W212" s="152"/>
      <c r="X212" s="152"/>
      <c r="Y212" s="152"/>
      <c r="Z212" s="152"/>
    </row>
    <row r="213" ht="12.8" customHeight="1" spans="1:26">
      <c r="A213" s="152"/>
      <c r="B213" s="152"/>
      <c r="C213" s="152"/>
      <c r="D213" s="152"/>
      <c r="E213" s="152"/>
      <c r="F213" s="152"/>
      <c r="G213" s="152"/>
      <c r="H213" s="152"/>
      <c r="I213" s="152"/>
      <c r="J213" s="152"/>
      <c r="K213" s="152"/>
      <c r="L213" s="152"/>
      <c r="M213" s="152"/>
      <c r="N213" s="152"/>
      <c r="O213" s="152"/>
      <c r="P213" s="152"/>
      <c r="Q213" s="152"/>
      <c r="R213" s="152"/>
      <c r="S213" s="152"/>
      <c r="T213" s="152"/>
      <c r="U213" s="152"/>
      <c r="V213" s="152"/>
      <c r="W213" s="152"/>
      <c r="X213" s="152"/>
      <c r="Y213" s="152"/>
      <c r="Z213" s="152"/>
    </row>
    <row r="214" ht="12.8" customHeight="1" spans="1:26">
      <c r="A214" s="152"/>
      <c r="B214" s="152"/>
      <c r="C214" s="152"/>
      <c r="D214" s="152"/>
      <c r="E214" s="152"/>
      <c r="F214" s="152"/>
      <c r="G214" s="152"/>
      <c r="H214" s="152"/>
      <c r="I214" s="152"/>
      <c r="J214" s="152"/>
      <c r="K214" s="152"/>
      <c r="L214" s="152"/>
      <c r="M214" s="152"/>
      <c r="N214" s="152"/>
      <c r="O214" s="152"/>
      <c r="P214" s="152"/>
      <c r="Q214" s="152"/>
      <c r="R214" s="152"/>
      <c r="S214" s="152"/>
      <c r="T214" s="152"/>
      <c r="U214" s="152"/>
      <c r="V214" s="152"/>
      <c r="W214" s="152"/>
      <c r="X214" s="152"/>
      <c r="Y214" s="152"/>
      <c r="Z214" s="152"/>
    </row>
    <row r="215" ht="12.8" customHeight="1" spans="1:26">
      <c r="A215" s="152"/>
      <c r="B215" s="152"/>
      <c r="C215" s="152"/>
      <c r="D215" s="152"/>
      <c r="E215" s="152"/>
      <c r="F215" s="152"/>
      <c r="G215" s="152"/>
      <c r="H215" s="152"/>
      <c r="I215" s="152"/>
      <c r="J215" s="152"/>
      <c r="K215" s="152"/>
      <c r="L215" s="152"/>
      <c r="M215" s="152"/>
      <c r="N215" s="152"/>
      <c r="O215" s="152"/>
      <c r="P215" s="152"/>
      <c r="Q215" s="152"/>
      <c r="R215" s="152"/>
      <c r="S215" s="152"/>
      <c r="T215" s="152"/>
      <c r="U215" s="152"/>
      <c r="V215" s="152"/>
      <c r="W215" s="152"/>
      <c r="X215" s="152"/>
      <c r="Y215" s="152"/>
      <c r="Z215" s="152"/>
    </row>
    <row r="216" ht="12.8" customHeight="1" spans="1:26">
      <c r="A216" s="152"/>
      <c r="B216" s="152"/>
      <c r="C216" s="152"/>
      <c r="D216" s="152"/>
      <c r="E216" s="152"/>
      <c r="F216" s="152"/>
      <c r="G216" s="152"/>
      <c r="H216" s="152"/>
      <c r="I216" s="152"/>
      <c r="J216" s="152"/>
      <c r="K216" s="152"/>
      <c r="L216" s="152"/>
      <c r="M216" s="152"/>
      <c r="N216" s="152"/>
      <c r="O216" s="152"/>
      <c r="P216" s="152"/>
      <c r="Q216" s="152"/>
      <c r="R216" s="152"/>
      <c r="S216" s="152"/>
      <c r="T216" s="152"/>
      <c r="U216" s="152"/>
      <c r="V216" s="152"/>
      <c r="W216" s="152"/>
      <c r="X216" s="152"/>
      <c r="Y216" s="152"/>
      <c r="Z216" s="152"/>
    </row>
    <row r="217" ht="12.8" customHeight="1" spans="1:26">
      <c r="A217" s="152"/>
      <c r="B217" s="152"/>
      <c r="C217" s="152"/>
      <c r="D217" s="152"/>
      <c r="E217" s="152"/>
      <c r="F217" s="152"/>
      <c r="G217" s="152"/>
      <c r="H217" s="152"/>
      <c r="I217" s="152"/>
      <c r="J217" s="152"/>
      <c r="K217" s="152"/>
      <c r="L217" s="152"/>
      <c r="M217" s="152"/>
      <c r="N217" s="152"/>
      <c r="O217" s="152"/>
      <c r="P217" s="152"/>
      <c r="Q217" s="152"/>
      <c r="R217" s="152"/>
      <c r="S217" s="152"/>
      <c r="T217" s="152"/>
      <c r="U217" s="152"/>
      <c r="V217" s="152"/>
      <c r="W217" s="152"/>
      <c r="X217" s="152"/>
      <c r="Y217" s="152"/>
      <c r="Z217" s="152"/>
    </row>
    <row r="218" ht="12.8" customHeight="1" spans="1:26">
      <c r="A218" s="152"/>
      <c r="B218" s="152"/>
      <c r="C218" s="152"/>
      <c r="D218" s="152"/>
      <c r="E218" s="152"/>
      <c r="F218" s="152"/>
      <c r="G218" s="152"/>
      <c r="H218" s="152"/>
      <c r="I218" s="152"/>
      <c r="J218" s="152"/>
      <c r="K218" s="152"/>
      <c r="L218" s="152"/>
      <c r="M218" s="152"/>
      <c r="N218" s="152"/>
      <c r="O218" s="152"/>
      <c r="P218" s="152"/>
      <c r="Q218" s="152"/>
      <c r="R218" s="152"/>
      <c r="S218" s="152"/>
      <c r="T218" s="152"/>
      <c r="U218" s="152"/>
      <c r="V218" s="152"/>
      <c r="W218" s="152"/>
      <c r="X218" s="152"/>
      <c r="Y218" s="152"/>
      <c r="Z218" s="152"/>
    </row>
    <row r="219" ht="12.8" customHeight="1" spans="1:26">
      <c r="A219" s="152"/>
      <c r="B219" s="152"/>
      <c r="C219" s="152"/>
      <c r="D219" s="152"/>
      <c r="E219" s="152"/>
      <c r="F219" s="152"/>
      <c r="G219" s="152"/>
      <c r="H219" s="152"/>
      <c r="I219" s="152"/>
      <c r="J219" s="152"/>
      <c r="K219" s="152"/>
      <c r="L219" s="152"/>
      <c r="M219" s="152"/>
      <c r="N219" s="152"/>
      <c r="O219" s="152"/>
      <c r="P219" s="152"/>
      <c r="Q219" s="152"/>
      <c r="R219" s="152"/>
      <c r="S219" s="152"/>
      <c r="T219" s="152"/>
      <c r="U219" s="152"/>
      <c r="V219" s="152"/>
      <c r="W219" s="152"/>
      <c r="X219" s="152"/>
      <c r="Y219" s="152"/>
      <c r="Z219" s="152"/>
    </row>
    <row r="220" ht="12.8" customHeight="1" spans="1:26">
      <c r="A220" s="152"/>
      <c r="B220" s="152"/>
      <c r="C220" s="152"/>
      <c r="D220" s="152"/>
      <c r="E220" s="152"/>
      <c r="F220" s="152"/>
      <c r="G220" s="152"/>
      <c r="H220" s="152"/>
      <c r="I220" s="152"/>
      <c r="J220" s="152"/>
      <c r="K220" s="152"/>
      <c r="L220" s="152"/>
      <c r="M220" s="152"/>
      <c r="N220" s="152"/>
      <c r="O220" s="152"/>
      <c r="P220" s="152"/>
      <c r="Q220" s="152"/>
      <c r="R220" s="152"/>
      <c r="S220" s="152"/>
      <c r="T220" s="152"/>
      <c r="U220" s="152"/>
      <c r="V220" s="152"/>
      <c r="W220" s="152"/>
      <c r="X220" s="152"/>
      <c r="Y220" s="152"/>
      <c r="Z220" s="152"/>
    </row>
    <row r="221" ht="12.8" customHeight="1" spans="1:26">
      <c r="A221" s="152"/>
      <c r="B221" s="152"/>
      <c r="C221" s="152"/>
      <c r="D221" s="152"/>
      <c r="E221" s="152"/>
      <c r="F221" s="152"/>
      <c r="G221" s="152"/>
      <c r="H221" s="152"/>
      <c r="I221" s="152"/>
      <c r="J221" s="152"/>
      <c r="K221" s="152"/>
      <c r="L221" s="152"/>
      <c r="M221" s="152"/>
      <c r="N221" s="152"/>
      <c r="O221" s="152"/>
      <c r="P221" s="152"/>
      <c r="Q221" s="152"/>
      <c r="R221" s="152"/>
      <c r="S221" s="152"/>
      <c r="T221" s="152"/>
      <c r="U221" s="152"/>
      <c r="V221" s="152"/>
      <c r="W221" s="152"/>
      <c r="X221" s="152"/>
      <c r="Y221" s="152"/>
      <c r="Z221" s="152"/>
    </row>
    <row r="222" ht="12.8" customHeight="1" spans="1:26">
      <c r="A222" s="152"/>
      <c r="B222" s="152"/>
      <c r="C222" s="152"/>
      <c r="D222" s="152"/>
      <c r="E222" s="152"/>
      <c r="F222" s="152"/>
      <c r="G222" s="152"/>
      <c r="H222" s="152"/>
      <c r="I222" s="152"/>
      <c r="J222" s="152"/>
      <c r="K222" s="152"/>
      <c r="L222" s="152"/>
      <c r="M222" s="152"/>
      <c r="N222" s="152"/>
      <c r="O222" s="152"/>
      <c r="P222" s="152"/>
      <c r="Q222" s="152"/>
      <c r="R222" s="152"/>
      <c r="S222" s="152"/>
      <c r="T222" s="152"/>
      <c r="U222" s="152"/>
      <c r="V222" s="152"/>
      <c r="W222" s="152"/>
      <c r="X222" s="152"/>
      <c r="Y222" s="152"/>
      <c r="Z222" s="152"/>
    </row>
    <row r="223" ht="12.8" customHeight="1" spans="1:26">
      <c r="A223" s="152"/>
      <c r="B223" s="152"/>
      <c r="C223" s="152"/>
      <c r="D223" s="152"/>
      <c r="E223" s="152"/>
      <c r="F223" s="152"/>
      <c r="G223" s="152"/>
      <c r="H223" s="152"/>
      <c r="I223" s="152"/>
      <c r="J223" s="152"/>
      <c r="K223" s="152"/>
      <c r="L223" s="152"/>
      <c r="M223" s="152"/>
      <c r="N223" s="152"/>
      <c r="O223" s="152"/>
      <c r="P223" s="152"/>
      <c r="Q223" s="152"/>
      <c r="R223" s="152"/>
      <c r="S223" s="152"/>
      <c r="T223" s="152"/>
      <c r="U223" s="152"/>
      <c r="V223" s="152"/>
      <c r="W223" s="152"/>
      <c r="X223" s="152"/>
      <c r="Y223" s="152"/>
      <c r="Z223" s="152"/>
    </row>
    <row r="224" ht="12.8" customHeight="1" spans="1:26">
      <c r="A224" s="152"/>
      <c r="B224" s="152"/>
      <c r="C224" s="152"/>
      <c r="D224" s="152"/>
      <c r="E224" s="152"/>
      <c r="F224" s="152"/>
      <c r="G224" s="152"/>
      <c r="H224" s="152"/>
      <c r="I224" s="152"/>
      <c r="J224" s="152"/>
      <c r="K224" s="152"/>
      <c r="L224" s="152"/>
      <c r="M224" s="152"/>
      <c r="N224" s="152"/>
      <c r="O224" s="152"/>
      <c r="P224" s="152"/>
      <c r="Q224" s="152"/>
      <c r="R224" s="152"/>
      <c r="S224" s="152"/>
      <c r="T224" s="152"/>
      <c r="U224" s="152"/>
      <c r="V224" s="152"/>
      <c r="W224" s="152"/>
      <c r="X224" s="152"/>
      <c r="Y224" s="152"/>
      <c r="Z224" s="152"/>
    </row>
    <row r="225" ht="12.8" customHeight="1" spans="1:26">
      <c r="A225" s="152"/>
      <c r="B225" s="152"/>
      <c r="C225" s="152"/>
      <c r="D225" s="152"/>
      <c r="E225" s="152"/>
      <c r="F225" s="152"/>
      <c r="G225" s="152"/>
      <c r="H225" s="152"/>
      <c r="I225" s="152"/>
      <c r="J225" s="152"/>
      <c r="K225" s="152"/>
      <c r="L225" s="152"/>
      <c r="M225" s="152"/>
      <c r="N225" s="152"/>
      <c r="O225" s="152"/>
      <c r="P225" s="152"/>
      <c r="Q225" s="152"/>
      <c r="R225" s="152"/>
      <c r="S225" s="152"/>
      <c r="T225" s="152"/>
      <c r="U225" s="152"/>
      <c r="V225" s="152"/>
      <c r="W225" s="152"/>
      <c r="X225" s="152"/>
      <c r="Y225" s="152"/>
      <c r="Z225" s="152"/>
    </row>
    <row r="226" ht="12.8" customHeight="1" spans="1:26">
      <c r="A226" s="152"/>
      <c r="B226" s="152"/>
      <c r="C226" s="152"/>
      <c r="D226" s="152"/>
      <c r="E226" s="152"/>
      <c r="F226" s="152"/>
      <c r="G226" s="152"/>
      <c r="H226" s="152"/>
      <c r="I226" s="152"/>
      <c r="J226" s="152"/>
      <c r="K226" s="152"/>
      <c r="L226" s="152"/>
      <c r="M226" s="152"/>
      <c r="N226" s="152"/>
      <c r="O226" s="152"/>
      <c r="P226" s="152"/>
      <c r="Q226" s="152"/>
      <c r="R226" s="152"/>
      <c r="S226" s="152"/>
      <c r="T226" s="152"/>
      <c r="U226" s="152"/>
      <c r="V226" s="152"/>
      <c r="W226" s="152"/>
      <c r="X226" s="152"/>
      <c r="Y226" s="152"/>
      <c r="Z226" s="152"/>
    </row>
    <row r="227" ht="12.8" customHeight="1" spans="1:26">
      <c r="A227" s="152"/>
      <c r="B227" s="152"/>
      <c r="C227" s="152"/>
      <c r="D227" s="152"/>
      <c r="E227" s="152"/>
      <c r="F227" s="152"/>
      <c r="G227" s="152"/>
      <c r="H227" s="152"/>
      <c r="I227" s="152"/>
      <c r="J227" s="152"/>
      <c r="K227" s="152"/>
      <c r="L227" s="152"/>
      <c r="M227" s="152"/>
      <c r="N227" s="152"/>
      <c r="O227" s="152"/>
      <c r="P227" s="152"/>
      <c r="Q227" s="152"/>
      <c r="R227" s="152"/>
      <c r="S227" s="152"/>
      <c r="T227" s="152"/>
      <c r="U227" s="152"/>
      <c r="V227" s="152"/>
      <c r="W227" s="152"/>
      <c r="X227" s="152"/>
      <c r="Y227" s="152"/>
      <c r="Z227" s="152"/>
    </row>
    <row r="228" ht="12.8" customHeight="1" spans="1:26">
      <c r="A228" s="152"/>
      <c r="B228" s="152"/>
      <c r="C228" s="152"/>
      <c r="D228" s="152"/>
      <c r="E228" s="152"/>
      <c r="F228" s="152"/>
      <c r="G228" s="152"/>
      <c r="H228" s="152"/>
      <c r="I228" s="152"/>
      <c r="J228" s="152"/>
      <c r="K228" s="152"/>
      <c r="L228" s="152"/>
      <c r="M228" s="152"/>
      <c r="N228" s="152"/>
      <c r="O228" s="152"/>
      <c r="P228" s="152"/>
      <c r="Q228" s="152"/>
      <c r="R228" s="152"/>
      <c r="S228" s="152"/>
      <c r="T228" s="152"/>
      <c r="U228" s="152"/>
      <c r="V228" s="152"/>
      <c r="W228" s="152"/>
      <c r="X228" s="152"/>
      <c r="Y228" s="152"/>
      <c r="Z228" s="152"/>
    </row>
    <row r="229" ht="12.8" customHeight="1" spans="1:26">
      <c r="A229" s="152"/>
      <c r="B229" s="152"/>
      <c r="C229" s="152"/>
      <c r="D229" s="152"/>
      <c r="E229" s="152"/>
      <c r="F229" s="152"/>
      <c r="G229" s="152"/>
      <c r="H229" s="152"/>
      <c r="I229" s="152"/>
      <c r="J229" s="152"/>
      <c r="K229" s="152"/>
      <c r="L229" s="152"/>
      <c r="M229" s="152"/>
      <c r="N229" s="152"/>
      <c r="O229" s="152"/>
      <c r="P229" s="152"/>
      <c r="Q229" s="152"/>
      <c r="R229" s="152"/>
      <c r="S229" s="152"/>
      <c r="T229" s="152"/>
      <c r="U229" s="152"/>
      <c r="V229" s="152"/>
      <c r="W229" s="152"/>
      <c r="X229" s="152"/>
      <c r="Y229" s="152"/>
      <c r="Z229" s="152"/>
    </row>
    <row r="230" ht="12.8" customHeight="1" spans="1:26">
      <c r="A230" s="152"/>
      <c r="B230" s="152"/>
      <c r="C230" s="152"/>
      <c r="D230" s="152"/>
      <c r="E230" s="152"/>
      <c r="F230" s="152"/>
      <c r="G230" s="152"/>
      <c r="H230" s="152"/>
      <c r="I230" s="152"/>
      <c r="J230" s="152"/>
      <c r="K230" s="152"/>
      <c r="L230" s="152"/>
      <c r="M230" s="152"/>
      <c r="N230" s="152"/>
      <c r="O230" s="152"/>
      <c r="P230" s="152"/>
      <c r="Q230" s="152"/>
      <c r="R230" s="152"/>
      <c r="S230" s="152"/>
      <c r="T230" s="152"/>
      <c r="U230" s="152"/>
      <c r="V230" s="152"/>
      <c r="W230" s="152"/>
      <c r="X230" s="152"/>
      <c r="Y230" s="152"/>
      <c r="Z230" s="152"/>
    </row>
    <row r="231" ht="12.8" customHeight="1" spans="1:26">
      <c r="A231" s="152"/>
      <c r="B231" s="152"/>
      <c r="C231" s="152"/>
      <c r="D231" s="152"/>
      <c r="E231" s="152"/>
      <c r="F231" s="152"/>
      <c r="G231" s="152"/>
      <c r="H231" s="152"/>
      <c r="I231" s="152"/>
      <c r="J231" s="152"/>
      <c r="K231" s="152"/>
      <c r="L231" s="152"/>
      <c r="M231" s="152"/>
      <c r="N231" s="152"/>
      <c r="O231" s="152"/>
      <c r="P231" s="152"/>
      <c r="Q231" s="152"/>
      <c r="R231" s="152"/>
      <c r="S231" s="152"/>
      <c r="T231" s="152"/>
      <c r="U231" s="152"/>
      <c r="V231" s="152"/>
      <c r="W231" s="152"/>
      <c r="X231" s="152"/>
      <c r="Y231" s="152"/>
      <c r="Z231" s="152"/>
    </row>
    <row r="232" ht="12.8" customHeight="1" spans="1:26">
      <c r="A232" s="152"/>
      <c r="B232" s="152"/>
      <c r="C232" s="152"/>
      <c r="D232" s="152"/>
      <c r="E232" s="152"/>
      <c r="F232" s="152"/>
      <c r="G232" s="152"/>
      <c r="H232" s="152"/>
      <c r="I232" s="152"/>
      <c r="J232" s="152"/>
      <c r="K232" s="152"/>
      <c r="L232" s="152"/>
      <c r="M232" s="152"/>
      <c r="N232" s="152"/>
      <c r="O232" s="152"/>
      <c r="P232" s="152"/>
      <c r="Q232" s="152"/>
      <c r="R232" s="152"/>
      <c r="S232" s="152"/>
      <c r="T232" s="152"/>
      <c r="U232" s="152"/>
      <c r="V232" s="152"/>
      <c r="W232" s="152"/>
      <c r="X232" s="152"/>
      <c r="Y232" s="152"/>
      <c r="Z232" s="152"/>
    </row>
    <row r="233" ht="12.8" customHeight="1" spans="1:26">
      <c r="A233" s="152"/>
      <c r="B233" s="152"/>
      <c r="C233" s="152"/>
      <c r="D233" s="152"/>
      <c r="E233" s="152"/>
      <c r="F233" s="152"/>
      <c r="G233" s="152"/>
      <c r="H233" s="152"/>
      <c r="I233" s="152"/>
      <c r="J233" s="152"/>
      <c r="K233" s="152"/>
      <c r="L233" s="152"/>
      <c r="M233" s="152"/>
      <c r="N233" s="152"/>
      <c r="O233" s="152"/>
      <c r="P233" s="152"/>
      <c r="Q233" s="152"/>
      <c r="R233" s="152"/>
      <c r="S233" s="152"/>
      <c r="T233" s="152"/>
      <c r="U233" s="152"/>
      <c r="V233" s="152"/>
      <c r="W233" s="152"/>
      <c r="X233" s="152"/>
      <c r="Y233" s="152"/>
      <c r="Z233" s="152"/>
    </row>
    <row r="234" ht="12.8" customHeight="1" spans="1:26">
      <c r="A234" s="152"/>
      <c r="B234" s="152"/>
      <c r="C234" s="152"/>
      <c r="D234" s="152"/>
      <c r="E234" s="152"/>
      <c r="F234" s="152"/>
      <c r="G234" s="152"/>
      <c r="H234" s="152"/>
      <c r="I234" s="152"/>
      <c r="J234" s="152"/>
      <c r="K234" s="152"/>
      <c r="L234" s="152"/>
      <c r="M234" s="152"/>
      <c r="N234" s="152"/>
      <c r="O234" s="152"/>
      <c r="P234" s="152"/>
      <c r="Q234" s="152"/>
      <c r="R234" s="152"/>
      <c r="S234" s="152"/>
      <c r="T234" s="152"/>
      <c r="U234" s="152"/>
      <c r="V234" s="152"/>
      <c r="W234" s="152"/>
      <c r="X234" s="152"/>
      <c r="Y234" s="152"/>
      <c r="Z234" s="152"/>
    </row>
    <row r="235" ht="12.8" customHeight="1" spans="1:26">
      <c r="A235" s="152"/>
      <c r="B235" s="152"/>
      <c r="C235" s="152"/>
      <c r="D235" s="152"/>
      <c r="E235" s="152"/>
      <c r="F235" s="152"/>
      <c r="G235" s="152"/>
      <c r="H235" s="152"/>
      <c r="I235" s="152"/>
      <c r="J235" s="152"/>
      <c r="K235" s="152"/>
      <c r="L235" s="152"/>
      <c r="M235" s="152"/>
      <c r="N235" s="152"/>
      <c r="O235" s="152"/>
      <c r="P235" s="152"/>
      <c r="Q235" s="152"/>
      <c r="R235" s="152"/>
      <c r="S235" s="152"/>
      <c r="T235" s="152"/>
      <c r="U235" s="152"/>
      <c r="V235" s="152"/>
      <c r="W235" s="152"/>
      <c r="X235" s="152"/>
      <c r="Y235" s="152"/>
      <c r="Z235" s="152"/>
    </row>
    <row r="236" ht="12.8" customHeight="1" spans="1:26">
      <c r="A236" s="152"/>
      <c r="B236" s="152"/>
      <c r="C236" s="152"/>
      <c r="D236" s="152"/>
      <c r="E236" s="152"/>
      <c r="F236" s="152"/>
      <c r="G236" s="152"/>
      <c r="H236" s="152"/>
      <c r="I236" s="152"/>
      <c r="J236" s="152"/>
      <c r="K236" s="152"/>
      <c r="L236" s="152"/>
      <c r="M236" s="152"/>
      <c r="N236" s="152"/>
      <c r="O236" s="152"/>
      <c r="P236" s="152"/>
      <c r="Q236" s="152"/>
      <c r="R236" s="152"/>
      <c r="S236" s="152"/>
      <c r="T236" s="152"/>
      <c r="U236" s="152"/>
      <c r="V236" s="152"/>
      <c r="W236" s="152"/>
      <c r="X236" s="152"/>
      <c r="Y236" s="152"/>
      <c r="Z236" s="152"/>
    </row>
    <row r="237" ht="12.8" customHeight="1" spans="1:26">
      <c r="A237" s="152"/>
      <c r="B237" s="152"/>
      <c r="C237" s="152"/>
      <c r="D237" s="152"/>
      <c r="E237" s="152"/>
      <c r="F237" s="152"/>
      <c r="G237" s="152"/>
      <c r="H237" s="152"/>
      <c r="I237" s="152"/>
      <c r="J237" s="152"/>
      <c r="K237" s="152"/>
      <c r="L237" s="152"/>
      <c r="M237" s="152"/>
      <c r="N237" s="152"/>
      <c r="O237" s="152"/>
      <c r="P237" s="152"/>
      <c r="Q237" s="152"/>
      <c r="R237" s="152"/>
      <c r="S237" s="152"/>
      <c r="T237" s="152"/>
      <c r="U237" s="152"/>
      <c r="V237" s="152"/>
      <c r="W237" s="152"/>
      <c r="X237" s="152"/>
      <c r="Y237" s="152"/>
      <c r="Z237" s="152"/>
    </row>
    <row r="238" ht="12.8" customHeight="1" spans="1:26">
      <c r="A238" s="152"/>
      <c r="B238" s="152"/>
      <c r="C238" s="152"/>
      <c r="D238" s="152"/>
      <c r="E238" s="152"/>
      <c r="F238" s="152"/>
      <c r="G238" s="152"/>
      <c r="H238" s="152"/>
      <c r="I238" s="152"/>
      <c r="J238" s="152"/>
      <c r="K238" s="152"/>
      <c r="L238" s="152"/>
      <c r="M238" s="152"/>
      <c r="N238" s="152"/>
      <c r="O238" s="152"/>
      <c r="P238" s="152"/>
      <c r="Q238" s="152"/>
      <c r="R238" s="152"/>
      <c r="S238" s="152"/>
      <c r="T238" s="152"/>
      <c r="U238" s="152"/>
      <c r="V238" s="152"/>
      <c r="W238" s="152"/>
      <c r="X238" s="152"/>
      <c r="Y238" s="152"/>
      <c r="Z238" s="152"/>
    </row>
    <row r="239" ht="12.8" customHeight="1" spans="1:26">
      <c r="A239" s="152"/>
      <c r="B239" s="152"/>
      <c r="C239" s="152"/>
      <c r="D239" s="152"/>
      <c r="E239" s="152"/>
      <c r="F239" s="152"/>
      <c r="G239" s="152"/>
      <c r="H239" s="152"/>
      <c r="I239" s="152"/>
      <c r="J239" s="152"/>
      <c r="K239" s="152"/>
      <c r="L239" s="152"/>
      <c r="M239" s="152"/>
      <c r="N239" s="152"/>
      <c r="O239" s="152"/>
      <c r="P239" s="152"/>
      <c r="Q239" s="152"/>
      <c r="R239" s="152"/>
      <c r="S239" s="152"/>
      <c r="T239" s="152"/>
      <c r="U239" s="152"/>
      <c r="V239" s="152"/>
      <c r="W239" s="152"/>
      <c r="X239" s="152"/>
      <c r="Y239" s="152"/>
      <c r="Z239" s="152"/>
    </row>
    <row r="240" ht="12.8" customHeight="1" spans="1:26">
      <c r="A240" s="152"/>
      <c r="B240" s="152"/>
      <c r="C240" s="152"/>
      <c r="D240" s="152"/>
      <c r="E240" s="152"/>
      <c r="F240" s="152"/>
      <c r="G240" s="152"/>
      <c r="H240" s="152"/>
      <c r="I240" s="152"/>
      <c r="J240" s="152"/>
      <c r="K240" s="152"/>
      <c r="L240" s="152"/>
      <c r="M240" s="152"/>
      <c r="N240" s="152"/>
      <c r="O240" s="152"/>
      <c r="P240" s="152"/>
      <c r="Q240" s="152"/>
      <c r="R240" s="152"/>
      <c r="S240" s="152"/>
      <c r="T240" s="152"/>
      <c r="U240" s="152"/>
      <c r="V240" s="152"/>
      <c r="W240" s="152"/>
      <c r="X240" s="152"/>
      <c r="Y240" s="152"/>
      <c r="Z240" s="152"/>
    </row>
    <row r="241" ht="12.8" customHeight="1" spans="1:26">
      <c r="A241" s="152"/>
      <c r="B241" s="152"/>
      <c r="C241" s="152"/>
      <c r="D241" s="152"/>
      <c r="E241" s="152"/>
      <c r="F241" s="152"/>
      <c r="G241" s="152"/>
      <c r="H241" s="152"/>
      <c r="I241" s="152"/>
      <c r="J241" s="152"/>
      <c r="K241" s="152"/>
      <c r="L241" s="152"/>
      <c r="M241" s="152"/>
      <c r="N241" s="152"/>
      <c r="O241" s="152"/>
      <c r="P241" s="152"/>
      <c r="Q241" s="152"/>
      <c r="R241" s="152"/>
      <c r="S241" s="152"/>
      <c r="T241" s="152"/>
      <c r="U241" s="152"/>
      <c r="V241" s="152"/>
      <c r="W241" s="152"/>
      <c r="X241" s="152"/>
      <c r="Y241" s="152"/>
      <c r="Z241" s="152"/>
    </row>
    <row r="242" ht="12.8" customHeight="1" spans="1:26">
      <c r="A242" s="152"/>
      <c r="B242" s="152"/>
      <c r="C242" s="152"/>
      <c r="D242" s="152"/>
      <c r="E242" s="152"/>
      <c r="F242" s="152"/>
      <c r="G242" s="152"/>
      <c r="H242" s="152"/>
      <c r="I242" s="152"/>
      <c r="J242" s="152"/>
      <c r="K242" s="152"/>
      <c r="L242" s="152"/>
      <c r="M242" s="152"/>
      <c r="N242" s="152"/>
      <c r="O242" s="152"/>
      <c r="P242" s="152"/>
      <c r="Q242" s="152"/>
      <c r="R242" s="152"/>
      <c r="S242" s="152"/>
      <c r="T242" s="152"/>
      <c r="U242" s="152"/>
      <c r="V242" s="152"/>
      <c r="W242" s="152"/>
      <c r="X242" s="152"/>
      <c r="Y242" s="152"/>
      <c r="Z242" s="152"/>
    </row>
    <row r="243" ht="12.8" customHeight="1" spans="1:26">
      <c r="A243" s="152"/>
      <c r="B243" s="152"/>
      <c r="C243" s="152"/>
      <c r="D243" s="152"/>
      <c r="E243" s="152"/>
      <c r="F243" s="152"/>
      <c r="G243" s="152"/>
      <c r="H243" s="152"/>
      <c r="I243" s="152"/>
      <c r="J243" s="152"/>
      <c r="K243" s="152"/>
      <c r="L243" s="152"/>
      <c r="M243" s="152"/>
      <c r="N243" s="152"/>
      <c r="O243" s="152"/>
      <c r="P243" s="152"/>
      <c r="Q243" s="152"/>
      <c r="R243" s="152"/>
      <c r="S243" s="152"/>
      <c r="T243" s="152"/>
      <c r="U243" s="152"/>
      <c r="V243" s="152"/>
      <c r="W243" s="152"/>
      <c r="X243" s="152"/>
      <c r="Y243" s="152"/>
      <c r="Z243" s="152"/>
    </row>
    <row r="244" ht="12.8" customHeight="1" spans="1:26">
      <c r="A244" s="152"/>
      <c r="B244" s="152"/>
      <c r="C244" s="152"/>
      <c r="D244" s="152"/>
      <c r="E244" s="152"/>
      <c r="F244" s="152"/>
      <c r="G244" s="152"/>
      <c r="H244" s="152"/>
      <c r="I244" s="152"/>
      <c r="J244" s="152"/>
      <c r="K244" s="152"/>
      <c r="L244" s="152"/>
      <c r="M244" s="152"/>
      <c r="N244" s="152"/>
      <c r="O244" s="152"/>
      <c r="P244" s="152"/>
      <c r="Q244" s="152"/>
      <c r="R244" s="152"/>
      <c r="S244" s="152"/>
      <c r="T244" s="152"/>
      <c r="U244" s="152"/>
      <c r="V244" s="152"/>
      <c r="W244" s="152"/>
      <c r="X244" s="152"/>
      <c r="Y244" s="152"/>
      <c r="Z244" s="152"/>
    </row>
    <row r="245" ht="12.8" customHeight="1" spans="1:26">
      <c r="A245" s="152"/>
      <c r="B245" s="152"/>
      <c r="C245" s="152"/>
      <c r="D245" s="152"/>
      <c r="E245" s="152"/>
      <c r="F245" s="152"/>
      <c r="G245" s="152"/>
      <c r="H245" s="152"/>
      <c r="I245" s="152"/>
      <c r="J245" s="152"/>
      <c r="K245" s="152"/>
      <c r="L245" s="152"/>
      <c r="M245" s="152"/>
      <c r="N245" s="152"/>
      <c r="O245" s="152"/>
      <c r="P245" s="152"/>
      <c r="Q245" s="152"/>
      <c r="R245" s="152"/>
      <c r="S245" s="152"/>
      <c r="T245" s="152"/>
      <c r="U245" s="152"/>
      <c r="V245" s="152"/>
      <c r="W245" s="152"/>
      <c r="X245" s="152"/>
      <c r="Y245" s="152"/>
      <c r="Z245" s="152"/>
    </row>
    <row r="246" ht="12.8" customHeight="1" spans="1:26">
      <c r="A246" s="152"/>
      <c r="B246" s="152"/>
      <c r="C246" s="152"/>
      <c r="D246" s="152"/>
      <c r="E246" s="152"/>
      <c r="F246" s="152"/>
      <c r="G246" s="152"/>
      <c r="H246" s="152"/>
      <c r="I246" s="152"/>
      <c r="J246" s="152"/>
      <c r="K246" s="152"/>
      <c r="L246" s="152"/>
      <c r="M246" s="152"/>
      <c r="N246" s="152"/>
      <c r="O246" s="152"/>
      <c r="P246" s="152"/>
      <c r="Q246" s="152"/>
      <c r="R246" s="152"/>
      <c r="S246" s="152"/>
      <c r="T246" s="152"/>
      <c r="U246" s="152"/>
      <c r="V246" s="152"/>
      <c r="W246" s="152"/>
      <c r="X246" s="152"/>
      <c r="Y246" s="152"/>
      <c r="Z246" s="152"/>
    </row>
    <row r="247" ht="12.8" customHeight="1" spans="1:26">
      <c r="A247" s="152"/>
      <c r="B247" s="152"/>
      <c r="C247" s="152"/>
      <c r="D247" s="152"/>
      <c r="E247" s="152"/>
      <c r="F247" s="152"/>
      <c r="G247" s="152"/>
      <c r="H247" s="152"/>
      <c r="I247" s="152"/>
      <c r="J247" s="152"/>
      <c r="K247" s="152"/>
      <c r="L247" s="152"/>
      <c r="M247" s="152"/>
      <c r="N247" s="152"/>
      <c r="O247" s="152"/>
      <c r="P247" s="152"/>
      <c r="Q247" s="152"/>
      <c r="R247" s="152"/>
      <c r="S247" s="152"/>
      <c r="T247" s="152"/>
      <c r="U247" s="152"/>
      <c r="V247" s="152"/>
      <c r="W247" s="152"/>
      <c r="X247" s="152"/>
      <c r="Y247" s="152"/>
      <c r="Z247" s="152"/>
    </row>
    <row r="248" ht="12.8" customHeight="1" spans="1:26">
      <c r="A248" s="152"/>
      <c r="B248" s="152"/>
      <c r="C248" s="152"/>
      <c r="D248" s="152"/>
      <c r="E248" s="152"/>
      <c r="F248" s="152"/>
      <c r="G248" s="152"/>
      <c r="H248" s="152"/>
      <c r="I248" s="152"/>
      <c r="J248" s="152"/>
      <c r="K248" s="152"/>
      <c r="L248" s="152"/>
      <c r="M248" s="152"/>
      <c r="N248" s="152"/>
      <c r="O248" s="152"/>
      <c r="P248" s="152"/>
      <c r="Q248" s="152"/>
      <c r="R248" s="152"/>
      <c r="S248" s="152"/>
      <c r="T248" s="152"/>
      <c r="U248" s="152"/>
      <c r="V248" s="152"/>
      <c r="W248" s="152"/>
      <c r="X248" s="152"/>
      <c r="Y248" s="152"/>
      <c r="Z248" s="152"/>
    </row>
    <row r="249" ht="12.8" customHeight="1" spans="1:26">
      <c r="A249" s="152"/>
      <c r="B249" s="152"/>
      <c r="C249" s="152"/>
      <c r="D249" s="152"/>
      <c r="E249" s="152"/>
      <c r="F249" s="152"/>
      <c r="G249" s="152"/>
      <c r="H249" s="152"/>
      <c r="I249" s="152"/>
      <c r="J249" s="152"/>
      <c r="K249" s="152"/>
      <c r="L249" s="152"/>
      <c r="M249" s="152"/>
      <c r="N249" s="152"/>
      <c r="O249" s="152"/>
      <c r="P249" s="152"/>
      <c r="Q249" s="152"/>
      <c r="R249" s="152"/>
      <c r="S249" s="152"/>
      <c r="T249" s="152"/>
      <c r="U249" s="152"/>
      <c r="V249" s="152"/>
      <c r="W249" s="152"/>
      <c r="X249" s="152"/>
      <c r="Y249" s="152"/>
      <c r="Z249" s="152"/>
    </row>
    <row r="250" ht="12.8" customHeight="1" spans="1:26">
      <c r="A250" s="152"/>
      <c r="B250" s="152"/>
      <c r="C250" s="152"/>
      <c r="D250" s="152"/>
      <c r="E250" s="152"/>
      <c r="F250" s="152"/>
      <c r="G250" s="152"/>
      <c r="H250" s="152"/>
      <c r="I250" s="152"/>
      <c r="J250" s="152"/>
      <c r="K250" s="152"/>
      <c r="L250" s="152"/>
      <c r="M250" s="152"/>
      <c r="N250" s="152"/>
      <c r="O250" s="152"/>
      <c r="P250" s="152"/>
      <c r="Q250" s="152"/>
      <c r="R250" s="152"/>
      <c r="S250" s="152"/>
      <c r="T250" s="152"/>
      <c r="U250" s="152"/>
      <c r="V250" s="152"/>
      <c r="W250" s="152"/>
      <c r="X250" s="152"/>
      <c r="Y250" s="152"/>
      <c r="Z250" s="152"/>
    </row>
    <row r="251" ht="12.8" customHeight="1" spans="1:26">
      <c r="A251" s="152"/>
      <c r="B251" s="152"/>
      <c r="C251" s="152"/>
      <c r="D251" s="152"/>
      <c r="E251" s="152"/>
      <c r="F251" s="152"/>
      <c r="G251" s="152"/>
      <c r="H251" s="152"/>
      <c r="I251" s="152"/>
      <c r="J251" s="152"/>
      <c r="K251" s="152"/>
      <c r="L251" s="152"/>
      <c r="M251" s="152"/>
      <c r="N251" s="152"/>
      <c r="O251" s="152"/>
      <c r="P251" s="152"/>
      <c r="Q251" s="152"/>
      <c r="R251" s="152"/>
      <c r="S251" s="152"/>
      <c r="T251" s="152"/>
      <c r="U251" s="152"/>
      <c r="V251" s="152"/>
      <c r="W251" s="152"/>
      <c r="X251" s="152"/>
      <c r="Y251" s="152"/>
      <c r="Z251" s="152"/>
    </row>
    <row r="252" ht="12.8" customHeight="1" spans="1:26">
      <c r="A252" s="152"/>
      <c r="B252" s="152"/>
      <c r="C252" s="152"/>
      <c r="D252" s="152"/>
      <c r="E252" s="152"/>
      <c r="F252" s="152"/>
      <c r="G252" s="152"/>
      <c r="H252" s="152"/>
      <c r="I252" s="152"/>
      <c r="J252" s="152"/>
      <c r="K252" s="152"/>
      <c r="L252" s="152"/>
      <c r="M252" s="152"/>
      <c r="N252" s="152"/>
      <c r="O252" s="152"/>
      <c r="P252" s="152"/>
      <c r="Q252" s="152"/>
      <c r="R252" s="152"/>
      <c r="S252" s="152"/>
      <c r="T252" s="152"/>
      <c r="U252" s="152"/>
      <c r="V252" s="152"/>
      <c r="W252" s="152"/>
      <c r="X252" s="152"/>
      <c r="Y252" s="152"/>
      <c r="Z252" s="152"/>
    </row>
    <row r="253" ht="12.8" customHeight="1" spans="1:26">
      <c r="A253" s="152"/>
      <c r="B253" s="152"/>
      <c r="C253" s="152"/>
      <c r="D253" s="152"/>
      <c r="E253" s="152"/>
      <c r="F253" s="152"/>
      <c r="G253" s="152"/>
      <c r="H253" s="152"/>
      <c r="I253" s="152"/>
      <c r="J253" s="152"/>
      <c r="K253" s="152"/>
      <c r="L253" s="152"/>
      <c r="M253" s="152"/>
      <c r="N253" s="152"/>
      <c r="O253" s="152"/>
      <c r="P253" s="152"/>
      <c r="Q253" s="152"/>
      <c r="R253" s="152"/>
      <c r="S253" s="152"/>
      <c r="T253" s="152"/>
      <c r="U253" s="152"/>
      <c r="V253" s="152"/>
      <c r="W253" s="152"/>
      <c r="X253" s="152"/>
      <c r="Y253" s="152"/>
      <c r="Z253" s="152"/>
    </row>
    <row r="254" ht="12.8" customHeight="1" spans="1:26">
      <c r="A254" s="152"/>
      <c r="B254" s="152"/>
      <c r="C254" s="152"/>
      <c r="D254" s="152"/>
      <c r="E254" s="152"/>
      <c r="F254" s="152"/>
      <c r="G254" s="152"/>
      <c r="H254" s="152"/>
      <c r="I254" s="152"/>
      <c r="J254" s="152"/>
      <c r="K254" s="152"/>
      <c r="L254" s="152"/>
      <c r="M254" s="152"/>
      <c r="N254" s="152"/>
      <c r="O254" s="152"/>
      <c r="P254" s="152"/>
      <c r="Q254" s="152"/>
      <c r="R254" s="152"/>
      <c r="S254" s="152"/>
      <c r="T254" s="152"/>
      <c r="U254" s="152"/>
      <c r="V254" s="152"/>
      <c r="W254" s="152"/>
      <c r="X254" s="152"/>
      <c r="Y254" s="152"/>
      <c r="Z254" s="152"/>
    </row>
    <row r="255" ht="12.8" customHeight="1" spans="1:26">
      <c r="A255" s="152"/>
      <c r="B255" s="152"/>
      <c r="C255" s="152"/>
      <c r="D255" s="152"/>
      <c r="E255" s="152"/>
      <c r="F255" s="152"/>
      <c r="G255" s="152"/>
      <c r="H255" s="152"/>
      <c r="I255" s="152"/>
      <c r="J255" s="152"/>
      <c r="K255" s="152"/>
      <c r="L255" s="152"/>
      <c r="M255" s="152"/>
      <c r="N255" s="152"/>
      <c r="O255" s="152"/>
      <c r="P255" s="152"/>
      <c r="Q255" s="152"/>
      <c r="R255" s="152"/>
      <c r="S255" s="152"/>
      <c r="T255" s="152"/>
      <c r="U255" s="152"/>
      <c r="V255" s="152"/>
      <c r="W255" s="152"/>
      <c r="X255" s="152"/>
      <c r="Y255" s="152"/>
      <c r="Z255" s="152"/>
    </row>
    <row r="256" ht="12.8" customHeight="1" spans="1:26">
      <c r="A256" s="152"/>
      <c r="B256" s="152"/>
      <c r="C256" s="152"/>
      <c r="D256" s="152"/>
      <c r="E256" s="152"/>
      <c r="F256" s="152"/>
      <c r="G256" s="152"/>
      <c r="H256" s="152"/>
      <c r="I256" s="152"/>
      <c r="J256" s="152"/>
      <c r="K256" s="152"/>
      <c r="L256" s="152"/>
      <c r="M256" s="152"/>
      <c r="N256" s="152"/>
      <c r="O256" s="152"/>
      <c r="P256" s="152"/>
      <c r="Q256" s="152"/>
      <c r="R256" s="152"/>
      <c r="S256" s="152"/>
      <c r="T256" s="152"/>
      <c r="U256" s="152"/>
      <c r="V256" s="152"/>
      <c r="W256" s="152"/>
      <c r="X256" s="152"/>
      <c r="Y256" s="152"/>
      <c r="Z256" s="152"/>
    </row>
    <row r="257" ht="12.8" customHeight="1" spans="1:26">
      <c r="A257" s="152"/>
      <c r="B257" s="152"/>
      <c r="C257" s="152"/>
      <c r="D257" s="152"/>
      <c r="E257" s="152"/>
      <c r="F257" s="152"/>
      <c r="G257" s="152"/>
      <c r="H257" s="152"/>
      <c r="I257" s="152"/>
      <c r="J257" s="152"/>
      <c r="K257" s="152"/>
      <c r="L257" s="152"/>
      <c r="M257" s="152"/>
      <c r="N257" s="152"/>
      <c r="O257" s="152"/>
      <c r="P257" s="152"/>
      <c r="Q257" s="152"/>
      <c r="R257" s="152"/>
      <c r="S257" s="152"/>
      <c r="T257" s="152"/>
      <c r="U257" s="152"/>
      <c r="V257" s="152"/>
      <c r="W257" s="152"/>
      <c r="X257" s="152"/>
      <c r="Y257" s="152"/>
      <c r="Z257" s="152"/>
    </row>
    <row r="258" ht="12.8" customHeight="1" spans="1:26">
      <c r="A258" s="152"/>
      <c r="B258" s="152"/>
      <c r="C258" s="152"/>
      <c r="D258" s="152"/>
      <c r="E258" s="152"/>
      <c r="F258" s="152"/>
      <c r="G258" s="152"/>
      <c r="H258" s="152"/>
      <c r="I258" s="152"/>
      <c r="J258" s="152"/>
      <c r="K258" s="152"/>
      <c r="L258" s="152"/>
      <c r="M258" s="152"/>
      <c r="N258" s="152"/>
      <c r="O258" s="152"/>
      <c r="P258" s="152"/>
      <c r="Q258" s="152"/>
      <c r="R258" s="152"/>
      <c r="S258" s="152"/>
      <c r="T258" s="152"/>
      <c r="U258" s="152"/>
      <c r="V258" s="152"/>
      <c r="W258" s="152"/>
      <c r="X258" s="152"/>
      <c r="Y258" s="152"/>
      <c r="Z258" s="152"/>
    </row>
    <row r="259" ht="12.8" customHeight="1" spans="1:26">
      <c r="A259" s="152"/>
      <c r="B259" s="152"/>
      <c r="C259" s="152"/>
      <c r="D259" s="152"/>
      <c r="E259" s="152"/>
      <c r="F259" s="152"/>
      <c r="G259" s="152"/>
      <c r="H259" s="152"/>
      <c r="I259" s="152"/>
      <c r="J259" s="152"/>
      <c r="K259" s="152"/>
      <c r="L259" s="152"/>
      <c r="M259" s="152"/>
      <c r="N259" s="152"/>
      <c r="O259" s="152"/>
      <c r="P259" s="152"/>
      <c r="Q259" s="152"/>
      <c r="R259" s="152"/>
      <c r="S259" s="152"/>
      <c r="T259" s="152"/>
      <c r="U259" s="152"/>
      <c r="V259" s="152"/>
      <c r="W259" s="152"/>
      <c r="X259" s="152"/>
      <c r="Y259" s="152"/>
      <c r="Z259" s="152"/>
    </row>
    <row r="260" ht="12.8" customHeight="1" spans="1:26">
      <c r="A260" s="152"/>
      <c r="B260" s="152"/>
      <c r="C260" s="152"/>
      <c r="D260" s="152"/>
      <c r="E260" s="152"/>
      <c r="F260" s="152"/>
      <c r="G260" s="152"/>
      <c r="H260" s="152"/>
      <c r="I260" s="152"/>
      <c r="J260" s="152"/>
      <c r="K260" s="152"/>
      <c r="L260" s="152"/>
      <c r="M260" s="152"/>
      <c r="N260" s="152"/>
      <c r="O260" s="152"/>
      <c r="P260" s="152"/>
      <c r="Q260" s="152"/>
      <c r="R260" s="152"/>
      <c r="S260" s="152"/>
      <c r="T260" s="152"/>
      <c r="U260" s="152"/>
      <c r="V260" s="152"/>
      <c r="W260" s="152"/>
      <c r="X260" s="152"/>
      <c r="Y260" s="152"/>
      <c r="Z260" s="152"/>
    </row>
    <row r="261" ht="12.8" customHeight="1" spans="1:26">
      <c r="A261" s="152"/>
      <c r="B261" s="152"/>
      <c r="C261" s="152"/>
      <c r="D261" s="152"/>
      <c r="E261" s="152"/>
      <c r="F261" s="152"/>
      <c r="G261" s="152"/>
      <c r="H261" s="152"/>
      <c r="I261" s="152"/>
      <c r="J261" s="152"/>
      <c r="K261" s="152"/>
      <c r="L261" s="152"/>
      <c r="M261" s="152"/>
      <c r="N261" s="152"/>
      <c r="O261" s="152"/>
      <c r="P261" s="152"/>
      <c r="Q261" s="152"/>
      <c r="R261" s="152"/>
      <c r="S261" s="152"/>
      <c r="T261" s="152"/>
      <c r="U261" s="152"/>
      <c r="V261" s="152"/>
      <c r="W261" s="152"/>
      <c r="X261" s="152"/>
      <c r="Y261" s="152"/>
      <c r="Z261" s="152"/>
    </row>
    <row r="262" ht="12.8" customHeight="1" spans="1:26">
      <c r="A262" s="152"/>
      <c r="B262" s="152"/>
      <c r="C262" s="152"/>
      <c r="D262" s="152"/>
      <c r="E262" s="152"/>
      <c r="F262" s="152"/>
      <c r="G262" s="152"/>
      <c r="H262" s="152"/>
      <c r="I262" s="152"/>
      <c r="J262" s="152"/>
      <c r="K262" s="152"/>
      <c r="L262" s="152"/>
      <c r="M262" s="152"/>
      <c r="N262" s="152"/>
      <c r="O262" s="152"/>
      <c r="P262" s="152"/>
      <c r="Q262" s="152"/>
      <c r="R262" s="152"/>
      <c r="S262" s="152"/>
      <c r="T262" s="152"/>
      <c r="U262" s="152"/>
      <c r="V262" s="152"/>
      <c r="W262" s="152"/>
      <c r="X262" s="152"/>
      <c r="Y262" s="152"/>
      <c r="Z262" s="152"/>
    </row>
    <row r="263" ht="12.8" customHeight="1" spans="1:26">
      <c r="A263" s="152"/>
      <c r="B263" s="152"/>
      <c r="C263" s="152"/>
      <c r="D263" s="152"/>
      <c r="E263" s="152"/>
      <c r="F263" s="152"/>
      <c r="G263" s="152"/>
      <c r="H263" s="152"/>
      <c r="I263" s="152"/>
      <c r="J263" s="152"/>
      <c r="K263" s="152"/>
      <c r="L263" s="152"/>
      <c r="M263" s="152"/>
      <c r="N263" s="152"/>
      <c r="O263" s="152"/>
      <c r="P263" s="152"/>
      <c r="Q263" s="152"/>
      <c r="R263" s="152"/>
      <c r="S263" s="152"/>
      <c r="T263" s="152"/>
      <c r="U263" s="152"/>
      <c r="V263" s="152"/>
      <c r="W263" s="152"/>
      <c r="X263" s="152"/>
      <c r="Y263" s="152"/>
      <c r="Z263" s="152"/>
    </row>
    <row r="264" ht="12.8" customHeight="1" spans="1:26">
      <c r="A264" s="152"/>
      <c r="B264" s="152"/>
      <c r="C264" s="152"/>
      <c r="D264" s="152"/>
      <c r="E264" s="152"/>
      <c r="F264" s="152"/>
      <c r="G264" s="152"/>
      <c r="H264" s="152"/>
      <c r="I264" s="152"/>
      <c r="J264" s="152"/>
      <c r="K264" s="152"/>
      <c r="L264" s="152"/>
      <c r="M264" s="152"/>
      <c r="N264" s="152"/>
      <c r="O264" s="152"/>
      <c r="P264" s="152"/>
      <c r="Q264" s="152"/>
      <c r="R264" s="152"/>
      <c r="S264" s="152"/>
      <c r="T264" s="152"/>
      <c r="U264" s="152"/>
      <c r="V264" s="152"/>
      <c r="W264" s="152"/>
      <c r="X264" s="152"/>
      <c r="Y264" s="152"/>
      <c r="Z264" s="152"/>
    </row>
    <row r="265" ht="12.8" customHeight="1" spans="1:26">
      <c r="A265" s="152"/>
      <c r="B265" s="152"/>
      <c r="C265" s="152"/>
      <c r="D265" s="152"/>
      <c r="E265" s="152"/>
      <c r="F265" s="152"/>
      <c r="G265" s="152"/>
      <c r="H265" s="152"/>
      <c r="I265" s="152"/>
      <c r="J265" s="152"/>
      <c r="K265" s="152"/>
      <c r="L265" s="152"/>
      <c r="M265" s="152"/>
      <c r="N265" s="152"/>
      <c r="O265" s="152"/>
      <c r="P265" s="152"/>
      <c r="Q265" s="152"/>
      <c r="R265" s="152"/>
      <c r="S265" s="152"/>
      <c r="T265" s="152"/>
      <c r="U265" s="152"/>
      <c r="V265" s="152"/>
      <c r="W265" s="152"/>
      <c r="X265" s="152"/>
      <c r="Y265" s="152"/>
      <c r="Z265" s="152"/>
    </row>
    <row r="266" ht="12.8" customHeight="1" spans="1:26">
      <c r="A266" s="152"/>
      <c r="B266" s="152"/>
      <c r="C266" s="152"/>
      <c r="D266" s="152"/>
      <c r="E266" s="152"/>
      <c r="F266" s="152"/>
      <c r="G266" s="152"/>
      <c r="H266" s="152"/>
      <c r="I266" s="152"/>
      <c r="J266" s="152"/>
      <c r="K266" s="152"/>
      <c r="L266" s="152"/>
      <c r="M266" s="152"/>
      <c r="N266" s="152"/>
      <c r="O266" s="152"/>
      <c r="P266" s="152"/>
      <c r="Q266" s="152"/>
      <c r="R266" s="152"/>
      <c r="S266" s="152"/>
      <c r="T266" s="152"/>
      <c r="U266" s="152"/>
      <c r="V266" s="152"/>
      <c r="W266" s="152"/>
      <c r="X266" s="152"/>
      <c r="Y266" s="152"/>
      <c r="Z266" s="152"/>
    </row>
    <row r="267" ht="12.8" customHeight="1" spans="1:26">
      <c r="A267" s="152"/>
      <c r="B267" s="152"/>
      <c r="C267" s="152"/>
      <c r="D267" s="152"/>
      <c r="E267" s="152"/>
      <c r="F267" s="152"/>
      <c r="G267" s="152"/>
      <c r="H267" s="152"/>
      <c r="I267" s="152"/>
      <c r="J267" s="152"/>
      <c r="K267" s="152"/>
      <c r="L267" s="152"/>
      <c r="M267" s="152"/>
      <c r="N267" s="152"/>
      <c r="O267" s="152"/>
      <c r="P267" s="152"/>
      <c r="Q267" s="152"/>
      <c r="R267" s="152"/>
      <c r="S267" s="152"/>
      <c r="T267" s="152"/>
      <c r="U267" s="152"/>
      <c r="V267" s="152"/>
      <c r="W267" s="152"/>
      <c r="X267" s="152"/>
      <c r="Y267" s="152"/>
      <c r="Z267" s="152"/>
    </row>
    <row r="268" ht="12.8" customHeight="1" spans="1:26">
      <c r="A268" s="152"/>
      <c r="B268" s="152"/>
      <c r="C268" s="152"/>
      <c r="D268" s="152"/>
      <c r="E268" s="152"/>
      <c r="F268" s="152"/>
      <c r="G268" s="152"/>
      <c r="H268" s="152"/>
      <c r="I268" s="152"/>
      <c r="J268" s="152"/>
      <c r="K268" s="152"/>
      <c r="L268" s="152"/>
      <c r="M268" s="152"/>
      <c r="N268" s="152"/>
      <c r="O268" s="152"/>
      <c r="P268" s="152"/>
      <c r="Q268" s="152"/>
      <c r="R268" s="152"/>
      <c r="S268" s="152"/>
      <c r="T268" s="152"/>
      <c r="U268" s="152"/>
      <c r="V268" s="152"/>
      <c r="W268" s="152"/>
      <c r="X268" s="152"/>
      <c r="Y268" s="152"/>
      <c r="Z268" s="152"/>
    </row>
    <row r="269" ht="12.8" customHeight="1" spans="1:26">
      <c r="A269" s="152"/>
      <c r="B269" s="152"/>
      <c r="C269" s="152"/>
      <c r="D269" s="152"/>
      <c r="E269" s="152"/>
      <c r="F269" s="152"/>
      <c r="G269" s="152"/>
      <c r="H269" s="152"/>
      <c r="I269" s="152"/>
      <c r="J269" s="152"/>
      <c r="K269" s="152"/>
      <c r="L269" s="152"/>
      <c r="M269" s="152"/>
      <c r="N269" s="152"/>
      <c r="O269" s="152"/>
      <c r="P269" s="152"/>
      <c r="Q269" s="152"/>
      <c r="R269" s="152"/>
      <c r="S269" s="152"/>
      <c r="T269" s="152"/>
      <c r="U269" s="152"/>
      <c r="V269" s="152"/>
      <c r="W269" s="152"/>
      <c r="X269" s="152"/>
      <c r="Y269" s="152"/>
      <c r="Z269" s="152"/>
    </row>
    <row r="270" ht="12.8" customHeight="1" spans="1:26">
      <c r="A270" s="152"/>
      <c r="B270" s="152"/>
      <c r="C270" s="152"/>
      <c r="D270" s="152"/>
      <c r="E270" s="152"/>
      <c r="F270" s="152"/>
      <c r="G270" s="152"/>
      <c r="H270" s="152"/>
      <c r="I270" s="152"/>
      <c r="J270" s="152"/>
      <c r="K270" s="152"/>
      <c r="L270" s="152"/>
      <c r="M270" s="152"/>
      <c r="N270" s="152"/>
      <c r="O270" s="152"/>
      <c r="P270" s="152"/>
      <c r="Q270" s="152"/>
      <c r="R270" s="152"/>
      <c r="S270" s="152"/>
      <c r="T270" s="152"/>
      <c r="U270" s="152"/>
      <c r="V270" s="152"/>
      <c r="W270" s="152"/>
      <c r="X270" s="152"/>
      <c r="Y270" s="152"/>
      <c r="Z270" s="152"/>
    </row>
    <row r="271" ht="12.8" customHeight="1" spans="1:26">
      <c r="A271" s="152"/>
      <c r="B271" s="152"/>
      <c r="C271" s="152"/>
      <c r="D271" s="152"/>
      <c r="E271" s="152"/>
      <c r="F271" s="152"/>
      <c r="G271" s="152"/>
      <c r="H271" s="152"/>
      <c r="I271" s="152"/>
      <c r="J271" s="152"/>
      <c r="K271" s="152"/>
      <c r="L271" s="152"/>
      <c r="M271" s="152"/>
      <c r="N271" s="152"/>
      <c r="O271" s="152"/>
      <c r="P271" s="152"/>
      <c r="Q271" s="152"/>
      <c r="R271" s="152"/>
      <c r="S271" s="152"/>
      <c r="T271" s="152"/>
      <c r="U271" s="152"/>
      <c r="V271" s="152"/>
      <c r="W271" s="152"/>
      <c r="X271" s="152"/>
      <c r="Y271" s="152"/>
      <c r="Z271" s="152"/>
    </row>
    <row r="272" ht="12.8" customHeight="1" spans="1:26">
      <c r="A272" s="152"/>
      <c r="B272" s="152"/>
      <c r="C272" s="152"/>
      <c r="D272" s="152"/>
      <c r="E272" s="152"/>
      <c r="F272" s="152"/>
      <c r="G272" s="152"/>
      <c r="H272" s="152"/>
      <c r="I272" s="152"/>
      <c r="J272" s="152"/>
      <c r="K272" s="152"/>
      <c r="L272" s="152"/>
      <c r="M272" s="152"/>
      <c r="N272" s="152"/>
      <c r="O272" s="152"/>
      <c r="P272" s="152"/>
      <c r="Q272" s="152"/>
      <c r="R272" s="152"/>
      <c r="S272" s="152"/>
      <c r="T272" s="152"/>
      <c r="U272" s="152"/>
      <c r="V272" s="152"/>
      <c r="W272" s="152"/>
      <c r="X272" s="152"/>
      <c r="Y272" s="152"/>
      <c r="Z272" s="152"/>
    </row>
    <row r="273" ht="12.8" customHeight="1" spans="1:26">
      <c r="A273" s="152"/>
      <c r="B273" s="152"/>
      <c r="C273" s="152"/>
      <c r="D273" s="152"/>
      <c r="E273" s="152"/>
      <c r="F273" s="152"/>
      <c r="G273" s="152"/>
      <c r="H273" s="152"/>
      <c r="I273" s="152"/>
      <c r="J273" s="152"/>
      <c r="K273" s="152"/>
      <c r="L273" s="152"/>
      <c r="M273" s="152"/>
      <c r="N273" s="152"/>
      <c r="O273" s="152"/>
      <c r="P273" s="152"/>
      <c r="Q273" s="152"/>
      <c r="R273" s="152"/>
      <c r="S273" s="152"/>
      <c r="T273" s="152"/>
      <c r="U273" s="152"/>
      <c r="V273" s="152"/>
      <c r="W273" s="152"/>
      <c r="X273" s="152"/>
      <c r="Y273" s="152"/>
      <c r="Z273" s="152"/>
    </row>
    <row r="274" ht="12.8" customHeight="1" spans="1:26">
      <c r="A274" s="152"/>
      <c r="B274" s="152"/>
      <c r="C274" s="152"/>
      <c r="D274" s="152"/>
      <c r="E274" s="152"/>
      <c r="F274" s="152"/>
      <c r="G274" s="152"/>
      <c r="H274" s="152"/>
      <c r="I274" s="152"/>
      <c r="J274" s="152"/>
      <c r="K274" s="152"/>
      <c r="L274" s="152"/>
      <c r="M274" s="152"/>
      <c r="N274" s="152"/>
      <c r="O274" s="152"/>
      <c r="P274" s="152"/>
      <c r="Q274" s="152"/>
      <c r="R274" s="152"/>
      <c r="S274" s="152"/>
      <c r="T274" s="152"/>
      <c r="U274" s="152"/>
      <c r="V274" s="152"/>
      <c r="W274" s="152"/>
      <c r="X274" s="152"/>
      <c r="Y274" s="152"/>
      <c r="Z274" s="152"/>
    </row>
    <row r="275" ht="12.8" customHeight="1" spans="1:26">
      <c r="A275" s="152"/>
      <c r="B275" s="152"/>
      <c r="C275" s="152"/>
      <c r="D275" s="152"/>
      <c r="E275" s="152"/>
      <c r="F275" s="152"/>
      <c r="G275" s="152"/>
      <c r="H275" s="152"/>
      <c r="I275" s="152"/>
      <c r="J275" s="152"/>
      <c r="K275" s="152"/>
      <c r="L275" s="152"/>
      <c r="M275" s="152"/>
      <c r="N275" s="152"/>
      <c r="O275" s="152"/>
      <c r="P275" s="152"/>
      <c r="Q275" s="152"/>
      <c r="R275" s="152"/>
      <c r="S275" s="152"/>
      <c r="T275" s="152"/>
      <c r="U275" s="152"/>
      <c r="V275" s="152"/>
      <c r="W275" s="152"/>
      <c r="X275" s="152"/>
      <c r="Y275" s="152"/>
      <c r="Z275" s="152"/>
    </row>
    <row r="276" ht="12.8" customHeight="1" spans="1:26">
      <c r="A276" s="152"/>
      <c r="B276" s="152"/>
      <c r="C276" s="152"/>
      <c r="D276" s="152"/>
      <c r="E276" s="152"/>
      <c r="F276" s="152"/>
      <c r="G276" s="152"/>
      <c r="H276" s="152"/>
      <c r="I276" s="152"/>
      <c r="J276" s="152"/>
      <c r="K276" s="152"/>
      <c r="L276" s="152"/>
      <c r="M276" s="152"/>
      <c r="N276" s="152"/>
      <c r="O276" s="152"/>
      <c r="P276" s="152"/>
      <c r="Q276" s="152"/>
      <c r="R276" s="152"/>
      <c r="S276" s="152"/>
      <c r="T276" s="152"/>
      <c r="U276" s="152"/>
      <c r="V276" s="152"/>
      <c r="W276" s="152"/>
      <c r="X276" s="152"/>
      <c r="Y276" s="152"/>
      <c r="Z276" s="152"/>
    </row>
    <row r="277" ht="12.8" customHeight="1" spans="1:26">
      <c r="A277" s="152"/>
      <c r="B277" s="152"/>
      <c r="C277" s="152"/>
      <c r="D277" s="152"/>
      <c r="E277" s="152"/>
      <c r="F277" s="152"/>
      <c r="G277" s="152"/>
      <c r="H277" s="152"/>
      <c r="I277" s="152"/>
      <c r="J277" s="152"/>
      <c r="K277" s="152"/>
      <c r="L277" s="152"/>
      <c r="M277" s="152"/>
      <c r="N277" s="152"/>
      <c r="O277" s="152"/>
      <c r="P277" s="152"/>
      <c r="Q277" s="152"/>
      <c r="R277" s="152"/>
      <c r="S277" s="152"/>
      <c r="T277" s="152"/>
      <c r="U277" s="152"/>
      <c r="V277" s="152"/>
      <c r="W277" s="152"/>
      <c r="X277" s="152"/>
      <c r="Y277" s="152"/>
      <c r="Z277" s="152"/>
    </row>
    <row r="278" ht="12.8" customHeight="1" spans="1:26">
      <c r="A278" s="152"/>
      <c r="B278" s="152"/>
      <c r="C278" s="152"/>
      <c r="D278" s="152"/>
      <c r="E278" s="152"/>
      <c r="F278" s="152"/>
      <c r="G278" s="152"/>
      <c r="H278" s="152"/>
      <c r="I278" s="152"/>
      <c r="J278" s="152"/>
      <c r="K278" s="152"/>
      <c r="L278" s="152"/>
      <c r="M278" s="152"/>
      <c r="N278" s="152"/>
      <c r="O278" s="152"/>
      <c r="P278" s="152"/>
      <c r="Q278" s="152"/>
      <c r="R278" s="152"/>
      <c r="S278" s="152"/>
      <c r="T278" s="152"/>
      <c r="U278" s="152"/>
      <c r="V278" s="152"/>
      <c r="W278" s="152"/>
      <c r="X278" s="152"/>
      <c r="Y278" s="152"/>
      <c r="Z278" s="152"/>
    </row>
    <row r="279" ht="12.8" customHeight="1" spans="1:26">
      <c r="A279" s="152"/>
      <c r="B279" s="152"/>
      <c r="C279" s="152"/>
      <c r="D279" s="152"/>
      <c r="E279" s="152"/>
      <c r="F279" s="152"/>
      <c r="G279" s="152"/>
      <c r="H279" s="152"/>
      <c r="I279" s="152"/>
      <c r="J279" s="152"/>
      <c r="K279" s="152"/>
      <c r="L279" s="152"/>
      <c r="M279" s="152"/>
      <c r="N279" s="152"/>
      <c r="O279" s="152"/>
      <c r="P279" s="152"/>
      <c r="Q279" s="152"/>
      <c r="R279" s="152"/>
      <c r="S279" s="152"/>
      <c r="T279" s="152"/>
      <c r="U279" s="152"/>
      <c r="V279" s="152"/>
      <c r="W279" s="152"/>
      <c r="X279" s="152"/>
      <c r="Y279" s="152"/>
      <c r="Z279" s="152"/>
    </row>
    <row r="280" ht="12.8" customHeight="1" spans="1:26">
      <c r="A280" s="152"/>
      <c r="B280" s="152"/>
      <c r="C280" s="152"/>
      <c r="D280" s="152"/>
      <c r="E280" s="152"/>
      <c r="F280" s="152"/>
      <c r="G280" s="152"/>
      <c r="H280" s="152"/>
      <c r="I280" s="152"/>
      <c r="J280" s="152"/>
      <c r="K280" s="152"/>
      <c r="L280" s="152"/>
      <c r="M280" s="152"/>
      <c r="N280" s="152"/>
      <c r="O280" s="152"/>
      <c r="P280" s="152"/>
      <c r="Q280" s="152"/>
      <c r="R280" s="152"/>
      <c r="S280" s="152"/>
      <c r="T280" s="152"/>
      <c r="U280" s="152"/>
      <c r="V280" s="152"/>
      <c r="W280" s="152"/>
      <c r="X280" s="152"/>
      <c r="Y280" s="152"/>
      <c r="Z280" s="152"/>
    </row>
    <row r="281" ht="12.8" customHeight="1" spans="1:26">
      <c r="A281" s="152"/>
      <c r="B281" s="152"/>
      <c r="C281" s="152"/>
      <c r="D281" s="152"/>
      <c r="E281" s="152"/>
      <c r="F281" s="152"/>
      <c r="G281" s="152"/>
      <c r="H281" s="152"/>
      <c r="I281" s="152"/>
      <c r="J281" s="152"/>
      <c r="K281" s="152"/>
      <c r="L281" s="152"/>
      <c r="M281" s="152"/>
      <c r="N281" s="152"/>
      <c r="O281" s="152"/>
      <c r="P281" s="152"/>
      <c r="Q281" s="152"/>
      <c r="R281" s="152"/>
      <c r="S281" s="152"/>
      <c r="T281" s="152"/>
      <c r="U281" s="152"/>
      <c r="V281" s="152"/>
      <c r="W281" s="152"/>
      <c r="X281" s="152"/>
      <c r="Y281" s="152"/>
      <c r="Z281" s="152"/>
    </row>
    <row r="282" ht="12.8" customHeight="1" spans="1:26">
      <c r="A282" s="152"/>
      <c r="B282" s="152"/>
      <c r="C282" s="152"/>
      <c r="D282" s="152"/>
      <c r="E282" s="152"/>
      <c r="F282" s="152"/>
      <c r="G282" s="152"/>
      <c r="H282" s="152"/>
      <c r="I282" s="152"/>
      <c r="J282" s="152"/>
      <c r="K282" s="152"/>
      <c r="L282" s="152"/>
      <c r="M282" s="152"/>
      <c r="N282" s="152"/>
      <c r="O282" s="152"/>
      <c r="P282" s="152"/>
      <c r="Q282" s="152"/>
      <c r="R282" s="152"/>
      <c r="S282" s="152"/>
      <c r="T282" s="152"/>
      <c r="U282" s="152"/>
      <c r="V282" s="152"/>
      <c r="W282" s="152"/>
      <c r="X282" s="152"/>
      <c r="Y282" s="152"/>
      <c r="Z282" s="152"/>
    </row>
    <row r="283" ht="12.8" customHeight="1" spans="1:26">
      <c r="A283" s="152"/>
      <c r="B283" s="152"/>
      <c r="C283" s="152"/>
      <c r="D283" s="152"/>
      <c r="E283" s="152"/>
      <c r="F283" s="152"/>
      <c r="G283" s="152"/>
      <c r="H283" s="152"/>
      <c r="I283" s="152"/>
      <c r="J283" s="152"/>
      <c r="K283" s="152"/>
      <c r="L283" s="152"/>
      <c r="M283" s="152"/>
      <c r="N283" s="152"/>
      <c r="O283" s="152"/>
      <c r="P283" s="152"/>
      <c r="Q283" s="152"/>
      <c r="R283" s="152"/>
      <c r="S283" s="152"/>
      <c r="T283" s="152"/>
      <c r="U283" s="152"/>
      <c r="V283" s="152"/>
      <c r="W283" s="152"/>
      <c r="X283" s="152"/>
      <c r="Y283" s="152"/>
      <c r="Z283" s="152"/>
    </row>
    <row r="284" ht="12.8" customHeight="1" spans="1:26">
      <c r="A284" s="152"/>
      <c r="B284" s="152"/>
      <c r="C284" s="152"/>
      <c r="D284" s="152"/>
      <c r="E284" s="152"/>
      <c r="F284" s="152"/>
      <c r="G284" s="152"/>
      <c r="H284" s="152"/>
      <c r="I284" s="152"/>
      <c r="J284" s="152"/>
      <c r="K284" s="152"/>
      <c r="L284" s="152"/>
      <c r="M284" s="152"/>
      <c r="N284" s="152"/>
      <c r="O284" s="152"/>
      <c r="P284" s="152"/>
      <c r="Q284" s="152"/>
      <c r="R284" s="152"/>
      <c r="S284" s="152"/>
      <c r="T284" s="152"/>
      <c r="U284" s="152"/>
      <c r="V284" s="152"/>
      <c r="W284" s="152"/>
      <c r="X284" s="152"/>
      <c r="Y284" s="152"/>
      <c r="Z284" s="152"/>
    </row>
    <row r="285" ht="12.8" customHeight="1" spans="1:26">
      <c r="A285" s="152"/>
      <c r="B285" s="152"/>
      <c r="C285" s="152"/>
      <c r="D285" s="152"/>
      <c r="E285" s="152"/>
      <c r="F285" s="152"/>
      <c r="G285" s="152"/>
      <c r="H285" s="152"/>
      <c r="I285" s="152"/>
      <c r="J285" s="152"/>
      <c r="K285" s="152"/>
      <c r="L285" s="152"/>
      <c r="M285" s="152"/>
      <c r="N285" s="152"/>
      <c r="O285" s="152"/>
      <c r="P285" s="152"/>
      <c r="Q285" s="152"/>
      <c r="R285" s="152"/>
      <c r="S285" s="152"/>
      <c r="T285" s="152"/>
      <c r="U285" s="152"/>
      <c r="V285" s="152"/>
      <c r="W285" s="152"/>
      <c r="X285" s="152"/>
      <c r="Y285" s="152"/>
      <c r="Z285" s="152"/>
    </row>
    <row r="286" ht="12.8" customHeight="1" spans="1:26">
      <c r="A286" s="152"/>
      <c r="B286" s="152"/>
      <c r="C286" s="152"/>
      <c r="D286" s="152"/>
      <c r="E286" s="152"/>
      <c r="F286" s="152"/>
      <c r="G286" s="152"/>
      <c r="H286" s="152"/>
      <c r="I286" s="152"/>
      <c r="J286" s="152"/>
      <c r="K286" s="152"/>
      <c r="L286" s="152"/>
      <c r="M286" s="152"/>
      <c r="N286" s="152"/>
      <c r="O286" s="152"/>
      <c r="P286" s="152"/>
      <c r="Q286" s="152"/>
      <c r="R286" s="152"/>
      <c r="S286" s="152"/>
      <c r="T286" s="152"/>
      <c r="U286" s="152"/>
      <c r="V286" s="152"/>
      <c r="W286" s="152"/>
      <c r="X286" s="152"/>
      <c r="Y286" s="152"/>
      <c r="Z286" s="152"/>
    </row>
    <row r="287" ht="12.8" customHeight="1" spans="1:26">
      <c r="A287" s="152"/>
      <c r="B287" s="152"/>
      <c r="C287" s="152"/>
      <c r="D287" s="152"/>
      <c r="E287" s="152"/>
      <c r="F287" s="152"/>
      <c r="G287" s="152"/>
      <c r="H287" s="152"/>
      <c r="I287" s="152"/>
      <c r="J287" s="152"/>
      <c r="K287" s="152"/>
      <c r="L287" s="152"/>
      <c r="M287" s="152"/>
      <c r="N287" s="152"/>
      <c r="O287" s="152"/>
      <c r="P287" s="152"/>
      <c r="Q287" s="152"/>
      <c r="R287" s="152"/>
      <c r="S287" s="152"/>
      <c r="T287" s="152"/>
      <c r="U287" s="152"/>
      <c r="V287" s="152"/>
      <c r="W287" s="152"/>
      <c r="X287" s="152"/>
      <c r="Y287" s="152"/>
      <c r="Z287" s="152"/>
    </row>
    <row r="288" ht="12.8" customHeight="1" spans="1:26">
      <c r="A288" s="152"/>
      <c r="B288" s="152"/>
      <c r="C288" s="152"/>
      <c r="D288" s="152"/>
      <c r="E288" s="152"/>
      <c r="F288" s="152"/>
      <c r="G288" s="152"/>
      <c r="H288" s="152"/>
      <c r="I288" s="152"/>
      <c r="J288" s="152"/>
      <c r="K288" s="152"/>
      <c r="L288" s="152"/>
      <c r="M288" s="152"/>
      <c r="N288" s="152"/>
      <c r="O288" s="152"/>
      <c r="P288" s="152"/>
      <c r="Q288" s="152"/>
      <c r="R288" s="152"/>
      <c r="S288" s="152"/>
      <c r="T288" s="152"/>
      <c r="U288" s="152"/>
      <c r="V288" s="152"/>
      <c r="W288" s="152"/>
      <c r="X288" s="152"/>
      <c r="Y288" s="152"/>
      <c r="Z288" s="152"/>
    </row>
    <row r="289" ht="12.8" customHeight="1" spans="1:26">
      <c r="A289" s="152"/>
      <c r="B289" s="152"/>
      <c r="C289" s="152"/>
      <c r="D289" s="152"/>
      <c r="E289" s="152"/>
      <c r="F289" s="152"/>
      <c r="G289" s="152"/>
      <c r="H289" s="152"/>
      <c r="I289" s="152"/>
      <c r="J289" s="152"/>
      <c r="K289" s="152"/>
      <c r="L289" s="152"/>
      <c r="M289" s="152"/>
      <c r="N289" s="152"/>
      <c r="O289" s="152"/>
      <c r="P289" s="152"/>
      <c r="Q289" s="152"/>
      <c r="R289" s="152"/>
      <c r="S289" s="152"/>
      <c r="T289" s="152"/>
      <c r="U289" s="152"/>
      <c r="V289" s="152"/>
      <c r="W289" s="152"/>
      <c r="X289" s="152"/>
      <c r="Y289" s="152"/>
      <c r="Z289" s="152"/>
    </row>
    <row r="290" ht="12.8" customHeight="1" spans="1:26">
      <c r="A290" s="152"/>
      <c r="B290" s="152"/>
      <c r="C290" s="152"/>
      <c r="D290" s="152"/>
      <c r="E290" s="152"/>
      <c r="F290" s="152"/>
      <c r="G290" s="152"/>
      <c r="H290" s="152"/>
      <c r="I290" s="152"/>
      <c r="J290" s="152"/>
      <c r="K290" s="152"/>
      <c r="L290" s="152"/>
      <c r="M290" s="152"/>
      <c r="N290" s="152"/>
      <c r="O290" s="152"/>
      <c r="P290" s="152"/>
      <c r="Q290" s="152"/>
      <c r="R290" s="152"/>
      <c r="S290" s="152"/>
      <c r="T290" s="152"/>
      <c r="U290" s="152"/>
      <c r="V290" s="152"/>
      <c r="W290" s="152"/>
      <c r="X290" s="152"/>
      <c r="Y290" s="152"/>
      <c r="Z290" s="152"/>
    </row>
    <row r="291" ht="12.8" customHeight="1" spans="1:26">
      <c r="A291" s="152"/>
      <c r="B291" s="152"/>
      <c r="C291" s="152"/>
      <c r="D291" s="152"/>
      <c r="E291" s="152"/>
      <c r="F291" s="152"/>
      <c r="G291" s="152"/>
      <c r="H291" s="152"/>
      <c r="I291" s="152"/>
      <c r="J291" s="152"/>
      <c r="K291" s="152"/>
      <c r="L291" s="152"/>
      <c r="M291" s="152"/>
      <c r="N291" s="152"/>
      <c r="O291" s="152"/>
      <c r="P291" s="152"/>
      <c r="Q291" s="152"/>
      <c r="R291" s="152"/>
      <c r="S291" s="152"/>
      <c r="T291" s="152"/>
      <c r="U291" s="152"/>
      <c r="V291" s="152"/>
      <c r="W291" s="152"/>
      <c r="X291" s="152"/>
      <c r="Y291" s="152"/>
      <c r="Z291" s="152"/>
    </row>
    <row r="292" ht="12.8" customHeight="1" spans="1:26">
      <c r="A292" s="152"/>
      <c r="B292" s="152"/>
      <c r="C292" s="152"/>
      <c r="D292" s="152"/>
      <c r="E292" s="152"/>
      <c r="F292" s="152"/>
      <c r="G292" s="152"/>
      <c r="H292" s="152"/>
      <c r="I292" s="152"/>
      <c r="J292" s="152"/>
      <c r="K292" s="152"/>
      <c r="L292" s="152"/>
      <c r="M292" s="152"/>
      <c r="N292" s="152"/>
      <c r="O292" s="152"/>
      <c r="P292" s="152"/>
      <c r="Q292" s="152"/>
      <c r="R292" s="152"/>
      <c r="S292" s="152"/>
      <c r="T292" s="152"/>
      <c r="U292" s="152"/>
      <c r="V292" s="152"/>
      <c r="W292" s="152"/>
      <c r="X292" s="152"/>
      <c r="Y292" s="152"/>
      <c r="Z292" s="152"/>
    </row>
    <row r="293" ht="12.8" customHeight="1" spans="1:26">
      <c r="A293" s="152"/>
      <c r="B293" s="152"/>
      <c r="C293" s="152"/>
      <c r="D293" s="152"/>
      <c r="E293" s="152"/>
      <c r="F293" s="152"/>
      <c r="G293" s="152"/>
      <c r="H293" s="152"/>
      <c r="I293" s="152"/>
      <c r="J293" s="152"/>
      <c r="K293" s="152"/>
      <c r="L293" s="152"/>
      <c r="M293" s="152"/>
      <c r="N293" s="152"/>
      <c r="O293" s="152"/>
      <c r="P293" s="152"/>
      <c r="Q293" s="152"/>
      <c r="R293" s="152"/>
      <c r="S293" s="152"/>
      <c r="T293" s="152"/>
      <c r="U293" s="152"/>
      <c r="V293" s="152"/>
      <c r="W293" s="152"/>
      <c r="X293" s="152"/>
      <c r="Y293" s="152"/>
      <c r="Z293" s="152"/>
    </row>
    <row r="294" ht="12.8" customHeight="1" spans="1:26">
      <c r="A294" s="152"/>
      <c r="B294" s="152"/>
      <c r="C294" s="152"/>
      <c r="D294" s="152"/>
      <c r="E294" s="152"/>
      <c r="F294" s="152"/>
      <c r="G294" s="152"/>
      <c r="H294" s="152"/>
      <c r="I294" s="152"/>
      <c r="J294" s="152"/>
      <c r="K294" s="152"/>
      <c r="L294" s="152"/>
      <c r="M294" s="152"/>
      <c r="N294" s="152"/>
      <c r="O294" s="152"/>
      <c r="P294" s="152"/>
      <c r="Q294" s="152"/>
      <c r="R294" s="152"/>
      <c r="S294" s="152"/>
      <c r="T294" s="152"/>
      <c r="U294" s="152"/>
      <c r="V294" s="152"/>
      <c r="W294" s="152"/>
      <c r="X294" s="152"/>
      <c r="Y294" s="152"/>
      <c r="Z294" s="152"/>
    </row>
    <row r="295" ht="12.8" customHeight="1" spans="1:26">
      <c r="A295" s="152"/>
      <c r="B295" s="152"/>
      <c r="C295" s="152"/>
      <c r="D295" s="152"/>
      <c r="E295" s="152"/>
      <c r="F295" s="152"/>
      <c r="G295" s="152"/>
      <c r="H295" s="152"/>
      <c r="I295" s="152"/>
      <c r="J295" s="152"/>
      <c r="K295" s="152"/>
      <c r="L295" s="152"/>
      <c r="M295" s="152"/>
      <c r="N295" s="152"/>
      <c r="O295" s="152"/>
      <c r="P295" s="152"/>
      <c r="Q295" s="152"/>
      <c r="R295" s="152"/>
      <c r="S295" s="152"/>
      <c r="T295" s="152"/>
      <c r="U295" s="152"/>
      <c r="V295" s="152"/>
      <c r="W295" s="152"/>
      <c r="X295" s="152"/>
      <c r="Y295" s="152"/>
      <c r="Z295" s="152"/>
    </row>
    <row r="296" ht="12.8" customHeight="1" spans="1:26">
      <c r="A296" s="152"/>
      <c r="B296" s="152"/>
      <c r="C296" s="152"/>
      <c r="D296" s="152"/>
      <c r="E296" s="152"/>
      <c r="F296" s="152"/>
      <c r="G296" s="152"/>
      <c r="H296" s="152"/>
      <c r="I296" s="152"/>
      <c r="J296" s="152"/>
      <c r="K296" s="152"/>
      <c r="L296" s="152"/>
      <c r="M296" s="152"/>
      <c r="N296" s="152"/>
      <c r="O296" s="152"/>
      <c r="P296" s="152"/>
      <c r="Q296" s="152"/>
      <c r="R296" s="152"/>
      <c r="S296" s="152"/>
      <c r="T296" s="152"/>
      <c r="U296" s="152"/>
      <c r="V296" s="152"/>
      <c r="W296" s="152"/>
      <c r="X296" s="152"/>
      <c r="Y296" s="152"/>
      <c r="Z296" s="152"/>
    </row>
    <row r="297" ht="12.8" customHeight="1" spans="1:26">
      <c r="A297" s="152"/>
      <c r="B297" s="152"/>
      <c r="C297" s="152"/>
      <c r="D297" s="152"/>
      <c r="E297" s="152"/>
      <c r="F297" s="152"/>
      <c r="G297" s="152"/>
      <c r="H297" s="152"/>
      <c r="I297" s="152"/>
      <c r="J297" s="152"/>
      <c r="K297" s="152"/>
      <c r="L297" s="152"/>
      <c r="M297" s="152"/>
      <c r="N297" s="152"/>
      <c r="O297" s="152"/>
      <c r="P297" s="152"/>
      <c r="Q297" s="152"/>
      <c r="R297" s="152"/>
      <c r="S297" s="152"/>
      <c r="T297" s="152"/>
      <c r="U297" s="152"/>
      <c r="V297" s="152"/>
      <c r="W297" s="152"/>
      <c r="X297" s="152"/>
      <c r="Y297" s="152"/>
      <c r="Z297" s="152"/>
    </row>
    <row r="298" ht="12.8" customHeight="1" spans="1:26">
      <c r="A298" s="152"/>
      <c r="B298" s="152"/>
      <c r="C298" s="152"/>
      <c r="D298" s="152"/>
      <c r="E298" s="152"/>
      <c r="F298" s="152"/>
      <c r="G298" s="152"/>
      <c r="H298" s="152"/>
      <c r="I298" s="152"/>
      <c r="J298" s="152"/>
      <c r="K298" s="152"/>
      <c r="L298" s="152"/>
      <c r="M298" s="152"/>
      <c r="N298" s="152"/>
      <c r="O298" s="152"/>
      <c r="P298" s="152"/>
      <c r="Q298" s="152"/>
      <c r="R298" s="152"/>
      <c r="S298" s="152"/>
      <c r="T298" s="152"/>
      <c r="U298" s="152"/>
      <c r="V298" s="152"/>
      <c r="W298" s="152"/>
      <c r="X298" s="152"/>
      <c r="Y298" s="152"/>
      <c r="Z298" s="152"/>
    </row>
    <row r="299" ht="12.8" customHeight="1" spans="1:26">
      <c r="A299" s="152"/>
      <c r="B299" s="152"/>
      <c r="C299" s="152"/>
      <c r="D299" s="152"/>
      <c r="E299" s="152"/>
      <c r="F299" s="152"/>
      <c r="G299" s="152"/>
      <c r="H299" s="152"/>
      <c r="I299" s="152"/>
      <c r="J299" s="152"/>
      <c r="K299" s="152"/>
      <c r="L299" s="152"/>
      <c r="M299" s="152"/>
      <c r="N299" s="152"/>
      <c r="O299" s="152"/>
      <c r="P299" s="152"/>
      <c r="Q299" s="152"/>
      <c r="R299" s="152"/>
      <c r="S299" s="152"/>
      <c r="T299" s="152"/>
      <c r="U299" s="152"/>
      <c r="V299" s="152"/>
      <c r="W299" s="152"/>
      <c r="X299" s="152"/>
      <c r="Y299" s="152"/>
      <c r="Z299" s="152"/>
    </row>
    <row r="300" ht="12.8" customHeight="1" spans="1:26">
      <c r="A300" s="152"/>
      <c r="B300" s="152"/>
      <c r="C300" s="152"/>
      <c r="D300" s="152"/>
      <c r="E300" s="152"/>
      <c r="F300" s="152"/>
      <c r="G300" s="152"/>
      <c r="H300" s="152"/>
      <c r="I300" s="152"/>
      <c r="J300" s="152"/>
      <c r="K300" s="152"/>
      <c r="L300" s="152"/>
      <c r="M300" s="152"/>
      <c r="N300" s="152"/>
      <c r="O300" s="152"/>
      <c r="P300" s="152"/>
      <c r="Q300" s="152"/>
      <c r="R300" s="152"/>
      <c r="S300" s="152"/>
      <c r="T300" s="152"/>
      <c r="U300" s="152"/>
      <c r="V300" s="152"/>
      <c r="W300" s="152"/>
      <c r="X300" s="152"/>
      <c r="Y300" s="152"/>
      <c r="Z300" s="152"/>
    </row>
    <row r="301" ht="12.8" customHeight="1" spans="1:26">
      <c r="A301" s="152"/>
      <c r="B301" s="152"/>
      <c r="C301" s="152"/>
      <c r="D301" s="152"/>
      <c r="E301" s="152"/>
      <c r="F301" s="152"/>
      <c r="G301" s="152"/>
      <c r="H301" s="152"/>
      <c r="I301" s="152"/>
      <c r="J301" s="152"/>
      <c r="K301" s="152"/>
      <c r="L301" s="152"/>
      <c r="M301" s="152"/>
      <c r="N301" s="152"/>
      <c r="O301" s="152"/>
      <c r="P301" s="152"/>
      <c r="Q301" s="152"/>
      <c r="R301" s="152"/>
      <c r="S301" s="152"/>
      <c r="T301" s="152"/>
      <c r="U301" s="152"/>
      <c r="V301" s="152"/>
      <c r="W301" s="152"/>
      <c r="X301" s="152"/>
      <c r="Y301" s="152"/>
      <c r="Z301" s="152"/>
    </row>
    <row r="302" ht="12.8" customHeight="1" spans="1:26">
      <c r="A302" s="152"/>
      <c r="B302" s="152"/>
      <c r="C302" s="152"/>
      <c r="D302" s="152"/>
      <c r="E302" s="152"/>
      <c r="F302" s="152"/>
      <c r="G302" s="152"/>
      <c r="H302" s="152"/>
      <c r="I302" s="152"/>
      <c r="J302" s="152"/>
      <c r="K302" s="152"/>
      <c r="L302" s="152"/>
      <c r="M302" s="152"/>
      <c r="N302" s="152"/>
      <c r="O302" s="152"/>
      <c r="P302" s="152"/>
      <c r="Q302" s="152"/>
      <c r="R302" s="152"/>
      <c r="S302" s="152"/>
      <c r="T302" s="152"/>
      <c r="U302" s="152"/>
      <c r="V302" s="152"/>
      <c r="W302" s="152"/>
      <c r="X302" s="152"/>
      <c r="Y302" s="152"/>
      <c r="Z302" s="152"/>
    </row>
    <row r="303" ht="12.8" customHeight="1" spans="1:26">
      <c r="A303" s="152"/>
      <c r="B303" s="152"/>
      <c r="C303" s="152"/>
      <c r="D303" s="152"/>
      <c r="E303" s="152"/>
      <c r="F303" s="152"/>
      <c r="G303" s="152"/>
      <c r="H303" s="152"/>
      <c r="I303" s="152"/>
      <c r="J303" s="152"/>
      <c r="K303" s="152"/>
      <c r="L303" s="152"/>
      <c r="M303" s="152"/>
      <c r="N303" s="152"/>
      <c r="O303" s="152"/>
      <c r="P303" s="152"/>
      <c r="Q303" s="152"/>
      <c r="R303" s="152"/>
      <c r="S303" s="152"/>
      <c r="T303" s="152"/>
      <c r="U303" s="152"/>
      <c r="V303" s="152"/>
      <c r="W303" s="152"/>
      <c r="X303" s="152"/>
      <c r="Y303" s="152"/>
      <c r="Z303" s="152"/>
    </row>
    <row r="304" ht="12.8" customHeight="1" spans="1:26">
      <c r="A304" s="152"/>
      <c r="B304" s="152"/>
      <c r="C304" s="152"/>
      <c r="D304" s="152"/>
      <c r="E304" s="152"/>
      <c r="F304" s="152"/>
      <c r="G304" s="152"/>
      <c r="H304" s="152"/>
      <c r="I304" s="152"/>
      <c r="J304" s="152"/>
      <c r="K304" s="152"/>
      <c r="L304" s="152"/>
      <c r="M304" s="152"/>
      <c r="N304" s="152"/>
      <c r="O304" s="152"/>
      <c r="P304" s="152"/>
      <c r="Q304" s="152"/>
      <c r="R304" s="152"/>
      <c r="S304" s="152"/>
      <c r="T304" s="152"/>
      <c r="U304" s="152"/>
      <c r="V304" s="152"/>
      <c r="W304" s="152"/>
      <c r="X304" s="152"/>
      <c r="Y304" s="152"/>
      <c r="Z304" s="152"/>
    </row>
    <row r="305" ht="12.8" customHeight="1" spans="1:26">
      <c r="A305" s="152"/>
      <c r="B305" s="152"/>
      <c r="C305" s="152"/>
      <c r="D305" s="152"/>
      <c r="E305" s="152"/>
      <c r="F305" s="152"/>
      <c r="G305" s="152"/>
      <c r="H305" s="152"/>
      <c r="I305" s="152"/>
      <c r="J305" s="152"/>
      <c r="K305" s="152"/>
      <c r="L305" s="152"/>
      <c r="M305" s="152"/>
      <c r="N305" s="152"/>
      <c r="O305" s="152"/>
      <c r="P305" s="152"/>
      <c r="Q305" s="152"/>
      <c r="R305" s="152"/>
      <c r="S305" s="152"/>
      <c r="T305" s="152"/>
      <c r="U305" s="152"/>
      <c r="V305" s="152"/>
      <c r="W305" s="152"/>
      <c r="X305" s="152"/>
      <c r="Y305" s="152"/>
      <c r="Z305" s="152"/>
    </row>
    <row r="306" ht="12.8" customHeight="1" spans="1:26">
      <c r="A306" s="152"/>
      <c r="B306" s="152"/>
      <c r="C306" s="152"/>
      <c r="D306" s="152"/>
      <c r="E306" s="152"/>
      <c r="F306" s="152"/>
      <c r="G306" s="152"/>
      <c r="H306" s="152"/>
      <c r="I306" s="152"/>
      <c r="J306" s="152"/>
      <c r="K306" s="152"/>
      <c r="L306" s="152"/>
      <c r="M306" s="152"/>
      <c r="N306" s="152"/>
      <c r="O306" s="152"/>
      <c r="P306" s="152"/>
      <c r="Q306" s="152"/>
      <c r="R306" s="152"/>
      <c r="S306" s="152"/>
      <c r="T306" s="152"/>
      <c r="U306" s="152"/>
      <c r="V306" s="152"/>
      <c r="W306" s="152"/>
      <c r="X306" s="152"/>
      <c r="Y306" s="152"/>
      <c r="Z306" s="152"/>
    </row>
    <row r="307" ht="12.8" customHeight="1" spans="1:26">
      <c r="A307" s="152"/>
      <c r="B307" s="152"/>
      <c r="C307" s="152"/>
      <c r="D307" s="152"/>
      <c r="E307" s="152"/>
      <c r="F307" s="152"/>
      <c r="G307" s="152"/>
      <c r="H307" s="152"/>
      <c r="I307" s="152"/>
      <c r="J307" s="152"/>
      <c r="K307" s="152"/>
      <c r="L307" s="152"/>
      <c r="M307" s="152"/>
      <c r="N307" s="152"/>
      <c r="O307" s="152"/>
      <c r="P307" s="152"/>
      <c r="Q307" s="152"/>
      <c r="R307" s="152"/>
      <c r="S307" s="152"/>
      <c r="T307" s="152"/>
      <c r="U307" s="152"/>
      <c r="V307" s="152"/>
      <c r="W307" s="152"/>
      <c r="X307" s="152"/>
      <c r="Y307" s="152"/>
      <c r="Z307" s="152"/>
    </row>
    <row r="308" ht="12.8" customHeight="1" spans="1:26">
      <c r="A308" s="152"/>
      <c r="B308" s="152"/>
      <c r="C308" s="152"/>
      <c r="D308" s="152"/>
      <c r="E308" s="152"/>
      <c r="F308" s="152"/>
      <c r="G308" s="152"/>
      <c r="H308" s="152"/>
      <c r="I308" s="152"/>
      <c r="J308" s="152"/>
      <c r="K308" s="152"/>
      <c r="L308" s="152"/>
      <c r="M308" s="152"/>
      <c r="N308" s="152"/>
      <c r="O308" s="152"/>
      <c r="P308" s="152"/>
      <c r="Q308" s="152"/>
      <c r="R308" s="152"/>
      <c r="S308" s="152"/>
      <c r="T308" s="152"/>
      <c r="U308" s="152"/>
      <c r="V308" s="152"/>
      <c r="W308" s="152"/>
      <c r="X308" s="152"/>
      <c r="Y308" s="152"/>
      <c r="Z308" s="152"/>
    </row>
    <row r="309" ht="12.8" customHeight="1" spans="1:26">
      <c r="A309" s="152"/>
      <c r="B309" s="152"/>
      <c r="C309" s="152"/>
      <c r="D309" s="152"/>
      <c r="E309" s="152"/>
      <c r="F309" s="152"/>
      <c r="G309" s="152"/>
      <c r="H309" s="152"/>
      <c r="I309" s="152"/>
      <c r="J309" s="152"/>
      <c r="K309" s="152"/>
      <c r="L309" s="152"/>
      <c r="M309" s="152"/>
      <c r="N309" s="152"/>
      <c r="O309" s="152"/>
      <c r="P309" s="152"/>
      <c r="Q309" s="152"/>
      <c r="R309" s="152"/>
      <c r="S309" s="152"/>
      <c r="T309" s="152"/>
      <c r="U309" s="152"/>
      <c r="V309" s="152"/>
      <c r="W309" s="152"/>
      <c r="X309" s="152"/>
      <c r="Y309" s="152"/>
      <c r="Z309" s="152"/>
    </row>
    <row r="310" ht="12.8" customHeight="1" spans="1:26">
      <c r="A310" s="152"/>
      <c r="B310" s="152"/>
      <c r="C310" s="152"/>
      <c r="D310" s="152"/>
      <c r="E310" s="152"/>
      <c r="F310" s="152"/>
      <c r="G310" s="152"/>
      <c r="H310" s="152"/>
      <c r="I310" s="152"/>
      <c r="J310" s="152"/>
      <c r="K310" s="152"/>
      <c r="L310" s="152"/>
      <c r="M310" s="152"/>
      <c r="N310" s="152"/>
      <c r="O310" s="152"/>
      <c r="P310" s="152"/>
      <c r="Q310" s="152"/>
      <c r="R310" s="152"/>
      <c r="S310" s="152"/>
      <c r="T310" s="152"/>
      <c r="U310" s="152"/>
      <c r="V310" s="152"/>
      <c r="W310" s="152"/>
      <c r="X310" s="152"/>
      <c r="Y310" s="152"/>
      <c r="Z310" s="152"/>
    </row>
    <row r="311" ht="12.8" customHeight="1" spans="1:26">
      <c r="A311" s="152"/>
      <c r="B311" s="152"/>
      <c r="C311" s="152"/>
      <c r="D311" s="152"/>
      <c r="E311" s="152"/>
      <c r="F311" s="152"/>
      <c r="G311" s="152"/>
      <c r="H311" s="152"/>
      <c r="I311" s="152"/>
      <c r="J311" s="152"/>
      <c r="K311" s="152"/>
      <c r="L311" s="152"/>
      <c r="M311" s="152"/>
      <c r="N311" s="152"/>
      <c r="O311" s="152"/>
      <c r="P311" s="152"/>
      <c r="Q311" s="152"/>
      <c r="R311" s="152"/>
      <c r="S311" s="152"/>
      <c r="T311" s="152"/>
      <c r="U311" s="152"/>
      <c r="V311" s="152"/>
      <c r="W311" s="152"/>
      <c r="X311" s="152"/>
      <c r="Y311" s="152"/>
      <c r="Z311" s="152"/>
    </row>
    <row r="312" ht="12.8" customHeight="1" spans="1:26">
      <c r="A312" s="152"/>
      <c r="B312" s="152"/>
      <c r="C312" s="152"/>
      <c r="D312" s="152"/>
      <c r="E312" s="152"/>
      <c r="F312" s="152"/>
      <c r="G312" s="152"/>
      <c r="H312" s="152"/>
      <c r="I312" s="152"/>
      <c r="J312" s="152"/>
      <c r="K312" s="152"/>
      <c r="L312" s="152"/>
      <c r="M312" s="152"/>
      <c r="N312" s="152"/>
      <c r="O312" s="152"/>
      <c r="P312" s="152"/>
      <c r="Q312" s="152"/>
      <c r="R312" s="152"/>
      <c r="S312" s="152"/>
      <c r="T312" s="152"/>
      <c r="U312" s="152"/>
      <c r="V312" s="152"/>
      <c r="W312" s="152"/>
      <c r="X312" s="152"/>
      <c r="Y312" s="152"/>
      <c r="Z312" s="152"/>
    </row>
    <row r="313" ht="12.8" customHeight="1" spans="1:26">
      <c r="A313" s="152"/>
      <c r="B313" s="152"/>
      <c r="C313" s="152"/>
      <c r="D313" s="152"/>
      <c r="E313" s="152"/>
      <c r="F313" s="152"/>
      <c r="G313" s="152"/>
      <c r="H313" s="152"/>
      <c r="I313" s="152"/>
      <c r="J313" s="152"/>
      <c r="K313" s="152"/>
      <c r="L313" s="152"/>
      <c r="M313" s="152"/>
      <c r="N313" s="152"/>
      <c r="O313" s="152"/>
      <c r="P313" s="152"/>
      <c r="Q313" s="152"/>
      <c r="R313" s="152"/>
      <c r="S313" s="152"/>
      <c r="T313" s="152"/>
      <c r="U313" s="152"/>
      <c r="V313" s="152"/>
      <c r="W313" s="152"/>
      <c r="X313" s="152"/>
      <c r="Y313" s="152"/>
      <c r="Z313" s="152"/>
    </row>
    <row r="314" ht="12.8" customHeight="1" spans="1:26">
      <c r="A314" s="152"/>
      <c r="B314" s="152"/>
      <c r="C314" s="152"/>
      <c r="D314" s="152"/>
      <c r="E314" s="152"/>
      <c r="F314" s="152"/>
      <c r="G314" s="152"/>
      <c r="H314" s="152"/>
      <c r="I314" s="152"/>
      <c r="J314" s="152"/>
      <c r="K314" s="152"/>
      <c r="L314" s="152"/>
      <c r="M314" s="152"/>
      <c r="N314" s="152"/>
      <c r="O314" s="152"/>
      <c r="P314" s="152"/>
      <c r="Q314" s="152"/>
      <c r="R314" s="152"/>
      <c r="S314" s="152"/>
      <c r="T314" s="152"/>
      <c r="U314" s="152"/>
      <c r="V314" s="152"/>
      <c r="W314" s="152"/>
      <c r="X314" s="152"/>
      <c r="Y314" s="152"/>
      <c r="Z314" s="152"/>
    </row>
    <row r="315" ht="12.8" customHeight="1" spans="1:26">
      <c r="A315" s="152"/>
      <c r="B315" s="152"/>
      <c r="C315" s="152"/>
      <c r="D315" s="152"/>
      <c r="E315" s="152"/>
      <c r="F315" s="152"/>
      <c r="G315" s="152"/>
      <c r="H315" s="152"/>
      <c r="I315" s="152"/>
      <c r="J315" s="152"/>
      <c r="K315" s="152"/>
      <c r="L315" s="152"/>
      <c r="M315" s="152"/>
      <c r="N315" s="152"/>
      <c r="O315" s="152"/>
      <c r="P315" s="152"/>
      <c r="Q315" s="152"/>
      <c r="R315" s="152"/>
      <c r="S315" s="152"/>
      <c r="T315" s="152"/>
      <c r="U315" s="152"/>
      <c r="V315" s="152"/>
      <c r="W315" s="152"/>
      <c r="X315" s="152"/>
      <c r="Y315" s="152"/>
      <c r="Z315" s="152"/>
    </row>
    <row r="316" ht="12.8" customHeight="1" spans="1:26">
      <c r="A316" s="152"/>
      <c r="B316" s="152"/>
      <c r="C316" s="152"/>
      <c r="D316" s="152"/>
      <c r="E316" s="152"/>
      <c r="F316" s="152"/>
      <c r="G316" s="152"/>
      <c r="H316" s="152"/>
      <c r="I316" s="152"/>
      <c r="J316" s="152"/>
      <c r="K316" s="152"/>
      <c r="L316" s="152"/>
      <c r="M316" s="152"/>
      <c r="N316" s="152"/>
      <c r="O316" s="152"/>
      <c r="P316" s="152"/>
      <c r="Q316" s="152"/>
      <c r="R316" s="152"/>
      <c r="S316" s="152"/>
      <c r="T316" s="152"/>
      <c r="U316" s="152"/>
      <c r="V316" s="152"/>
      <c r="W316" s="152"/>
      <c r="X316" s="152"/>
      <c r="Y316" s="152"/>
      <c r="Z316" s="152"/>
    </row>
    <row r="317" ht="12.8" customHeight="1" spans="1:26">
      <c r="A317" s="152"/>
      <c r="B317" s="152"/>
      <c r="C317" s="152"/>
      <c r="D317" s="152"/>
      <c r="E317" s="152"/>
      <c r="F317" s="152"/>
      <c r="G317" s="152"/>
      <c r="H317" s="152"/>
      <c r="I317" s="152"/>
      <c r="J317" s="152"/>
      <c r="K317" s="152"/>
      <c r="L317" s="152"/>
      <c r="M317" s="152"/>
      <c r="N317" s="152"/>
      <c r="O317" s="152"/>
      <c r="P317" s="152"/>
      <c r="Q317" s="152"/>
      <c r="R317" s="152"/>
      <c r="S317" s="152"/>
      <c r="T317" s="152"/>
      <c r="U317" s="152"/>
      <c r="V317" s="152"/>
      <c r="W317" s="152"/>
      <c r="X317" s="152"/>
      <c r="Y317" s="152"/>
      <c r="Z317" s="152"/>
    </row>
    <row r="318" ht="12.8" customHeight="1" spans="1:26">
      <c r="A318" s="152"/>
      <c r="B318" s="152"/>
      <c r="C318" s="152"/>
      <c r="D318" s="152"/>
      <c r="E318" s="152"/>
      <c r="F318" s="152"/>
      <c r="G318" s="152"/>
      <c r="H318" s="152"/>
      <c r="I318" s="152"/>
      <c r="J318" s="152"/>
      <c r="K318" s="152"/>
      <c r="L318" s="152"/>
      <c r="M318" s="152"/>
      <c r="N318" s="152"/>
      <c r="O318" s="152"/>
      <c r="P318" s="152"/>
      <c r="Q318" s="152"/>
      <c r="R318" s="152"/>
      <c r="S318" s="152"/>
      <c r="T318" s="152"/>
      <c r="U318" s="152"/>
      <c r="V318" s="152"/>
      <c r="W318" s="152"/>
      <c r="X318" s="152"/>
      <c r="Y318" s="152"/>
      <c r="Z318" s="152"/>
    </row>
    <row r="319" ht="12.8" customHeight="1" spans="1:26">
      <c r="A319" s="152"/>
      <c r="B319" s="152"/>
      <c r="C319" s="152"/>
      <c r="D319" s="152"/>
      <c r="E319" s="152"/>
      <c r="F319" s="152"/>
      <c r="G319" s="152"/>
      <c r="H319" s="152"/>
      <c r="I319" s="152"/>
      <c r="J319" s="152"/>
      <c r="K319" s="152"/>
      <c r="L319" s="152"/>
      <c r="M319" s="152"/>
      <c r="N319" s="152"/>
      <c r="O319" s="152"/>
      <c r="P319" s="152"/>
      <c r="Q319" s="152"/>
      <c r="R319" s="152"/>
      <c r="S319" s="152"/>
      <c r="T319" s="152"/>
      <c r="U319" s="152"/>
      <c r="V319" s="152"/>
      <c r="W319" s="152"/>
      <c r="X319" s="152"/>
      <c r="Y319" s="152"/>
      <c r="Z319" s="152"/>
    </row>
    <row r="320" ht="12.8" customHeight="1" spans="1:26">
      <c r="A320" s="152"/>
      <c r="B320" s="152"/>
      <c r="C320" s="152"/>
      <c r="D320" s="152"/>
      <c r="E320" s="152"/>
      <c r="F320" s="152"/>
      <c r="G320" s="152"/>
      <c r="H320" s="152"/>
      <c r="I320" s="152"/>
      <c r="J320" s="152"/>
      <c r="K320" s="152"/>
      <c r="L320" s="152"/>
      <c r="M320" s="152"/>
      <c r="N320" s="152"/>
      <c r="O320" s="152"/>
      <c r="P320" s="152"/>
      <c r="Q320" s="152"/>
      <c r="R320" s="152"/>
      <c r="S320" s="152"/>
      <c r="T320" s="152"/>
      <c r="U320" s="152"/>
      <c r="V320" s="152"/>
      <c r="W320" s="152"/>
      <c r="X320" s="152"/>
      <c r="Y320" s="152"/>
      <c r="Z320" s="152"/>
    </row>
    <row r="321" ht="12.8" customHeight="1" spans="1:26">
      <c r="A321" s="152"/>
      <c r="B321" s="152"/>
      <c r="C321" s="152"/>
      <c r="D321" s="152"/>
      <c r="E321" s="152"/>
      <c r="F321" s="152"/>
      <c r="G321" s="152"/>
      <c r="H321" s="152"/>
      <c r="I321" s="152"/>
      <c r="J321" s="152"/>
      <c r="K321" s="152"/>
      <c r="L321" s="152"/>
      <c r="M321" s="152"/>
      <c r="N321" s="152"/>
      <c r="O321" s="152"/>
      <c r="P321" s="152"/>
      <c r="Q321" s="152"/>
      <c r="R321" s="152"/>
      <c r="S321" s="152"/>
      <c r="T321" s="152"/>
      <c r="U321" s="152"/>
      <c r="V321" s="152"/>
      <c r="W321" s="152"/>
      <c r="X321" s="152"/>
      <c r="Y321" s="152"/>
      <c r="Z321" s="152"/>
    </row>
    <row r="322" ht="12.8" customHeight="1" spans="1:26">
      <c r="A322" s="152"/>
      <c r="B322" s="152"/>
      <c r="C322" s="152"/>
      <c r="D322" s="152"/>
      <c r="E322" s="152"/>
      <c r="F322" s="152"/>
      <c r="G322" s="152"/>
      <c r="H322" s="152"/>
      <c r="I322" s="152"/>
      <c r="J322" s="152"/>
      <c r="K322" s="152"/>
      <c r="L322" s="152"/>
      <c r="M322" s="152"/>
      <c r="N322" s="152"/>
      <c r="O322" s="152"/>
      <c r="P322" s="152"/>
      <c r="Q322" s="152"/>
      <c r="R322" s="152"/>
      <c r="S322" s="152"/>
      <c r="T322" s="152"/>
      <c r="U322" s="152"/>
      <c r="V322" s="152"/>
      <c r="W322" s="152"/>
      <c r="X322" s="152"/>
      <c r="Y322" s="152"/>
      <c r="Z322" s="152"/>
    </row>
    <row r="323" ht="12.8" customHeight="1" spans="1:26">
      <c r="A323" s="152"/>
      <c r="B323" s="152"/>
      <c r="C323" s="152"/>
      <c r="D323" s="152"/>
      <c r="E323" s="152"/>
      <c r="F323" s="152"/>
      <c r="G323" s="152"/>
      <c r="H323" s="152"/>
      <c r="I323" s="152"/>
      <c r="J323" s="152"/>
      <c r="K323" s="152"/>
      <c r="L323" s="152"/>
      <c r="M323" s="152"/>
      <c r="N323" s="152"/>
      <c r="O323" s="152"/>
      <c r="P323" s="152"/>
      <c r="Q323" s="152"/>
      <c r="R323" s="152"/>
      <c r="S323" s="152"/>
      <c r="T323" s="152"/>
      <c r="U323" s="152"/>
      <c r="V323" s="152"/>
      <c r="W323" s="152"/>
      <c r="X323" s="152"/>
      <c r="Y323" s="152"/>
      <c r="Z323" s="152"/>
    </row>
    <row r="324" ht="12.8" customHeight="1" spans="1:26">
      <c r="A324" s="152"/>
      <c r="B324" s="152"/>
      <c r="C324" s="152"/>
      <c r="D324" s="152"/>
      <c r="E324" s="152"/>
      <c r="F324" s="152"/>
      <c r="G324" s="152"/>
      <c r="H324" s="152"/>
      <c r="I324" s="152"/>
      <c r="J324" s="152"/>
      <c r="K324" s="152"/>
      <c r="L324" s="152"/>
      <c r="M324" s="152"/>
      <c r="N324" s="152"/>
      <c r="O324" s="152"/>
      <c r="P324" s="152"/>
      <c r="Q324" s="152"/>
      <c r="R324" s="152"/>
      <c r="S324" s="152"/>
      <c r="T324" s="152"/>
      <c r="U324" s="152"/>
      <c r="V324" s="152"/>
      <c r="W324" s="152"/>
      <c r="X324" s="152"/>
      <c r="Y324" s="152"/>
      <c r="Z324" s="152"/>
    </row>
    <row r="325" ht="12.8" customHeight="1" spans="1:26">
      <c r="A325" s="152"/>
      <c r="B325" s="152"/>
      <c r="C325" s="152"/>
      <c r="D325" s="152"/>
      <c r="E325" s="152"/>
      <c r="F325" s="152"/>
      <c r="G325" s="152"/>
      <c r="H325" s="152"/>
      <c r="I325" s="152"/>
      <c r="J325" s="152"/>
      <c r="K325" s="152"/>
      <c r="L325" s="152"/>
      <c r="M325" s="152"/>
      <c r="N325" s="152"/>
      <c r="O325" s="152"/>
      <c r="P325" s="152"/>
      <c r="Q325" s="152"/>
      <c r="R325" s="152"/>
      <c r="S325" s="152"/>
      <c r="T325" s="152"/>
      <c r="U325" s="152"/>
      <c r="V325" s="152"/>
      <c r="W325" s="152"/>
      <c r="X325" s="152"/>
      <c r="Y325" s="152"/>
      <c r="Z325" s="152"/>
    </row>
    <row r="326" ht="12.8" customHeight="1" spans="1:26">
      <c r="A326" s="152"/>
      <c r="B326" s="152"/>
      <c r="C326" s="152"/>
      <c r="D326" s="152"/>
      <c r="E326" s="152"/>
      <c r="F326" s="152"/>
      <c r="G326" s="152"/>
      <c r="H326" s="152"/>
      <c r="I326" s="152"/>
      <c r="J326" s="152"/>
      <c r="K326" s="152"/>
      <c r="L326" s="152"/>
      <c r="M326" s="152"/>
      <c r="N326" s="152"/>
      <c r="O326" s="152"/>
      <c r="P326" s="152"/>
      <c r="Q326" s="152"/>
      <c r="R326" s="152"/>
      <c r="S326" s="152"/>
      <c r="T326" s="152"/>
      <c r="U326" s="152"/>
      <c r="V326" s="152"/>
      <c r="W326" s="152"/>
      <c r="X326" s="152"/>
      <c r="Y326" s="152"/>
      <c r="Z326" s="152"/>
    </row>
    <row r="327" ht="12.8" customHeight="1" spans="1:26">
      <c r="A327" s="152"/>
      <c r="B327" s="152"/>
      <c r="C327" s="152"/>
      <c r="D327" s="152"/>
      <c r="E327" s="152"/>
      <c r="F327" s="152"/>
      <c r="G327" s="152"/>
      <c r="H327" s="152"/>
      <c r="I327" s="152"/>
      <c r="J327" s="152"/>
      <c r="K327" s="152"/>
      <c r="L327" s="152"/>
      <c r="M327" s="152"/>
      <c r="N327" s="152"/>
      <c r="O327" s="152"/>
      <c r="P327" s="152"/>
      <c r="Q327" s="152"/>
      <c r="R327" s="152"/>
      <c r="S327" s="152"/>
      <c r="T327" s="152"/>
      <c r="U327" s="152"/>
      <c r="V327" s="152"/>
      <c r="W327" s="152"/>
      <c r="X327" s="152"/>
      <c r="Y327" s="152"/>
      <c r="Z327" s="152"/>
    </row>
    <row r="328" ht="12.8" customHeight="1" spans="1:26">
      <c r="A328" s="152"/>
      <c r="B328" s="152"/>
      <c r="C328" s="152"/>
      <c r="D328" s="152"/>
      <c r="E328" s="152"/>
      <c r="F328" s="152"/>
      <c r="G328" s="152"/>
      <c r="H328" s="152"/>
      <c r="I328" s="152"/>
      <c r="J328" s="152"/>
      <c r="K328" s="152"/>
      <c r="L328" s="152"/>
      <c r="M328" s="152"/>
      <c r="N328" s="152"/>
      <c r="O328" s="152"/>
      <c r="P328" s="152"/>
      <c r="Q328" s="152"/>
      <c r="R328" s="152"/>
      <c r="S328" s="152"/>
      <c r="T328" s="152"/>
      <c r="U328" s="152"/>
      <c r="V328" s="152"/>
      <c r="W328" s="152"/>
      <c r="X328" s="152"/>
      <c r="Y328" s="152"/>
      <c r="Z328" s="152"/>
    </row>
    <row r="329" ht="12.8" customHeight="1" spans="1:26">
      <c r="A329" s="152"/>
      <c r="B329" s="152"/>
      <c r="C329" s="152"/>
      <c r="D329" s="152"/>
      <c r="E329" s="152"/>
      <c r="F329" s="152"/>
      <c r="G329" s="152"/>
      <c r="H329" s="152"/>
      <c r="I329" s="152"/>
      <c r="J329" s="152"/>
      <c r="K329" s="152"/>
      <c r="L329" s="152"/>
      <c r="M329" s="152"/>
      <c r="N329" s="152"/>
      <c r="O329" s="152"/>
      <c r="P329" s="152"/>
      <c r="Q329" s="152"/>
      <c r="R329" s="152"/>
      <c r="S329" s="152"/>
      <c r="T329" s="152"/>
      <c r="U329" s="152"/>
      <c r="V329" s="152"/>
      <c r="W329" s="152"/>
      <c r="X329" s="152"/>
      <c r="Y329" s="152"/>
      <c r="Z329" s="152"/>
    </row>
    <row r="330" ht="12.8" customHeight="1" spans="1:26">
      <c r="A330" s="152"/>
      <c r="B330" s="152"/>
      <c r="C330" s="152"/>
      <c r="D330" s="152"/>
      <c r="E330" s="152"/>
      <c r="F330" s="152"/>
      <c r="G330" s="152"/>
      <c r="H330" s="152"/>
      <c r="I330" s="152"/>
      <c r="J330" s="152"/>
      <c r="K330" s="152"/>
      <c r="L330" s="152"/>
      <c r="M330" s="152"/>
      <c r="N330" s="152"/>
      <c r="O330" s="152"/>
      <c r="P330" s="152"/>
      <c r="Q330" s="152"/>
      <c r="R330" s="152"/>
      <c r="S330" s="152"/>
      <c r="T330" s="152"/>
      <c r="U330" s="152"/>
      <c r="V330" s="152"/>
      <c r="W330" s="152"/>
      <c r="X330" s="152"/>
      <c r="Y330" s="152"/>
      <c r="Z330" s="152"/>
    </row>
    <row r="331" ht="12.8" customHeight="1" spans="1:26">
      <c r="A331" s="152"/>
      <c r="B331" s="152"/>
      <c r="C331" s="152"/>
      <c r="D331" s="152"/>
      <c r="E331" s="152"/>
      <c r="F331" s="152"/>
      <c r="G331" s="152"/>
      <c r="H331" s="152"/>
      <c r="I331" s="152"/>
      <c r="J331" s="152"/>
      <c r="K331" s="152"/>
      <c r="L331" s="152"/>
      <c r="M331" s="152"/>
      <c r="N331" s="152"/>
      <c r="O331" s="152"/>
      <c r="P331" s="152"/>
      <c r="Q331" s="152"/>
      <c r="R331" s="152"/>
      <c r="S331" s="152"/>
      <c r="T331" s="152"/>
      <c r="U331" s="152"/>
      <c r="V331" s="152"/>
      <c r="W331" s="152"/>
      <c r="X331" s="152"/>
      <c r="Y331" s="152"/>
      <c r="Z331" s="152"/>
    </row>
    <row r="332" ht="12.8" customHeight="1" spans="1:26">
      <c r="A332" s="152"/>
      <c r="B332" s="152"/>
      <c r="C332" s="152"/>
      <c r="D332" s="152"/>
      <c r="E332" s="152"/>
      <c r="F332" s="152"/>
      <c r="G332" s="152"/>
      <c r="H332" s="152"/>
      <c r="I332" s="152"/>
      <c r="J332" s="152"/>
      <c r="K332" s="152"/>
      <c r="L332" s="152"/>
      <c r="M332" s="152"/>
      <c r="N332" s="152"/>
      <c r="O332" s="152"/>
      <c r="P332" s="152"/>
      <c r="Q332" s="152"/>
      <c r="R332" s="152"/>
      <c r="S332" s="152"/>
      <c r="T332" s="152"/>
      <c r="U332" s="152"/>
      <c r="V332" s="152"/>
      <c r="W332" s="152"/>
      <c r="X332" s="152"/>
      <c r="Y332" s="152"/>
      <c r="Z332" s="152"/>
    </row>
    <row r="333" ht="12.8" customHeight="1" spans="1:26">
      <c r="A333" s="152"/>
      <c r="B333" s="152"/>
      <c r="C333" s="152"/>
      <c r="D333" s="152"/>
      <c r="E333" s="152"/>
      <c r="F333" s="152"/>
      <c r="G333" s="152"/>
      <c r="H333" s="152"/>
      <c r="I333" s="152"/>
      <c r="J333" s="152"/>
      <c r="K333" s="152"/>
      <c r="L333" s="152"/>
      <c r="M333" s="152"/>
      <c r="N333" s="152"/>
      <c r="O333" s="152"/>
      <c r="P333" s="152"/>
      <c r="Q333" s="152"/>
      <c r="R333" s="152"/>
      <c r="S333" s="152"/>
      <c r="T333" s="152"/>
      <c r="U333" s="152"/>
      <c r="V333" s="152"/>
      <c r="W333" s="152"/>
      <c r="X333" s="152"/>
      <c r="Y333" s="152"/>
      <c r="Z333" s="152"/>
    </row>
    <row r="334" ht="12.8" customHeight="1" spans="1:26">
      <c r="A334" s="152"/>
      <c r="B334" s="152"/>
      <c r="C334" s="152"/>
      <c r="D334" s="152"/>
      <c r="E334" s="152"/>
      <c r="F334" s="152"/>
      <c r="G334" s="152"/>
      <c r="H334" s="152"/>
      <c r="I334" s="152"/>
      <c r="J334" s="152"/>
      <c r="K334" s="152"/>
      <c r="L334" s="152"/>
      <c r="M334" s="152"/>
      <c r="N334" s="152"/>
      <c r="O334" s="152"/>
      <c r="P334" s="152"/>
      <c r="Q334" s="152"/>
      <c r="R334" s="152"/>
      <c r="S334" s="152"/>
      <c r="T334" s="152"/>
      <c r="U334" s="152"/>
      <c r="V334" s="152"/>
      <c r="W334" s="152"/>
      <c r="X334" s="152"/>
      <c r="Y334" s="152"/>
      <c r="Z334" s="152"/>
    </row>
    <row r="335" ht="12.8" customHeight="1" spans="1:26">
      <c r="A335" s="152"/>
      <c r="B335" s="152"/>
      <c r="C335" s="152"/>
      <c r="D335" s="152"/>
      <c r="E335" s="152"/>
      <c r="F335" s="152"/>
      <c r="G335" s="152"/>
      <c r="H335" s="152"/>
      <c r="I335" s="152"/>
      <c r="J335" s="152"/>
      <c r="K335" s="152"/>
      <c r="L335" s="152"/>
      <c r="M335" s="152"/>
      <c r="N335" s="152"/>
      <c r="O335" s="152"/>
      <c r="P335" s="152"/>
      <c r="Q335" s="152"/>
      <c r="R335" s="152"/>
      <c r="S335" s="152"/>
      <c r="T335" s="152"/>
      <c r="U335" s="152"/>
      <c r="V335" s="152"/>
      <c r="W335" s="152"/>
      <c r="X335" s="152"/>
      <c r="Y335" s="152"/>
      <c r="Z335" s="152"/>
    </row>
    <row r="336" ht="12.8" customHeight="1" spans="1:26">
      <c r="A336" s="152"/>
      <c r="B336" s="152"/>
      <c r="C336" s="152"/>
      <c r="D336" s="152"/>
      <c r="E336" s="152"/>
      <c r="F336" s="152"/>
      <c r="G336" s="152"/>
      <c r="H336" s="152"/>
      <c r="I336" s="152"/>
      <c r="J336" s="152"/>
      <c r="K336" s="152"/>
      <c r="L336" s="152"/>
      <c r="M336" s="152"/>
      <c r="N336" s="152"/>
      <c r="O336" s="152"/>
      <c r="P336" s="152"/>
      <c r="Q336" s="152"/>
      <c r="R336" s="152"/>
      <c r="S336" s="152"/>
      <c r="T336" s="152"/>
      <c r="U336" s="152"/>
      <c r="V336" s="152"/>
      <c r="W336" s="152"/>
      <c r="X336" s="152"/>
      <c r="Y336" s="152"/>
      <c r="Z336" s="152"/>
    </row>
    <row r="337" ht="12.8" customHeight="1" spans="1:26">
      <c r="A337" s="152"/>
      <c r="B337" s="152"/>
      <c r="C337" s="152"/>
      <c r="D337" s="152"/>
      <c r="E337" s="152"/>
      <c r="F337" s="152"/>
      <c r="G337" s="152"/>
      <c r="H337" s="152"/>
      <c r="I337" s="152"/>
      <c r="J337" s="152"/>
      <c r="K337" s="152"/>
      <c r="L337" s="152"/>
      <c r="M337" s="152"/>
      <c r="N337" s="152"/>
      <c r="O337" s="152"/>
      <c r="P337" s="152"/>
      <c r="Q337" s="152"/>
      <c r="R337" s="152"/>
      <c r="S337" s="152"/>
      <c r="T337" s="152"/>
      <c r="U337" s="152"/>
      <c r="V337" s="152"/>
      <c r="W337" s="152"/>
      <c r="X337" s="152"/>
      <c r="Y337" s="152"/>
      <c r="Z337" s="152"/>
    </row>
    <row r="338" ht="12.8" customHeight="1" spans="1:26">
      <c r="A338" s="152"/>
      <c r="B338" s="152"/>
      <c r="C338" s="152"/>
      <c r="D338" s="152"/>
      <c r="E338" s="152"/>
      <c r="F338" s="152"/>
      <c r="G338" s="152"/>
      <c r="H338" s="152"/>
      <c r="I338" s="152"/>
      <c r="J338" s="152"/>
      <c r="K338" s="152"/>
      <c r="L338" s="152"/>
      <c r="M338" s="152"/>
      <c r="N338" s="152"/>
      <c r="O338" s="152"/>
      <c r="P338" s="152"/>
      <c r="Q338" s="152"/>
      <c r="R338" s="152"/>
      <c r="S338" s="152"/>
      <c r="T338" s="152"/>
      <c r="U338" s="152"/>
      <c r="V338" s="152"/>
      <c r="W338" s="152"/>
      <c r="X338" s="152"/>
      <c r="Y338" s="152"/>
      <c r="Z338" s="152"/>
    </row>
    <row r="339" ht="12.8" customHeight="1" spans="1:26">
      <c r="A339" s="152"/>
      <c r="B339" s="152"/>
      <c r="C339" s="152"/>
      <c r="D339" s="152"/>
      <c r="E339" s="152"/>
      <c r="F339" s="152"/>
      <c r="G339" s="152"/>
      <c r="H339" s="152"/>
      <c r="I339" s="152"/>
      <c r="J339" s="152"/>
      <c r="K339" s="152"/>
      <c r="L339" s="152"/>
      <c r="M339" s="152"/>
      <c r="N339" s="152"/>
      <c r="O339" s="152"/>
      <c r="P339" s="152"/>
      <c r="Q339" s="152"/>
      <c r="R339" s="152"/>
      <c r="S339" s="152"/>
      <c r="T339" s="152"/>
      <c r="U339" s="152"/>
      <c r="V339" s="152"/>
      <c r="W339" s="152"/>
      <c r="X339" s="152"/>
      <c r="Y339" s="152"/>
      <c r="Z339" s="152"/>
    </row>
    <row r="340" ht="12.8" customHeight="1" spans="1:26">
      <c r="A340" s="152"/>
      <c r="B340" s="152"/>
      <c r="C340" s="152"/>
      <c r="D340" s="152"/>
      <c r="E340" s="152"/>
      <c r="F340" s="152"/>
      <c r="G340" s="152"/>
      <c r="H340" s="152"/>
      <c r="I340" s="152"/>
      <c r="J340" s="152"/>
      <c r="K340" s="152"/>
      <c r="L340" s="152"/>
      <c r="M340" s="152"/>
      <c r="N340" s="152"/>
      <c r="O340" s="152"/>
      <c r="P340" s="152"/>
      <c r="Q340" s="152"/>
      <c r="R340" s="152"/>
      <c r="S340" s="152"/>
      <c r="T340" s="152"/>
      <c r="U340" s="152"/>
      <c r="V340" s="152"/>
      <c r="W340" s="152"/>
      <c r="X340" s="152"/>
      <c r="Y340" s="152"/>
      <c r="Z340" s="152"/>
    </row>
    <row r="341" ht="12.8" customHeight="1" spans="1:26">
      <c r="A341" s="152"/>
      <c r="B341" s="152"/>
      <c r="C341" s="152"/>
      <c r="D341" s="152"/>
      <c r="E341" s="152"/>
      <c r="F341" s="152"/>
      <c r="G341" s="152"/>
      <c r="H341" s="152"/>
      <c r="I341" s="152"/>
      <c r="J341" s="152"/>
      <c r="K341" s="152"/>
      <c r="L341" s="152"/>
      <c r="M341" s="152"/>
      <c r="N341" s="152"/>
      <c r="O341" s="152"/>
      <c r="P341" s="152"/>
      <c r="Q341" s="152"/>
      <c r="R341" s="152"/>
      <c r="S341" s="152"/>
      <c r="T341" s="152"/>
      <c r="U341" s="152"/>
      <c r="V341" s="152"/>
      <c r="W341" s="152"/>
      <c r="X341" s="152"/>
      <c r="Y341" s="152"/>
      <c r="Z341" s="152"/>
    </row>
    <row r="342" ht="12.8" customHeight="1" spans="1:26">
      <c r="A342" s="152"/>
      <c r="B342" s="152"/>
      <c r="C342" s="152"/>
      <c r="D342" s="152"/>
      <c r="E342" s="152"/>
      <c r="F342" s="152"/>
      <c r="G342" s="152"/>
      <c r="H342" s="152"/>
      <c r="I342" s="152"/>
      <c r="J342" s="152"/>
      <c r="K342" s="152"/>
      <c r="L342" s="152"/>
      <c r="M342" s="152"/>
      <c r="N342" s="152"/>
      <c r="O342" s="152"/>
      <c r="P342" s="152"/>
      <c r="Q342" s="152"/>
      <c r="R342" s="152"/>
      <c r="S342" s="152"/>
      <c r="T342" s="152"/>
      <c r="U342" s="152"/>
      <c r="V342" s="152"/>
      <c r="W342" s="152"/>
      <c r="X342" s="152"/>
      <c r="Y342" s="152"/>
      <c r="Z342" s="152"/>
    </row>
    <row r="343" ht="12.8" customHeight="1" spans="1:26">
      <c r="A343" s="152"/>
      <c r="B343" s="152"/>
      <c r="C343" s="152"/>
      <c r="D343" s="152"/>
      <c r="E343" s="152"/>
      <c r="F343" s="152"/>
      <c r="G343" s="152"/>
      <c r="H343" s="152"/>
      <c r="I343" s="152"/>
      <c r="J343" s="152"/>
      <c r="K343" s="152"/>
      <c r="L343" s="152"/>
      <c r="M343" s="152"/>
      <c r="N343" s="152"/>
      <c r="O343" s="152"/>
      <c r="P343" s="152"/>
      <c r="Q343" s="152"/>
      <c r="R343" s="152"/>
      <c r="S343" s="152"/>
      <c r="T343" s="152"/>
      <c r="U343" s="152"/>
      <c r="V343" s="152"/>
      <c r="W343" s="152"/>
      <c r="X343" s="152"/>
      <c r="Y343" s="152"/>
      <c r="Z343" s="152"/>
    </row>
    <row r="344" ht="12.8" customHeight="1" spans="1:26">
      <c r="A344" s="152"/>
      <c r="B344" s="152"/>
      <c r="C344" s="152"/>
      <c r="D344" s="152"/>
      <c r="E344" s="152"/>
      <c r="F344" s="152"/>
      <c r="G344" s="152"/>
      <c r="H344" s="152"/>
      <c r="I344" s="152"/>
      <c r="J344" s="152"/>
      <c r="K344" s="152"/>
      <c r="L344" s="152"/>
      <c r="M344" s="152"/>
      <c r="N344" s="152"/>
      <c r="O344" s="152"/>
      <c r="P344" s="152"/>
      <c r="Q344" s="152"/>
      <c r="R344" s="152"/>
      <c r="S344" s="152"/>
      <c r="T344" s="152"/>
      <c r="U344" s="152"/>
      <c r="V344" s="152"/>
      <c r="W344" s="152"/>
      <c r="X344" s="152"/>
      <c r="Y344" s="152"/>
      <c r="Z344" s="152"/>
    </row>
    <row r="345" ht="12.8" customHeight="1" spans="1:26">
      <c r="A345" s="152"/>
      <c r="B345" s="152"/>
      <c r="C345" s="152"/>
      <c r="D345" s="152"/>
      <c r="E345" s="152"/>
      <c r="F345" s="152"/>
      <c r="G345" s="152"/>
      <c r="H345" s="152"/>
      <c r="I345" s="152"/>
      <c r="J345" s="152"/>
      <c r="K345" s="152"/>
      <c r="L345" s="152"/>
      <c r="M345" s="152"/>
      <c r="N345" s="152"/>
      <c r="O345" s="152"/>
      <c r="P345" s="152"/>
      <c r="Q345" s="152"/>
      <c r="R345" s="152"/>
      <c r="S345" s="152"/>
      <c r="T345" s="152"/>
      <c r="U345" s="152"/>
      <c r="V345" s="152"/>
      <c r="W345" s="152"/>
      <c r="X345" s="152"/>
      <c r="Y345" s="152"/>
      <c r="Z345" s="152"/>
    </row>
    <row r="346" ht="12.8" customHeight="1" spans="1:26">
      <c r="A346" s="152"/>
      <c r="B346" s="152"/>
      <c r="C346" s="152"/>
      <c r="D346" s="152"/>
      <c r="E346" s="152"/>
      <c r="F346" s="152"/>
      <c r="G346" s="152"/>
      <c r="H346" s="152"/>
      <c r="I346" s="152"/>
      <c r="J346" s="152"/>
      <c r="K346" s="152"/>
      <c r="L346" s="152"/>
      <c r="M346" s="152"/>
      <c r="N346" s="152"/>
      <c r="O346" s="152"/>
      <c r="P346" s="152"/>
      <c r="Q346" s="152"/>
      <c r="R346" s="152"/>
      <c r="S346" s="152"/>
      <c r="T346" s="152"/>
      <c r="U346" s="152"/>
      <c r="V346" s="152"/>
      <c r="W346" s="152"/>
      <c r="X346" s="152"/>
      <c r="Y346" s="152"/>
      <c r="Z346" s="152"/>
    </row>
    <row r="347" ht="12.8" customHeight="1" spans="1:26">
      <c r="A347" s="152"/>
      <c r="B347" s="152"/>
      <c r="C347" s="152"/>
      <c r="D347" s="152"/>
      <c r="E347" s="152"/>
      <c r="F347" s="152"/>
      <c r="G347" s="152"/>
      <c r="H347" s="152"/>
      <c r="I347" s="152"/>
      <c r="J347" s="152"/>
      <c r="K347" s="152"/>
      <c r="L347" s="152"/>
      <c r="M347" s="152"/>
      <c r="N347" s="152"/>
      <c r="O347" s="152"/>
      <c r="P347" s="152"/>
      <c r="Q347" s="152"/>
      <c r="R347" s="152"/>
      <c r="S347" s="152"/>
      <c r="T347" s="152"/>
      <c r="U347" s="152"/>
      <c r="V347" s="152"/>
      <c r="W347" s="152"/>
      <c r="X347" s="152"/>
      <c r="Y347" s="152"/>
      <c r="Z347" s="152"/>
    </row>
    <row r="348" ht="12.8" customHeight="1" spans="1:26">
      <c r="A348" s="152"/>
      <c r="B348" s="152"/>
      <c r="C348" s="152"/>
      <c r="D348" s="152"/>
      <c r="E348" s="152"/>
      <c r="F348" s="152"/>
      <c r="G348" s="152"/>
      <c r="H348" s="152"/>
      <c r="I348" s="152"/>
      <c r="J348" s="152"/>
      <c r="K348" s="152"/>
      <c r="L348" s="152"/>
      <c r="M348" s="152"/>
      <c r="N348" s="152"/>
      <c r="O348" s="152"/>
      <c r="P348" s="152"/>
      <c r="Q348" s="152"/>
      <c r="R348" s="152"/>
      <c r="S348" s="152"/>
      <c r="T348" s="152"/>
      <c r="U348" s="152"/>
      <c r="V348" s="152"/>
      <c r="W348" s="152"/>
      <c r="X348" s="152"/>
      <c r="Y348" s="152"/>
      <c r="Z348" s="152"/>
    </row>
    <row r="349" ht="12.8" customHeight="1" spans="1:26">
      <c r="A349" s="152"/>
      <c r="B349" s="152"/>
      <c r="C349" s="152"/>
      <c r="D349" s="152"/>
      <c r="E349" s="152"/>
      <c r="F349" s="152"/>
      <c r="G349" s="152"/>
      <c r="H349" s="152"/>
      <c r="I349" s="152"/>
      <c r="J349" s="152"/>
      <c r="K349" s="152"/>
      <c r="L349" s="152"/>
      <c r="M349" s="152"/>
      <c r="N349" s="152"/>
      <c r="O349" s="152"/>
      <c r="P349" s="152"/>
      <c r="Q349" s="152"/>
      <c r="R349" s="152"/>
      <c r="S349" s="152"/>
      <c r="T349" s="152"/>
      <c r="U349" s="152"/>
      <c r="V349" s="152"/>
      <c r="W349" s="152"/>
      <c r="X349" s="152"/>
      <c r="Y349" s="152"/>
      <c r="Z349" s="152"/>
    </row>
    <row r="350" ht="12.8" customHeight="1" spans="1:26">
      <c r="A350" s="152"/>
      <c r="B350" s="152"/>
      <c r="C350" s="152"/>
      <c r="D350" s="152"/>
      <c r="E350" s="152"/>
      <c r="F350" s="152"/>
      <c r="G350" s="152"/>
      <c r="H350" s="152"/>
      <c r="I350" s="152"/>
      <c r="J350" s="152"/>
      <c r="K350" s="152"/>
      <c r="L350" s="152"/>
      <c r="M350" s="152"/>
      <c r="N350" s="152"/>
      <c r="O350" s="152"/>
      <c r="P350" s="152"/>
      <c r="Q350" s="152"/>
      <c r="R350" s="152"/>
      <c r="S350" s="152"/>
      <c r="T350" s="152"/>
      <c r="U350" s="152"/>
      <c r="V350" s="152"/>
      <c r="W350" s="152"/>
      <c r="X350" s="152"/>
      <c r="Y350" s="152"/>
      <c r="Z350" s="152"/>
    </row>
    <row r="351" ht="12.8" customHeight="1" spans="1:26">
      <c r="A351" s="152"/>
      <c r="B351" s="152"/>
      <c r="C351" s="152"/>
      <c r="D351" s="152"/>
      <c r="E351" s="152"/>
      <c r="F351" s="152"/>
      <c r="G351" s="152"/>
      <c r="H351" s="152"/>
      <c r="I351" s="152"/>
      <c r="J351" s="152"/>
      <c r="K351" s="152"/>
      <c r="L351" s="152"/>
      <c r="M351" s="152"/>
      <c r="N351" s="152"/>
      <c r="O351" s="152"/>
      <c r="P351" s="152"/>
      <c r="Q351" s="152"/>
      <c r="R351" s="152"/>
      <c r="S351" s="152"/>
      <c r="T351" s="152"/>
      <c r="U351" s="152"/>
      <c r="V351" s="152"/>
      <c r="W351" s="152"/>
      <c r="X351" s="152"/>
      <c r="Y351" s="152"/>
      <c r="Z351" s="152"/>
    </row>
    <row r="352" ht="12.8" customHeight="1" spans="1:26">
      <c r="A352" s="152"/>
      <c r="B352" s="152"/>
      <c r="C352" s="152"/>
      <c r="D352" s="152"/>
      <c r="E352" s="152"/>
      <c r="F352" s="152"/>
      <c r="G352" s="152"/>
      <c r="H352" s="152"/>
      <c r="I352" s="152"/>
      <c r="J352" s="152"/>
      <c r="K352" s="152"/>
      <c r="L352" s="152"/>
      <c r="M352" s="152"/>
      <c r="N352" s="152"/>
      <c r="O352" s="152"/>
      <c r="P352" s="152"/>
      <c r="Q352" s="152"/>
      <c r="R352" s="152"/>
      <c r="S352" s="152"/>
      <c r="T352" s="152"/>
      <c r="U352" s="152"/>
      <c r="V352" s="152"/>
      <c r="W352" s="152"/>
      <c r="X352" s="152"/>
      <c r="Y352" s="152"/>
      <c r="Z352" s="152"/>
    </row>
    <row r="353" ht="12.8" customHeight="1" spans="1:26">
      <c r="A353" s="152"/>
      <c r="B353" s="152"/>
      <c r="C353" s="152"/>
      <c r="D353" s="152"/>
      <c r="E353" s="152"/>
      <c r="F353" s="152"/>
      <c r="G353" s="152"/>
      <c r="H353" s="152"/>
      <c r="I353" s="152"/>
      <c r="J353" s="152"/>
      <c r="K353" s="152"/>
      <c r="L353" s="152"/>
      <c r="M353" s="152"/>
      <c r="N353" s="152"/>
      <c r="O353" s="152"/>
      <c r="P353" s="152"/>
      <c r="Q353" s="152"/>
      <c r="R353" s="152"/>
      <c r="S353" s="152"/>
      <c r="T353" s="152"/>
      <c r="U353" s="152"/>
      <c r="V353" s="152"/>
      <c r="W353" s="152"/>
      <c r="X353" s="152"/>
      <c r="Y353" s="152"/>
      <c r="Z353" s="152"/>
    </row>
    <row r="354" ht="12.8" customHeight="1" spans="1:26">
      <c r="A354" s="152"/>
      <c r="B354" s="152"/>
      <c r="C354" s="152"/>
      <c r="D354" s="152"/>
      <c r="E354" s="152"/>
      <c r="F354" s="152"/>
      <c r="G354" s="152"/>
      <c r="H354" s="152"/>
      <c r="I354" s="152"/>
      <c r="J354" s="152"/>
      <c r="K354" s="152"/>
      <c r="L354" s="152"/>
      <c r="M354" s="152"/>
      <c r="N354" s="152"/>
      <c r="O354" s="152"/>
      <c r="P354" s="152"/>
      <c r="Q354" s="152"/>
      <c r="R354" s="152"/>
      <c r="S354" s="152"/>
      <c r="T354" s="152"/>
      <c r="U354" s="152"/>
      <c r="V354" s="152"/>
      <c r="W354" s="152"/>
      <c r="X354" s="152"/>
      <c r="Y354" s="152"/>
      <c r="Z354" s="152"/>
    </row>
    <row r="355" ht="12.8" customHeight="1" spans="1:26">
      <c r="A355" s="152"/>
      <c r="B355" s="152"/>
      <c r="C355" s="152"/>
      <c r="D355" s="152"/>
      <c r="E355" s="152"/>
      <c r="F355" s="152"/>
      <c r="G355" s="152"/>
      <c r="H355" s="152"/>
      <c r="I355" s="152"/>
      <c r="J355" s="152"/>
      <c r="K355" s="152"/>
      <c r="L355" s="152"/>
      <c r="M355" s="152"/>
      <c r="N355" s="152"/>
      <c r="O355" s="152"/>
      <c r="P355" s="152"/>
      <c r="Q355" s="152"/>
      <c r="R355" s="152"/>
      <c r="S355" s="152"/>
      <c r="T355" s="152"/>
      <c r="U355" s="152"/>
      <c r="V355" s="152"/>
      <c r="W355" s="152"/>
      <c r="X355" s="152"/>
      <c r="Y355" s="152"/>
      <c r="Z355" s="152"/>
    </row>
    <row r="356" ht="12.8" customHeight="1" spans="1:26">
      <c r="A356" s="152"/>
      <c r="B356" s="152"/>
      <c r="C356" s="152"/>
      <c r="D356" s="152"/>
      <c r="E356" s="152"/>
      <c r="F356" s="152"/>
      <c r="G356" s="152"/>
      <c r="H356" s="152"/>
      <c r="I356" s="152"/>
      <c r="J356" s="152"/>
      <c r="K356" s="152"/>
      <c r="L356" s="152"/>
      <c r="M356" s="152"/>
      <c r="N356" s="152"/>
      <c r="O356" s="152"/>
      <c r="P356" s="152"/>
      <c r="Q356" s="152"/>
      <c r="R356" s="152"/>
      <c r="S356" s="152"/>
      <c r="T356" s="152"/>
      <c r="U356" s="152"/>
      <c r="V356" s="152"/>
      <c r="W356" s="152"/>
      <c r="X356" s="152"/>
      <c r="Y356" s="152"/>
      <c r="Z356" s="152"/>
    </row>
    <row r="357" ht="12.8" customHeight="1" spans="1:26">
      <c r="A357" s="152"/>
      <c r="B357" s="152"/>
      <c r="C357" s="152"/>
      <c r="D357" s="152"/>
      <c r="E357" s="152"/>
      <c r="F357" s="152"/>
      <c r="G357" s="152"/>
      <c r="H357" s="152"/>
      <c r="I357" s="152"/>
      <c r="J357" s="152"/>
      <c r="K357" s="152"/>
      <c r="L357" s="152"/>
      <c r="M357" s="152"/>
      <c r="N357" s="152"/>
      <c r="O357" s="152"/>
      <c r="P357" s="152"/>
      <c r="Q357" s="152"/>
      <c r="R357" s="152"/>
      <c r="S357" s="152"/>
      <c r="T357" s="152"/>
      <c r="U357" s="152"/>
      <c r="V357" s="152"/>
      <c r="W357" s="152"/>
      <c r="X357" s="152"/>
      <c r="Y357" s="152"/>
      <c r="Z357" s="152"/>
    </row>
    <row r="358" ht="12.8" customHeight="1" spans="1:26">
      <c r="A358" s="152"/>
      <c r="B358" s="152"/>
      <c r="C358" s="152"/>
      <c r="D358" s="152"/>
      <c r="E358" s="152"/>
      <c r="F358" s="152"/>
      <c r="G358" s="152"/>
      <c r="H358" s="152"/>
      <c r="I358" s="152"/>
      <c r="J358" s="152"/>
      <c r="K358" s="152"/>
      <c r="L358" s="152"/>
      <c r="M358" s="152"/>
      <c r="N358" s="152"/>
      <c r="O358" s="152"/>
      <c r="P358" s="152"/>
      <c r="Q358" s="152"/>
      <c r="R358" s="152"/>
      <c r="S358" s="152"/>
      <c r="T358" s="152"/>
      <c r="U358" s="152"/>
      <c r="V358" s="152"/>
      <c r="W358" s="152"/>
      <c r="X358" s="152"/>
      <c r="Y358" s="152"/>
      <c r="Z358" s="152"/>
    </row>
    <row r="359" ht="12.8" customHeight="1" spans="1:26">
      <c r="A359" s="152"/>
      <c r="B359" s="152"/>
      <c r="C359" s="152"/>
      <c r="D359" s="152"/>
      <c r="E359" s="152"/>
      <c r="F359" s="152"/>
      <c r="G359" s="152"/>
      <c r="H359" s="152"/>
      <c r="I359" s="152"/>
      <c r="J359" s="152"/>
      <c r="K359" s="152"/>
      <c r="L359" s="152"/>
      <c r="M359" s="152"/>
      <c r="N359" s="152"/>
      <c r="O359" s="152"/>
      <c r="P359" s="152"/>
      <c r="Q359" s="152"/>
      <c r="R359" s="152"/>
      <c r="S359" s="152"/>
      <c r="T359" s="152"/>
      <c r="U359" s="152"/>
      <c r="V359" s="152"/>
      <c r="W359" s="152"/>
      <c r="X359" s="152"/>
      <c r="Y359" s="152"/>
      <c r="Z359" s="152"/>
    </row>
    <row r="360" ht="12.8" customHeight="1" spans="1:26">
      <c r="A360" s="152"/>
      <c r="B360" s="152"/>
      <c r="C360" s="152"/>
      <c r="D360" s="152"/>
      <c r="E360" s="152"/>
      <c r="F360" s="152"/>
      <c r="G360" s="152"/>
      <c r="H360" s="152"/>
      <c r="I360" s="152"/>
      <c r="J360" s="152"/>
      <c r="K360" s="152"/>
      <c r="L360" s="152"/>
      <c r="M360" s="152"/>
      <c r="N360" s="152"/>
      <c r="O360" s="152"/>
      <c r="P360" s="152"/>
      <c r="Q360" s="152"/>
      <c r="R360" s="152"/>
      <c r="S360" s="152"/>
      <c r="T360" s="152"/>
      <c r="U360" s="152"/>
      <c r="V360" s="152"/>
      <c r="W360" s="152"/>
      <c r="X360" s="152"/>
      <c r="Y360" s="152"/>
      <c r="Z360" s="152"/>
    </row>
    <row r="361" ht="12.8" customHeight="1" spans="1:26">
      <c r="A361" s="152"/>
      <c r="B361" s="152"/>
      <c r="C361" s="152"/>
      <c r="D361" s="152"/>
      <c r="E361" s="152"/>
      <c r="F361" s="152"/>
      <c r="G361" s="152"/>
      <c r="H361" s="152"/>
      <c r="I361" s="152"/>
      <c r="J361" s="152"/>
      <c r="K361" s="152"/>
      <c r="L361" s="152"/>
      <c r="M361" s="152"/>
      <c r="N361" s="152"/>
      <c r="O361" s="152"/>
      <c r="P361" s="152"/>
      <c r="Q361" s="152"/>
      <c r="R361" s="152"/>
      <c r="S361" s="152"/>
      <c r="T361" s="152"/>
      <c r="U361" s="152"/>
      <c r="V361" s="152"/>
      <c r="W361" s="152"/>
      <c r="X361" s="152"/>
      <c r="Y361" s="152"/>
      <c r="Z361" s="152"/>
    </row>
    <row r="362" ht="12.8" customHeight="1" spans="1:26">
      <c r="A362" s="152"/>
      <c r="B362" s="152"/>
      <c r="C362" s="152"/>
      <c r="D362" s="152"/>
      <c r="E362" s="152"/>
      <c r="F362" s="152"/>
      <c r="G362" s="152"/>
      <c r="H362" s="152"/>
      <c r="I362" s="152"/>
      <c r="J362" s="152"/>
      <c r="K362" s="152"/>
      <c r="L362" s="152"/>
      <c r="M362" s="152"/>
      <c r="N362" s="152"/>
      <c r="O362" s="152"/>
      <c r="P362" s="152"/>
      <c r="Q362" s="152"/>
      <c r="R362" s="152"/>
      <c r="S362" s="152"/>
      <c r="T362" s="152"/>
      <c r="U362" s="152"/>
      <c r="V362" s="152"/>
      <c r="W362" s="152"/>
      <c r="X362" s="152"/>
      <c r="Y362" s="152"/>
      <c r="Z362" s="152"/>
    </row>
    <row r="363" ht="12.8" customHeight="1" spans="1:26">
      <c r="A363" s="152"/>
      <c r="B363" s="152"/>
      <c r="C363" s="152"/>
      <c r="D363" s="152"/>
      <c r="E363" s="152"/>
      <c r="F363" s="152"/>
      <c r="G363" s="152"/>
      <c r="H363" s="152"/>
      <c r="I363" s="152"/>
      <c r="J363" s="152"/>
      <c r="K363" s="152"/>
      <c r="L363" s="152"/>
      <c r="M363" s="152"/>
      <c r="N363" s="152"/>
      <c r="O363" s="152"/>
      <c r="P363" s="152"/>
      <c r="Q363" s="152"/>
      <c r="R363" s="152"/>
      <c r="S363" s="152"/>
      <c r="T363" s="152"/>
      <c r="U363" s="152"/>
      <c r="V363" s="152"/>
      <c r="W363" s="152"/>
      <c r="X363" s="152"/>
      <c r="Y363" s="152"/>
      <c r="Z363" s="152"/>
    </row>
    <row r="364" ht="12.8" customHeight="1" spans="1:26">
      <c r="A364" s="152"/>
      <c r="B364" s="152"/>
      <c r="C364" s="152"/>
      <c r="D364" s="152"/>
      <c r="E364" s="152"/>
      <c r="F364" s="152"/>
      <c r="G364" s="152"/>
      <c r="H364" s="152"/>
      <c r="I364" s="152"/>
      <c r="J364" s="152"/>
      <c r="K364" s="152"/>
      <c r="L364" s="152"/>
      <c r="M364" s="152"/>
      <c r="N364" s="152"/>
      <c r="O364" s="152"/>
      <c r="P364" s="152"/>
      <c r="Q364" s="152"/>
      <c r="R364" s="152"/>
      <c r="S364" s="152"/>
      <c r="T364" s="152"/>
      <c r="U364" s="152"/>
      <c r="V364" s="152"/>
      <c r="W364" s="152"/>
      <c r="X364" s="152"/>
      <c r="Y364" s="152"/>
      <c r="Z364" s="152"/>
    </row>
    <row r="365" ht="12.8" customHeight="1" spans="1:26">
      <c r="A365" s="152"/>
      <c r="B365" s="152"/>
      <c r="C365" s="152"/>
      <c r="D365" s="152"/>
      <c r="E365" s="152"/>
      <c r="F365" s="152"/>
      <c r="G365" s="152"/>
      <c r="H365" s="152"/>
      <c r="I365" s="152"/>
      <c r="J365" s="152"/>
      <c r="K365" s="152"/>
      <c r="L365" s="152"/>
      <c r="M365" s="152"/>
      <c r="N365" s="152"/>
      <c r="O365" s="152"/>
      <c r="P365" s="152"/>
      <c r="Q365" s="152"/>
      <c r="R365" s="152"/>
      <c r="S365" s="152"/>
      <c r="T365" s="152"/>
      <c r="U365" s="152"/>
      <c r="V365" s="152"/>
      <c r="W365" s="152"/>
      <c r="X365" s="152"/>
      <c r="Y365" s="152"/>
      <c r="Z365" s="152"/>
    </row>
    <row r="366" ht="12.8" customHeight="1" spans="1:26">
      <c r="A366" s="152"/>
      <c r="B366" s="152"/>
      <c r="C366" s="152"/>
      <c r="D366" s="152"/>
      <c r="E366" s="152"/>
      <c r="F366" s="152"/>
      <c r="G366" s="152"/>
      <c r="H366" s="152"/>
      <c r="I366" s="152"/>
      <c r="J366" s="152"/>
      <c r="K366" s="152"/>
      <c r="L366" s="152"/>
      <c r="M366" s="152"/>
      <c r="N366" s="152"/>
      <c r="O366" s="152"/>
      <c r="P366" s="152"/>
      <c r="Q366" s="152"/>
      <c r="R366" s="152"/>
      <c r="S366" s="152"/>
      <c r="T366" s="152"/>
      <c r="U366" s="152"/>
      <c r="V366" s="152"/>
      <c r="W366" s="152"/>
      <c r="X366" s="152"/>
      <c r="Y366" s="152"/>
      <c r="Z366" s="152"/>
    </row>
    <row r="367" ht="12.8" customHeight="1" spans="1:26">
      <c r="A367" s="152"/>
      <c r="B367" s="152"/>
      <c r="C367" s="152"/>
      <c r="D367" s="152"/>
      <c r="E367" s="152"/>
      <c r="F367" s="152"/>
      <c r="G367" s="152"/>
      <c r="H367" s="152"/>
      <c r="I367" s="152"/>
      <c r="J367" s="152"/>
      <c r="K367" s="152"/>
      <c r="L367" s="152"/>
      <c r="M367" s="152"/>
      <c r="N367" s="152"/>
      <c r="O367" s="152"/>
      <c r="P367" s="152"/>
      <c r="Q367" s="152"/>
      <c r="R367" s="152"/>
      <c r="S367" s="152"/>
      <c r="T367" s="152"/>
      <c r="U367" s="152"/>
      <c r="V367" s="152"/>
      <c r="W367" s="152"/>
      <c r="X367" s="152"/>
      <c r="Y367" s="152"/>
      <c r="Z367" s="152"/>
    </row>
    <row r="368" ht="12.8" customHeight="1" spans="1:26">
      <c r="A368" s="152"/>
      <c r="B368" s="152"/>
      <c r="C368" s="152"/>
      <c r="D368" s="152"/>
      <c r="E368" s="152"/>
      <c r="F368" s="152"/>
      <c r="G368" s="152"/>
      <c r="H368" s="152"/>
      <c r="I368" s="152"/>
      <c r="J368" s="152"/>
      <c r="K368" s="152"/>
      <c r="L368" s="152"/>
      <c r="M368" s="152"/>
      <c r="N368" s="152"/>
      <c r="O368" s="152"/>
      <c r="P368" s="152"/>
      <c r="Q368" s="152"/>
      <c r="R368" s="152"/>
      <c r="S368" s="152"/>
      <c r="T368" s="152"/>
      <c r="U368" s="152"/>
      <c r="V368" s="152"/>
      <c r="W368" s="152"/>
      <c r="X368" s="152"/>
      <c r="Y368" s="152"/>
      <c r="Z368" s="152"/>
    </row>
    <row r="369" ht="12.8" customHeight="1" spans="1:26">
      <c r="A369" s="152"/>
      <c r="B369" s="152"/>
      <c r="C369" s="152"/>
      <c r="D369" s="152"/>
      <c r="E369" s="152"/>
      <c r="F369" s="152"/>
      <c r="G369" s="152"/>
      <c r="H369" s="152"/>
      <c r="I369" s="152"/>
      <c r="J369" s="152"/>
      <c r="K369" s="152"/>
      <c r="L369" s="152"/>
      <c r="M369" s="152"/>
      <c r="N369" s="152"/>
      <c r="O369" s="152"/>
      <c r="P369" s="152"/>
      <c r="Q369" s="152"/>
      <c r="R369" s="152"/>
      <c r="S369" s="152"/>
      <c r="T369" s="152"/>
      <c r="U369" s="152"/>
      <c r="V369" s="152"/>
      <c r="W369" s="152"/>
      <c r="X369" s="152"/>
      <c r="Y369" s="152"/>
      <c r="Z369" s="152"/>
    </row>
    <row r="370" ht="12.8" customHeight="1" spans="1:26">
      <c r="A370" s="152"/>
      <c r="B370" s="152"/>
      <c r="C370" s="152"/>
      <c r="D370" s="152"/>
      <c r="E370" s="152"/>
      <c r="F370" s="152"/>
      <c r="G370" s="152"/>
      <c r="H370" s="152"/>
      <c r="I370" s="152"/>
      <c r="J370" s="152"/>
      <c r="K370" s="152"/>
      <c r="L370" s="152"/>
      <c r="M370" s="152"/>
      <c r="N370" s="152"/>
      <c r="O370" s="152"/>
      <c r="P370" s="152"/>
      <c r="Q370" s="152"/>
      <c r="R370" s="152"/>
      <c r="S370" s="152"/>
      <c r="T370" s="152"/>
      <c r="U370" s="152"/>
      <c r="V370" s="152"/>
      <c r="W370" s="152"/>
      <c r="X370" s="152"/>
      <c r="Y370" s="152"/>
      <c r="Z370" s="152"/>
    </row>
    <row r="371" ht="12.8" customHeight="1" spans="1:26">
      <c r="A371" s="152"/>
      <c r="B371" s="152"/>
      <c r="C371" s="152"/>
      <c r="D371" s="152"/>
      <c r="E371" s="152"/>
      <c r="F371" s="152"/>
      <c r="G371" s="152"/>
      <c r="H371" s="152"/>
      <c r="I371" s="152"/>
      <c r="J371" s="152"/>
      <c r="K371" s="152"/>
      <c r="L371" s="152"/>
      <c r="M371" s="152"/>
      <c r="N371" s="152"/>
      <c r="O371" s="152"/>
      <c r="P371" s="152"/>
      <c r="Q371" s="152"/>
      <c r="R371" s="152"/>
      <c r="S371" s="152"/>
      <c r="T371" s="152"/>
      <c r="U371" s="152"/>
      <c r="V371" s="152"/>
      <c r="W371" s="152"/>
      <c r="X371" s="152"/>
      <c r="Y371" s="152"/>
      <c r="Z371" s="152"/>
    </row>
    <row r="372" ht="12.8" customHeight="1" spans="1:26">
      <c r="A372" s="152"/>
      <c r="B372" s="152"/>
      <c r="C372" s="152"/>
      <c r="D372" s="152"/>
      <c r="E372" s="152"/>
      <c r="F372" s="152"/>
      <c r="G372" s="152"/>
      <c r="H372" s="152"/>
      <c r="I372" s="152"/>
      <c r="J372" s="152"/>
      <c r="K372" s="152"/>
      <c r="L372" s="152"/>
      <c r="M372" s="152"/>
      <c r="N372" s="152"/>
      <c r="O372" s="152"/>
      <c r="P372" s="152"/>
      <c r="Q372" s="152"/>
      <c r="R372" s="152"/>
      <c r="S372" s="152"/>
      <c r="T372" s="152"/>
      <c r="U372" s="152"/>
      <c r="V372" s="152"/>
      <c r="W372" s="152"/>
      <c r="X372" s="152"/>
      <c r="Y372" s="152"/>
      <c r="Z372" s="152"/>
    </row>
    <row r="373" ht="12.8" customHeight="1" spans="1:26">
      <c r="A373" s="152"/>
      <c r="B373" s="152"/>
      <c r="C373" s="152"/>
      <c r="D373" s="152"/>
      <c r="E373" s="152"/>
      <c r="F373" s="152"/>
      <c r="G373" s="152"/>
      <c r="H373" s="152"/>
      <c r="I373" s="152"/>
      <c r="J373" s="152"/>
      <c r="K373" s="152"/>
      <c r="L373" s="152"/>
      <c r="M373" s="152"/>
      <c r="N373" s="152"/>
      <c r="O373" s="152"/>
      <c r="P373" s="152"/>
      <c r="Q373" s="152"/>
      <c r="R373" s="152"/>
      <c r="S373" s="152"/>
      <c r="T373" s="152"/>
      <c r="U373" s="152"/>
      <c r="V373" s="152"/>
      <c r="W373" s="152"/>
      <c r="X373" s="152"/>
      <c r="Y373" s="152"/>
      <c r="Z373" s="152"/>
    </row>
    <row r="374" ht="12.8" customHeight="1" spans="1:26">
      <c r="A374" s="152"/>
      <c r="B374" s="152"/>
      <c r="C374" s="152"/>
      <c r="D374" s="152"/>
      <c r="E374" s="152"/>
      <c r="F374" s="152"/>
      <c r="G374" s="152"/>
      <c r="H374" s="152"/>
      <c r="I374" s="152"/>
      <c r="J374" s="152"/>
      <c r="K374" s="152"/>
      <c r="L374" s="152"/>
      <c r="M374" s="152"/>
      <c r="N374" s="152"/>
      <c r="O374" s="152"/>
      <c r="P374" s="152"/>
      <c r="Q374" s="152"/>
      <c r="R374" s="152"/>
      <c r="S374" s="152"/>
      <c r="T374" s="152"/>
      <c r="U374" s="152"/>
      <c r="V374" s="152"/>
      <c r="W374" s="152"/>
      <c r="X374" s="152"/>
      <c r="Y374" s="152"/>
      <c r="Z374" s="152"/>
    </row>
    <row r="375" ht="12.8" customHeight="1" spans="1:26">
      <c r="A375" s="152"/>
      <c r="B375" s="152"/>
      <c r="C375" s="152"/>
      <c r="D375" s="152"/>
      <c r="E375" s="152"/>
      <c r="F375" s="152"/>
      <c r="G375" s="152"/>
      <c r="H375" s="152"/>
      <c r="I375" s="152"/>
      <c r="J375" s="152"/>
      <c r="K375" s="152"/>
      <c r="L375" s="152"/>
      <c r="M375" s="152"/>
      <c r="N375" s="152"/>
      <c r="O375" s="152"/>
      <c r="P375" s="152"/>
      <c r="Q375" s="152"/>
      <c r="R375" s="152"/>
      <c r="S375" s="152"/>
      <c r="T375" s="152"/>
      <c r="U375" s="152"/>
      <c r="V375" s="152"/>
      <c r="W375" s="152"/>
      <c r="X375" s="152"/>
      <c r="Y375" s="152"/>
      <c r="Z375" s="152"/>
    </row>
    <row r="376" ht="12.8" customHeight="1" spans="1:26">
      <c r="A376" s="152"/>
      <c r="B376" s="152"/>
      <c r="C376" s="152"/>
      <c r="D376" s="152"/>
      <c r="E376" s="152"/>
      <c r="F376" s="152"/>
      <c r="G376" s="152"/>
      <c r="H376" s="152"/>
      <c r="I376" s="152"/>
      <c r="J376" s="152"/>
      <c r="K376" s="152"/>
      <c r="L376" s="152"/>
      <c r="M376" s="152"/>
      <c r="N376" s="152"/>
      <c r="O376" s="152"/>
      <c r="P376" s="152"/>
      <c r="Q376" s="152"/>
      <c r="R376" s="152"/>
      <c r="S376" s="152"/>
      <c r="T376" s="152"/>
      <c r="U376" s="152"/>
      <c r="V376" s="152"/>
      <c r="W376" s="152"/>
      <c r="X376" s="152"/>
      <c r="Y376" s="152"/>
      <c r="Z376" s="152"/>
    </row>
    <row r="377" ht="12.8" customHeight="1" spans="1:26">
      <c r="A377" s="152"/>
      <c r="B377" s="152"/>
      <c r="C377" s="152"/>
      <c r="D377" s="152"/>
      <c r="E377" s="152"/>
      <c r="F377" s="152"/>
      <c r="G377" s="152"/>
      <c r="H377" s="152"/>
      <c r="I377" s="152"/>
      <c r="J377" s="152"/>
      <c r="K377" s="152"/>
      <c r="L377" s="152"/>
      <c r="M377" s="152"/>
      <c r="N377" s="152"/>
      <c r="O377" s="152"/>
      <c r="P377" s="152"/>
      <c r="Q377" s="152"/>
      <c r="R377" s="152"/>
      <c r="S377" s="152"/>
      <c r="T377" s="152"/>
      <c r="U377" s="152"/>
      <c r="V377" s="152"/>
      <c r="W377" s="152"/>
      <c r="X377" s="152"/>
      <c r="Y377" s="152"/>
      <c r="Z377" s="152"/>
    </row>
    <row r="378" ht="12.8" customHeight="1" spans="1:26">
      <c r="A378" s="152"/>
      <c r="B378" s="152"/>
      <c r="C378" s="152"/>
      <c r="D378" s="152"/>
      <c r="E378" s="152"/>
      <c r="F378" s="152"/>
      <c r="G378" s="152"/>
      <c r="H378" s="152"/>
      <c r="I378" s="152"/>
      <c r="J378" s="152"/>
      <c r="K378" s="152"/>
      <c r="L378" s="152"/>
      <c r="M378" s="152"/>
      <c r="N378" s="152"/>
      <c r="O378" s="152"/>
      <c r="P378" s="152"/>
      <c r="Q378" s="152"/>
      <c r="R378" s="152"/>
      <c r="S378" s="152"/>
      <c r="T378" s="152"/>
      <c r="U378" s="152"/>
      <c r="V378" s="152"/>
      <c r="W378" s="152"/>
      <c r="X378" s="152"/>
      <c r="Y378" s="152"/>
      <c r="Z378" s="152"/>
    </row>
    <row r="379" ht="12.8" customHeight="1" spans="1:26">
      <c r="A379" s="152"/>
      <c r="B379" s="152"/>
      <c r="C379" s="152"/>
      <c r="D379" s="152"/>
      <c r="E379" s="152"/>
      <c r="F379" s="152"/>
      <c r="G379" s="152"/>
      <c r="H379" s="152"/>
      <c r="I379" s="152"/>
      <c r="J379" s="152"/>
      <c r="K379" s="152"/>
      <c r="L379" s="152"/>
      <c r="M379" s="152"/>
      <c r="N379" s="152"/>
      <c r="O379" s="152"/>
      <c r="P379" s="152"/>
      <c r="Q379" s="152"/>
      <c r="R379" s="152"/>
      <c r="S379" s="152"/>
      <c r="T379" s="152"/>
      <c r="U379" s="152"/>
      <c r="V379" s="152"/>
      <c r="W379" s="152"/>
      <c r="X379" s="152"/>
      <c r="Y379" s="152"/>
      <c r="Z379" s="152"/>
    </row>
    <row r="380" ht="12.8" customHeight="1" spans="1:26">
      <c r="A380" s="152"/>
      <c r="B380" s="152"/>
      <c r="C380" s="152"/>
      <c r="D380" s="152"/>
      <c r="E380" s="152"/>
      <c r="F380" s="152"/>
      <c r="G380" s="152"/>
      <c r="H380" s="152"/>
      <c r="I380" s="152"/>
      <c r="J380" s="152"/>
      <c r="K380" s="152"/>
      <c r="L380" s="152"/>
      <c r="M380" s="152"/>
      <c r="N380" s="152"/>
      <c r="O380" s="152"/>
      <c r="P380" s="152"/>
      <c r="Q380" s="152"/>
      <c r="R380" s="152"/>
      <c r="S380" s="152"/>
      <c r="T380" s="152"/>
      <c r="U380" s="152"/>
      <c r="V380" s="152"/>
      <c r="W380" s="152"/>
      <c r="X380" s="152"/>
      <c r="Y380" s="152"/>
      <c r="Z380" s="152"/>
    </row>
    <row r="381" ht="12.8" customHeight="1" spans="1:26">
      <c r="A381" s="152"/>
      <c r="B381" s="152"/>
      <c r="C381" s="152"/>
      <c r="D381" s="152"/>
      <c r="E381" s="152"/>
      <c r="F381" s="152"/>
      <c r="G381" s="152"/>
      <c r="H381" s="152"/>
      <c r="I381" s="152"/>
      <c r="J381" s="152"/>
      <c r="K381" s="152"/>
      <c r="L381" s="152"/>
      <c r="M381" s="152"/>
      <c r="N381" s="152"/>
      <c r="O381" s="152"/>
      <c r="P381" s="152"/>
      <c r="Q381" s="152"/>
      <c r="R381" s="152"/>
      <c r="S381" s="152"/>
      <c r="T381" s="152"/>
      <c r="U381" s="152"/>
      <c r="V381" s="152"/>
      <c r="W381" s="152"/>
      <c r="X381" s="152"/>
      <c r="Y381" s="152"/>
      <c r="Z381" s="152"/>
    </row>
    <row r="382" ht="12.8" customHeight="1" spans="1:26">
      <c r="A382" s="152"/>
      <c r="B382" s="152"/>
      <c r="C382" s="152"/>
      <c r="D382" s="152"/>
      <c r="E382" s="152"/>
      <c r="F382" s="152"/>
      <c r="G382" s="152"/>
      <c r="H382" s="152"/>
      <c r="I382" s="152"/>
      <c r="J382" s="152"/>
      <c r="K382" s="152"/>
      <c r="L382" s="152"/>
      <c r="M382" s="152"/>
      <c r="N382" s="152"/>
      <c r="O382" s="152"/>
      <c r="P382" s="152"/>
      <c r="Q382" s="152"/>
      <c r="R382" s="152"/>
      <c r="S382" s="152"/>
      <c r="T382" s="152"/>
      <c r="U382" s="152"/>
      <c r="V382" s="152"/>
      <c r="W382" s="152"/>
      <c r="X382" s="152"/>
      <c r="Y382" s="152"/>
      <c r="Z382" s="152"/>
    </row>
    <row r="383" ht="12.8" customHeight="1" spans="1:26">
      <c r="A383" s="152"/>
      <c r="B383" s="152"/>
      <c r="C383" s="152"/>
      <c r="D383" s="152"/>
      <c r="E383" s="152"/>
      <c r="F383" s="152"/>
      <c r="G383" s="152"/>
      <c r="H383" s="152"/>
      <c r="I383" s="152"/>
      <c r="J383" s="152"/>
      <c r="K383" s="152"/>
      <c r="L383" s="152"/>
      <c r="M383" s="152"/>
      <c r="N383" s="152"/>
      <c r="O383" s="152"/>
      <c r="P383" s="152"/>
      <c r="Q383" s="152"/>
      <c r="R383" s="152"/>
      <c r="S383" s="152"/>
      <c r="T383" s="152"/>
      <c r="U383" s="152"/>
      <c r="V383" s="152"/>
      <c r="W383" s="152"/>
      <c r="X383" s="152"/>
      <c r="Y383" s="152"/>
      <c r="Z383" s="152"/>
    </row>
    <row r="384" ht="12.8" customHeight="1" spans="1:26">
      <c r="A384" s="152"/>
      <c r="B384" s="152"/>
      <c r="C384" s="152"/>
      <c r="D384" s="152"/>
      <c r="E384" s="152"/>
      <c r="F384" s="152"/>
      <c r="G384" s="152"/>
      <c r="H384" s="152"/>
      <c r="I384" s="152"/>
      <c r="J384" s="152"/>
      <c r="K384" s="152"/>
      <c r="L384" s="152"/>
      <c r="M384" s="152"/>
      <c r="N384" s="152"/>
      <c r="O384" s="152"/>
      <c r="P384" s="152"/>
      <c r="Q384" s="152"/>
      <c r="R384" s="152"/>
      <c r="S384" s="152"/>
      <c r="T384" s="152"/>
      <c r="U384" s="152"/>
      <c r="V384" s="152"/>
      <c r="W384" s="152"/>
      <c r="X384" s="152"/>
      <c r="Y384" s="152"/>
      <c r="Z384" s="152"/>
    </row>
    <row r="385" ht="12.8" customHeight="1" spans="1:26">
      <c r="A385" s="152"/>
      <c r="B385" s="152"/>
      <c r="C385" s="152"/>
      <c r="D385" s="152"/>
      <c r="E385" s="152"/>
      <c r="F385" s="152"/>
      <c r="G385" s="152"/>
      <c r="H385" s="152"/>
      <c r="I385" s="152"/>
      <c r="J385" s="152"/>
      <c r="K385" s="152"/>
      <c r="L385" s="152"/>
      <c r="M385" s="152"/>
      <c r="N385" s="152"/>
      <c r="O385" s="152"/>
      <c r="P385" s="152"/>
      <c r="Q385" s="152"/>
      <c r="R385" s="152"/>
      <c r="S385" s="152"/>
      <c r="T385" s="152"/>
      <c r="U385" s="152"/>
      <c r="V385" s="152"/>
      <c r="W385" s="152"/>
      <c r="X385" s="152"/>
      <c r="Y385" s="152"/>
      <c r="Z385" s="152"/>
    </row>
    <row r="386" ht="12.8" customHeight="1" spans="1:26">
      <c r="A386" s="152"/>
      <c r="B386" s="152"/>
      <c r="C386" s="152"/>
      <c r="D386" s="152"/>
      <c r="E386" s="152"/>
      <c r="F386" s="152"/>
      <c r="G386" s="152"/>
      <c r="H386" s="152"/>
      <c r="I386" s="152"/>
      <c r="J386" s="152"/>
      <c r="K386" s="152"/>
      <c r="L386" s="152"/>
      <c r="M386" s="152"/>
      <c r="N386" s="152"/>
      <c r="O386" s="152"/>
      <c r="P386" s="152"/>
      <c r="Q386" s="152"/>
      <c r="R386" s="152"/>
      <c r="S386" s="152"/>
      <c r="T386" s="152"/>
      <c r="U386" s="152"/>
      <c r="V386" s="152"/>
      <c r="W386" s="152"/>
      <c r="X386" s="152"/>
      <c r="Y386" s="152"/>
      <c r="Z386" s="152"/>
    </row>
    <row r="387" ht="12.8" customHeight="1" spans="1:26">
      <c r="A387" s="152"/>
      <c r="B387" s="152"/>
      <c r="C387" s="152"/>
      <c r="D387" s="152"/>
      <c r="E387" s="152"/>
      <c r="F387" s="152"/>
      <c r="G387" s="152"/>
      <c r="H387" s="152"/>
      <c r="I387" s="152"/>
      <c r="J387" s="152"/>
      <c r="K387" s="152"/>
      <c r="L387" s="152"/>
      <c r="M387" s="152"/>
      <c r="N387" s="152"/>
      <c r="O387" s="152"/>
      <c r="P387" s="152"/>
      <c r="Q387" s="152"/>
      <c r="R387" s="152"/>
      <c r="S387" s="152"/>
      <c r="T387" s="152"/>
      <c r="U387" s="152"/>
      <c r="V387" s="152"/>
      <c r="W387" s="152"/>
      <c r="X387" s="152"/>
      <c r="Y387" s="152"/>
      <c r="Z387" s="152"/>
    </row>
    <row r="388" ht="12.8" customHeight="1" spans="1:26">
      <c r="A388" s="152"/>
      <c r="B388" s="152"/>
      <c r="C388" s="152"/>
      <c r="D388" s="152"/>
      <c r="E388" s="152"/>
      <c r="F388" s="152"/>
      <c r="G388" s="152"/>
      <c r="H388" s="152"/>
      <c r="I388" s="152"/>
      <c r="J388" s="152"/>
      <c r="K388" s="152"/>
      <c r="L388" s="152"/>
      <c r="M388" s="152"/>
      <c r="N388" s="152"/>
      <c r="O388" s="152"/>
      <c r="P388" s="152"/>
      <c r="Q388" s="152"/>
      <c r="R388" s="152"/>
      <c r="S388" s="152"/>
      <c r="T388" s="152"/>
      <c r="U388" s="152"/>
      <c r="V388" s="152"/>
      <c r="W388" s="152"/>
      <c r="X388" s="152"/>
      <c r="Y388" s="152"/>
      <c r="Z388" s="152"/>
    </row>
    <row r="389" ht="12.8" customHeight="1" spans="1:26">
      <c r="A389" s="152"/>
      <c r="B389" s="152"/>
      <c r="C389" s="152"/>
      <c r="D389" s="152"/>
      <c r="E389" s="152"/>
      <c r="F389" s="152"/>
      <c r="G389" s="152"/>
      <c r="H389" s="152"/>
      <c r="I389" s="152"/>
      <c r="J389" s="152"/>
      <c r="K389" s="152"/>
      <c r="L389" s="152"/>
      <c r="M389" s="152"/>
      <c r="N389" s="152"/>
      <c r="O389" s="152"/>
      <c r="P389" s="152"/>
      <c r="Q389" s="152"/>
      <c r="R389" s="152"/>
      <c r="S389" s="152"/>
      <c r="T389" s="152"/>
      <c r="U389" s="152"/>
      <c r="V389" s="152"/>
      <c r="W389" s="152"/>
      <c r="X389" s="152"/>
      <c r="Y389" s="152"/>
      <c r="Z389" s="152"/>
    </row>
    <row r="390" ht="12.8" customHeight="1" spans="1:26">
      <c r="A390" s="152"/>
      <c r="B390" s="152"/>
      <c r="C390" s="152"/>
      <c r="D390" s="152"/>
      <c r="E390" s="152"/>
      <c r="F390" s="152"/>
      <c r="G390" s="152"/>
      <c r="H390" s="152"/>
      <c r="I390" s="152"/>
      <c r="J390" s="152"/>
      <c r="K390" s="152"/>
      <c r="L390" s="152"/>
      <c r="M390" s="152"/>
      <c r="N390" s="152"/>
      <c r="O390" s="152"/>
      <c r="P390" s="152"/>
      <c r="Q390" s="152"/>
      <c r="R390" s="152"/>
      <c r="S390" s="152"/>
      <c r="T390" s="152"/>
      <c r="U390" s="152"/>
      <c r="V390" s="152"/>
      <c r="W390" s="152"/>
      <c r="X390" s="152"/>
      <c r="Y390" s="152"/>
      <c r="Z390" s="152"/>
    </row>
    <row r="391" ht="12.8" customHeight="1" spans="1:26">
      <c r="A391" s="152"/>
      <c r="B391" s="152"/>
      <c r="C391" s="152"/>
      <c r="D391" s="152"/>
      <c r="E391" s="152"/>
      <c r="F391" s="152"/>
      <c r="G391" s="152"/>
      <c r="H391" s="152"/>
      <c r="I391" s="152"/>
      <c r="J391" s="152"/>
      <c r="K391" s="152"/>
      <c r="L391" s="152"/>
      <c r="M391" s="152"/>
      <c r="N391" s="152"/>
      <c r="O391" s="152"/>
      <c r="P391" s="152"/>
      <c r="Q391" s="152"/>
      <c r="R391" s="152"/>
      <c r="S391" s="152"/>
      <c r="T391" s="152"/>
      <c r="U391" s="152"/>
      <c r="V391" s="152"/>
      <c r="W391" s="152"/>
      <c r="X391" s="152"/>
      <c r="Y391" s="152"/>
      <c r="Z391" s="152"/>
    </row>
    <row r="392" ht="12.8" customHeight="1" spans="1:26">
      <c r="A392" s="152"/>
      <c r="B392" s="152"/>
      <c r="C392" s="152"/>
      <c r="D392" s="152"/>
      <c r="E392" s="152"/>
      <c r="F392" s="152"/>
      <c r="G392" s="152"/>
      <c r="H392" s="152"/>
      <c r="I392" s="152"/>
      <c r="J392" s="152"/>
      <c r="K392" s="152"/>
      <c r="L392" s="152"/>
      <c r="M392" s="152"/>
      <c r="N392" s="152"/>
      <c r="O392" s="152"/>
      <c r="P392" s="152"/>
      <c r="Q392" s="152"/>
      <c r="R392" s="152"/>
      <c r="S392" s="152"/>
      <c r="T392" s="152"/>
      <c r="U392" s="152"/>
      <c r="V392" s="152"/>
      <c r="W392" s="152"/>
      <c r="X392" s="152"/>
      <c r="Y392" s="152"/>
      <c r="Z392" s="152"/>
    </row>
    <row r="393" ht="12.8" customHeight="1" spans="1:26">
      <c r="A393" s="152"/>
      <c r="B393" s="152"/>
      <c r="C393" s="152"/>
      <c r="D393" s="152"/>
      <c r="E393" s="152"/>
      <c r="F393" s="152"/>
      <c r="G393" s="152"/>
      <c r="H393" s="152"/>
      <c r="I393" s="152"/>
      <c r="J393" s="152"/>
      <c r="K393" s="152"/>
      <c r="L393" s="152"/>
      <c r="M393" s="152"/>
      <c r="N393" s="152"/>
      <c r="O393" s="152"/>
      <c r="P393" s="152"/>
      <c r="Q393" s="152"/>
      <c r="R393" s="152"/>
      <c r="S393" s="152"/>
      <c r="T393" s="152"/>
      <c r="U393" s="152"/>
      <c r="V393" s="152"/>
      <c r="W393" s="152"/>
      <c r="X393" s="152"/>
      <c r="Y393" s="152"/>
      <c r="Z393" s="152"/>
    </row>
    <row r="394" ht="12.8" customHeight="1" spans="1:26">
      <c r="A394" s="152"/>
      <c r="B394" s="152"/>
      <c r="C394" s="152"/>
      <c r="D394" s="152"/>
      <c r="E394" s="152"/>
      <c r="F394" s="152"/>
      <c r="G394" s="152"/>
      <c r="H394" s="152"/>
      <c r="I394" s="152"/>
      <c r="J394" s="152"/>
      <c r="K394" s="152"/>
      <c r="L394" s="152"/>
      <c r="M394" s="152"/>
      <c r="N394" s="152"/>
      <c r="O394" s="152"/>
      <c r="P394" s="152"/>
      <c r="Q394" s="152"/>
      <c r="R394" s="152"/>
      <c r="S394" s="152"/>
      <c r="T394" s="152"/>
      <c r="U394" s="152"/>
      <c r="V394" s="152"/>
      <c r="W394" s="152"/>
      <c r="X394" s="152"/>
      <c r="Y394" s="152"/>
      <c r="Z394" s="152"/>
    </row>
    <row r="395" ht="12.8" customHeight="1" spans="1:26">
      <c r="A395" s="152"/>
      <c r="B395" s="152"/>
      <c r="C395" s="152"/>
      <c r="D395" s="152"/>
      <c r="E395" s="152"/>
      <c r="F395" s="152"/>
      <c r="G395" s="152"/>
      <c r="H395" s="152"/>
      <c r="I395" s="152"/>
      <c r="J395" s="152"/>
      <c r="K395" s="152"/>
      <c r="L395" s="152"/>
      <c r="M395" s="152"/>
      <c r="N395" s="152"/>
      <c r="O395" s="152"/>
      <c r="P395" s="152"/>
      <c r="Q395" s="152"/>
      <c r="R395" s="152"/>
      <c r="S395" s="152"/>
      <c r="T395" s="152"/>
      <c r="U395" s="152"/>
      <c r="V395" s="152"/>
      <c r="W395" s="152"/>
      <c r="X395" s="152"/>
      <c r="Y395" s="152"/>
      <c r="Z395" s="152"/>
    </row>
    <row r="396" ht="12.8" customHeight="1" spans="1:26">
      <c r="A396" s="152"/>
      <c r="B396" s="152"/>
      <c r="C396" s="152"/>
      <c r="D396" s="152"/>
      <c r="E396" s="152"/>
      <c r="F396" s="152"/>
      <c r="G396" s="152"/>
      <c r="H396" s="152"/>
      <c r="I396" s="152"/>
      <c r="J396" s="152"/>
      <c r="K396" s="152"/>
      <c r="L396" s="152"/>
      <c r="M396" s="152"/>
      <c r="N396" s="152"/>
      <c r="O396" s="152"/>
      <c r="P396" s="152"/>
      <c r="Q396" s="152"/>
      <c r="R396" s="152"/>
      <c r="S396" s="152"/>
      <c r="T396" s="152"/>
      <c r="U396" s="152"/>
      <c r="V396" s="152"/>
      <c r="W396" s="152"/>
      <c r="X396" s="152"/>
      <c r="Y396" s="152"/>
      <c r="Z396" s="152"/>
    </row>
    <row r="397" ht="12.8" customHeight="1" spans="1:26">
      <c r="A397" s="152"/>
      <c r="B397" s="152"/>
      <c r="C397" s="152"/>
      <c r="D397" s="152"/>
      <c r="E397" s="152"/>
      <c r="F397" s="152"/>
      <c r="G397" s="152"/>
      <c r="H397" s="152"/>
      <c r="I397" s="152"/>
      <c r="J397" s="152"/>
      <c r="K397" s="152"/>
      <c r="L397" s="152"/>
      <c r="M397" s="152"/>
      <c r="N397" s="152"/>
      <c r="O397" s="152"/>
      <c r="P397" s="152"/>
      <c r="Q397" s="152"/>
      <c r="R397" s="152"/>
      <c r="S397" s="152"/>
      <c r="T397" s="152"/>
      <c r="U397" s="152"/>
      <c r="V397" s="152"/>
      <c r="W397" s="152"/>
      <c r="X397" s="152"/>
      <c r="Y397" s="152"/>
      <c r="Z397" s="152"/>
    </row>
    <row r="398" ht="12.8" customHeight="1" spans="1:26">
      <c r="A398" s="152"/>
      <c r="B398" s="152"/>
      <c r="C398" s="152"/>
      <c r="D398" s="152"/>
      <c r="E398" s="152"/>
      <c r="F398" s="152"/>
      <c r="G398" s="152"/>
      <c r="H398" s="152"/>
      <c r="I398" s="152"/>
      <c r="J398" s="152"/>
      <c r="K398" s="152"/>
      <c r="L398" s="152"/>
      <c r="M398" s="152"/>
      <c r="N398" s="152"/>
      <c r="O398" s="152"/>
      <c r="P398" s="152"/>
      <c r="Q398" s="152"/>
      <c r="R398" s="152"/>
      <c r="S398" s="152"/>
      <c r="T398" s="152"/>
      <c r="U398" s="152"/>
      <c r="V398" s="152"/>
      <c r="W398" s="152"/>
      <c r="X398" s="152"/>
      <c r="Y398" s="152"/>
      <c r="Z398" s="152"/>
    </row>
    <row r="399" ht="12.8" customHeight="1" spans="1:26">
      <c r="A399" s="152"/>
      <c r="B399" s="152"/>
      <c r="C399" s="152"/>
      <c r="D399" s="152"/>
      <c r="E399" s="152"/>
      <c r="F399" s="152"/>
      <c r="G399" s="152"/>
      <c r="H399" s="152"/>
      <c r="I399" s="152"/>
      <c r="J399" s="152"/>
      <c r="K399" s="152"/>
      <c r="L399" s="152"/>
      <c r="M399" s="152"/>
      <c r="N399" s="152"/>
      <c r="O399" s="152"/>
      <c r="P399" s="152"/>
      <c r="Q399" s="152"/>
      <c r="R399" s="152"/>
      <c r="S399" s="152"/>
      <c r="T399" s="152"/>
      <c r="U399" s="152"/>
      <c r="V399" s="152"/>
      <c r="W399" s="152"/>
      <c r="X399" s="152"/>
      <c r="Y399" s="152"/>
      <c r="Z399" s="152"/>
    </row>
    <row r="400" ht="12.8" customHeight="1" spans="1:26">
      <c r="A400" s="152"/>
      <c r="B400" s="152"/>
      <c r="C400" s="152"/>
      <c r="D400" s="152"/>
      <c r="E400" s="152"/>
      <c r="F400" s="152"/>
      <c r="G400" s="152"/>
      <c r="H400" s="152"/>
      <c r="I400" s="152"/>
      <c r="J400" s="152"/>
      <c r="K400" s="152"/>
      <c r="L400" s="152"/>
      <c r="M400" s="152"/>
      <c r="N400" s="152"/>
      <c r="O400" s="152"/>
      <c r="P400" s="152"/>
      <c r="Q400" s="152"/>
      <c r="R400" s="152"/>
      <c r="S400" s="152"/>
      <c r="T400" s="152"/>
      <c r="U400" s="152"/>
      <c r="V400" s="152"/>
      <c r="W400" s="152"/>
      <c r="X400" s="152"/>
      <c r="Y400" s="152"/>
      <c r="Z400" s="152"/>
    </row>
    <row r="401" ht="12.8" customHeight="1" spans="1:26">
      <c r="A401" s="152"/>
      <c r="B401" s="152"/>
      <c r="C401" s="152"/>
      <c r="D401" s="152"/>
      <c r="E401" s="152"/>
      <c r="F401" s="152"/>
      <c r="G401" s="152"/>
      <c r="H401" s="152"/>
      <c r="I401" s="152"/>
      <c r="J401" s="152"/>
      <c r="K401" s="152"/>
      <c r="L401" s="152"/>
      <c r="M401" s="152"/>
      <c r="N401" s="152"/>
      <c r="O401" s="152"/>
      <c r="P401" s="152"/>
      <c r="Q401" s="152"/>
      <c r="R401" s="152"/>
      <c r="S401" s="152"/>
      <c r="T401" s="152"/>
      <c r="U401" s="152"/>
      <c r="V401" s="152"/>
      <c r="W401" s="152"/>
      <c r="X401" s="152"/>
      <c r="Y401" s="152"/>
      <c r="Z401" s="152"/>
    </row>
    <row r="402" ht="12.8" customHeight="1" spans="1:26">
      <c r="A402" s="152"/>
      <c r="B402" s="152"/>
      <c r="C402" s="152"/>
      <c r="D402" s="152"/>
      <c r="E402" s="152"/>
      <c r="F402" s="152"/>
      <c r="G402" s="152"/>
      <c r="H402" s="152"/>
      <c r="I402" s="152"/>
      <c r="J402" s="152"/>
      <c r="K402" s="152"/>
      <c r="L402" s="152"/>
      <c r="M402" s="152"/>
      <c r="N402" s="152"/>
      <c r="O402" s="152"/>
      <c r="P402" s="152"/>
      <c r="Q402" s="152"/>
      <c r="R402" s="152"/>
      <c r="S402" s="152"/>
      <c r="T402" s="152"/>
      <c r="U402" s="152"/>
      <c r="V402" s="152"/>
      <c r="W402" s="152"/>
      <c r="X402" s="152"/>
      <c r="Y402" s="152"/>
      <c r="Z402" s="152"/>
    </row>
    <row r="403" ht="12.8" customHeight="1" spans="1:26">
      <c r="A403" s="152"/>
      <c r="B403" s="152"/>
      <c r="C403" s="152"/>
      <c r="D403" s="152"/>
      <c r="E403" s="152"/>
      <c r="F403" s="152"/>
      <c r="G403" s="152"/>
      <c r="H403" s="152"/>
      <c r="I403" s="152"/>
      <c r="J403" s="152"/>
      <c r="K403" s="152"/>
      <c r="L403" s="152"/>
      <c r="M403" s="152"/>
      <c r="N403" s="152"/>
      <c r="O403" s="152"/>
      <c r="P403" s="152"/>
      <c r="Q403" s="152"/>
      <c r="R403" s="152"/>
      <c r="S403" s="152"/>
      <c r="T403" s="152"/>
      <c r="U403" s="152"/>
      <c r="V403" s="152"/>
      <c r="W403" s="152"/>
      <c r="X403" s="152"/>
      <c r="Y403" s="152"/>
      <c r="Z403" s="152"/>
    </row>
    <row r="404" ht="12.8" customHeight="1" spans="1:26">
      <c r="A404" s="152"/>
      <c r="B404" s="152"/>
      <c r="C404" s="152"/>
      <c r="D404" s="152"/>
      <c r="E404" s="152"/>
      <c r="F404" s="152"/>
      <c r="G404" s="152"/>
      <c r="H404" s="152"/>
      <c r="I404" s="152"/>
      <c r="J404" s="152"/>
      <c r="K404" s="152"/>
      <c r="L404" s="152"/>
      <c r="M404" s="152"/>
      <c r="N404" s="152"/>
      <c r="O404" s="152"/>
      <c r="P404" s="152"/>
      <c r="Q404" s="152"/>
      <c r="R404" s="152"/>
      <c r="S404" s="152"/>
      <c r="T404" s="152"/>
      <c r="U404" s="152"/>
      <c r="V404" s="152"/>
      <c r="W404" s="152"/>
      <c r="X404" s="152"/>
      <c r="Y404" s="152"/>
      <c r="Z404" s="152"/>
    </row>
    <row r="405" ht="12.8" customHeight="1" spans="1:26">
      <c r="A405" s="152"/>
      <c r="B405" s="152"/>
      <c r="C405" s="152"/>
      <c r="D405" s="152"/>
      <c r="E405" s="152"/>
      <c r="F405" s="152"/>
      <c r="G405" s="152"/>
      <c r="H405" s="152"/>
      <c r="I405" s="152"/>
      <c r="J405" s="152"/>
      <c r="K405" s="152"/>
      <c r="L405" s="152"/>
      <c r="M405" s="152"/>
      <c r="N405" s="152"/>
      <c r="O405" s="152"/>
      <c r="P405" s="152"/>
      <c r="Q405" s="152"/>
      <c r="R405" s="152"/>
      <c r="S405" s="152"/>
      <c r="T405" s="152"/>
      <c r="U405" s="152"/>
      <c r="V405" s="152"/>
      <c r="W405" s="152"/>
      <c r="X405" s="152"/>
      <c r="Y405" s="152"/>
      <c r="Z405" s="152"/>
    </row>
    <row r="406" ht="12.8" customHeight="1" spans="1:26">
      <c r="A406" s="152"/>
      <c r="B406" s="152"/>
      <c r="C406" s="152"/>
      <c r="D406" s="152"/>
      <c r="E406" s="152"/>
      <c r="F406" s="152"/>
      <c r="G406" s="152"/>
      <c r="H406" s="152"/>
      <c r="I406" s="152"/>
      <c r="J406" s="152"/>
      <c r="K406" s="152"/>
      <c r="L406" s="152"/>
      <c r="M406" s="152"/>
      <c r="N406" s="152"/>
      <c r="O406" s="152"/>
      <c r="P406" s="152"/>
      <c r="Q406" s="152"/>
      <c r="R406" s="152"/>
      <c r="S406" s="152"/>
      <c r="T406" s="152"/>
      <c r="U406" s="152"/>
      <c r="V406" s="152"/>
      <c r="W406" s="152"/>
      <c r="X406" s="152"/>
      <c r="Y406" s="152"/>
      <c r="Z406" s="152"/>
    </row>
    <row r="407" ht="12.8" customHeight="1" spans="1:26">
      <c r="A407" s="152"/>
      <c r="B407" s="152"/>
      <c r="C407" s="152"/>
      <c r="D407" s="152"/>
      <c r="E407" s="152"/>
      <c r="F407" s="152"/>
      <c r="G407" s="152"/>
      <c r="H407" s="152"/>
      <c r="I407" s="152"/>
      <c r="J407" s="152"/>
      <c r="K407" s="152"/>
      <c r="L407" s="152"/>
      <c r="M407" s="152"/>
      <c r="N407" s="152"/>
      <c r="O407" s="152"/>
      <c r="P407" s="152"/>
      <c r="Q407" s="152"/>
      <c r="R407" s="152"/>
      <c r="S407" s="152"/>
      <c r="T407" s="152"/>
      <c r="U407" s="152"/>
      <c r="V407" s="152"/>
      <c r="W407" s="152"/>
      <c r="X407" s="152"/>
      <c r="Y407" s="152"/>
      <c r="Z407" s="152"/>
    </row>
    <row r="408" ht="12.8" customHeight="1" spans="1:26">
      <c r="A408" s="152"/>
      <c r="B408" s="152"/>
      <c r="C408" s="152"/>
      <c r="D408" s="152"/>
      <c r="E408" s="152"/>
      <c r="F408" s="152"/>
      <c r="G408" s="152"/>
      <c r="H408" s="152"/>
      <c r="I408" s="152"/>
      <c r="J408" s="152"/>
      <c r="K408" s="152"/>
      <c r="L408" s="152"/>
      <c r="M408" s="152"/>
      <c r="N408" s="152"/>
      <c r="O408" s="152"/>
      <c r="P408" s="152"/>
      <c r="Q408" s="152"/>
      <c r="R408" s="152"/>
      <c r="S408" s="152"/>
      <c r="T408" s="152"/>
      <c r="U408" s="152"/>
      <c r="V408" s="152"/>
      <c r="W408" s="152"/>
      <c r="X408" s="152"/>
      <c r="Y408" s="152"/>
      <c r="Z408" s="152"/>
    </row>
    <row r="409" ht="12.8" customHeight="1" spans="1:26">
      <c r="A409" s="152"/>
      <c r="B409" s="152"/>
      <c r="C409" s="152"/>
      <c r="D409" s="152"/>
      <c r="E409" s="152"/>
      <c r="F409" s="152"/>
      <c r="G409" s="152"/>
      <c r="H409" s="152"/>
      <c r="I409" s="152"/>
      <c r="J409" s="152"/>
      <c r="K409" s="152"/>
      <c r="L409" s="152"/>
      <c r="M409" s="152"/>
      <c r="N409" s="152"/>
      <c r="O409" s="152"/>
      <c r="P409" s="152"/>
      <c r="Q409" s="152"/>
      <c r="R409" s="152"/>
      <c r="S409" s="152"/>
      <c r="T409" s="152"/>
      <c r="U409" s="152"/>
      <c r="V409" s="152"/>
      <c r="W409" s="152"/>
      <c r="X409" s="152"/>
      <c r="Y409" s="152"/>
      <c r="Z409" s="152"/>
    </row>
    <row r="410" ht="12.8" customHeight="1" spans="1:26">
      <c r="A410" s="152"/>
      <c r="B410" s="152"/>
      <c r="C410" s="152"/>
      <c r="D410" s="152"/>
      <c r="E410" s="152"/>
      <c r="F410" s="152"/>
      <c r="G410" s="152"/>
      <c r="H410" s="152"/>
      <c r="I410" s="152"/>
      <c r="J410" s="152"/>
      <c r="K410" s="152"/>
      <c r="L410" s="152"/>
      <c r="M410" s="152"/>
      <c r="N410" s="152"/>
      <c r="O410" s="152"/>
      <c r="P410" s="152"/>
      <c r="Q410" s="152"/>
      <c r="R410" s="152"/>
      <c r="S410" s="152"/>
      <c r="T410" s="152"/>
      <c r="U410" s="152"/>
      <c r="V410" s="152"/>
      <c r="W410" s="152"/>
      <c r="X410" s="152"/>
      <c r="Y410" s="152"/>
      <c r="Z410" s="152"/>
    </row>
    <row r="411" ht="12.8" customHeight="1" spans="1:26">
      <c r="A411" s="152"/>
      <c r="B411" s="152"/>
      <c r="C411" s="152"/>
      <c r="D411" s="152"/>
      <c r="E411" s="152"/>
      <c r="F411" s="152"/>
      <c r="G411" s="152"/>
      <c r="H411" s="152"/>
      <c r="I411" s="152"/>
      <c r="J411" s="152"/>
      <c r="K411" s="152"/>
      <c r="L411" s="152"/>
      <c r="M411" s="152"/>
      <c r="N411" s="152"/>
      <c r="O411" s="152"/>
      <c r="P411" s="152"/>
      <c r="Q411" s="152"/>
      <c r="R411" s="152"/>
      <c r="S411" s="152"/>
      <c r="T411" s="152"/>
      <c r="U411" s="152"/>
      <c r="V411" s="152"/>
      <c r="W411" s="152"/>
      <c r="X411" s="152"/>
      <c r="Y411" s="152"/>
      <c r="Z411" s="152"/>
    </row>
    <row r="412" ht="12.8" customHeight="1" spans="1:26">
      <c r="A412" s="152"/>
      <c r="B412" s="152"/>
      <c r="C412" s="152"/>
      <c r="D412" s="152"/>
      <c r="E412" s="152"/>
      <c r="F412" s="152"/>
      <c r="G412" s="152"/>
      <c r="H412" s="152"/>
      <c r="I412" s="152"/>
      <c r="J412" s="152"/>
      <c r="K412" s="152"/>
      <c r="L412" s="152"/>
      <c r="M412" s="152"/>
      <c r="N412" s="152"/>
      <c r="O412" s="152"/>
      <c r="P412" s="152"/>
      <c r="Q412" s="152"/>
      <c r="R412" s="152"/>
      <c r="S412" s="152"/>
      <c r="T412" s="152"/>
      <c r="U412" s="152"/>
      <c r="V412" s="152"/>
      <c r="W412" s="152"/>
      <c r="X412" s="152"/>
      <c r="Y412" s="152"/>
      <c r="Z412" s="152"/>
    </row>
    <row r="413" ht="12.8" customHeight="1" spans="1:26">
      <c r="A413" s="152"/>
      <c r="B413" s="152"/>
      <c r="C413" s="152"/>
      <c r="D413" s="152"/>
      <c r="E413" s="152"/>
      <c r="F413" s="152"/>
      <c r="G413" s="152"/>
      <c r="H413" s="152"/>
      <c r="I413" s="152"/>
      <c r="J413" s="152"/>
      <c r="K413" s="152"/>
      <c r="L413" s="152"/>
      <c r="M413" s="152"/>
      <c r="N413" s="152"/>
      <c r="O413" s="152"/>
      <c r="P413" s="152"/>
      <c r="Q413" s="152"/>
      <c r="R413" s="152"/>
      <c r="S413" s="152"/>
      <c r="T413" s="152"/>
      <c r="U413" s="152"/>
      <c r="V413" s="152"/>
      <c r="W413" s="152"/>
      <c r="X413" s="152"/>
      <c r="Y413" s="152"/>
      <c r="Z413" s="152"/>
    </row>
    <row r="414" ht="12.8" customHeight="1" spans="1:26">
      <c r="A414" s="152"/>
      <c r="B414" s="152"/>
      <c r="C414" s="152"/>
      <c r="D414" s="152"/>
      <c r="E414" s="152"/>
      <c r="F414" s="152"/>
      <c r="G414" s="152"/>
      <c r="H414" s="152"/>
      <c r="I414" s="152"/>
      <c r="J414" s="152"/>
      <c r="K414" s="152"/>
      <c r="L414" s="152"/>
      <c r="M414" s="152"/>
      <c r="N414" s="152"/>
      <c r="O414" s="152"/>
      <c r="P414" s="152"/>
      <c r="Q414" s="152"/>
      <c r="R414" s="152"/>
      <c r="S414" s="152"/>
      <c r="T414" s="152"/>
      <c r="U414" s="152"/>
      <c r="V414" s="152"/>
      <c r="W414" s="152"/>
      <c r="X414" s="152"/>
      <c r="Y414" s="152"/>
      <c r="Z414" s="152"/>
    </row>
    <row r="415" ht="12.8" customHeight="1" spans="1:26">
      <c r="A415" s="152"/>
      <c r="B415" s="152"/>
      <c r="C415" s="152"/>
      <c r="D415" s="152"/>
      <c r="E415" s="152"/>
      <c r="F415" s="152"/>
      <c r="G415" s="152"/>
      <c r="H415" s="152"/>
      <c r="I415" s="152"/>
      <c r="J415" s="152"/>
      <c r="K415" s="152"/>
      <c r="L415" s="152"/>
      <c r="M415" s="152"/>
      <c r="N415" s="152"/>
      <c r="O415" s="152"/>
      <c r="P415" s="152"/>
      <c r="Q415" s="152"/>
      <c r="R415" s="152"/>
      <c r="S415" s="152"/>
      <c r="T415" s="152"/>
      <c r="U415" s="152"/>
      <c r="V415" s="152"/>
      <c r="W415" s="152"/>
      <c r="X415" s="152"/>
      <c r="Y415" s="152"/>
      <c r="Z415" s="152"/>
    </row>
    <row r="416" ht="12.8" customHeight="1" spans="1:26">
      <c r="A416" s="152"/>
      <c r="B416" s="152"/>
      <c r="C416" s="152"/>
      <c r="D416" s="152"/>
      <c r="E416" s="152"/>
      <c r="F416" s="152"/>
      <c r="G416" s="152"/>
      <c r="H416" s="152"/>
      <c r="I416" s="152"/>
      <c r="J416" s="152"/>
      <c r="K416" s="152"/>
      <c r="L416" s="152"/>
      <c r="M416" s="152"/>
      <c r="N416" s="152"/>
      <c r="O416" s="152"/>
      <c r="P416" s="152"/>
      <c r="Q416" s="152"/>
      <c r="R416" s="152"/>
      <c r="S416" s="152"/>
      <c r="T416" s="152"/>
      <c r="U416" s="152"/>
      <c r="V416" s="152"/>
      <c r="W416" s="152"/>
      <c r="X416" s="152"/>
      <c r="Y416" s="152"/>
      <c r="Z416" s="152"/>
    </row>
    <row r="417" ht="12.8" customHeight="1" spans="1:26">
      <c r="A417" s="152"/>
      <c r="B417" s="152"/>
      <c r="C417" s="152"/>
      <c r="D417" s="152"/>
      <c r="E417" s="152"/>
      <c r="F417" s="152"/>
      <c r="G417" s="152"/>
      <c r="H417" s="152"/>
      <c r="I417" s="152"/>
      <c r="J417" s="152"/>
      <c r="K417" s="152"/>
      <c r="L417" s="152"/>
      <c r="M417" s="152"/>
      <c r="N417" s="152"/>
      <c r="O417" s="152"/>
      <c r="P417" s="152"/>
      <c r="Q417" s="152"/>
      <c r="R417" s="152"/>
      <c r="S417" s="152"/>
      <c r="T417" s="152"/>
      <c r="U417" s="152"/>
      <c r="V417" s="152"/>
      <c r="W417" s="152"/>
      <c r="X417" s="152"/>
      <c r="Y417" s="152"/>
      <c r="Z417" s="152"/>
    </row>
    <row r="418" ht="12.8" customHeight="1" spans="1:26">
      <c r="A418" s="152"/>
      <c r="B418" s="152"/>
      <c r="C418" s="152"/>
      <c r="D418" s="152"/>
      <c r="E418" s="152"/>
      <c r="F418" s="152"/>
      <c r="G418" s="152"/>
      <c r="H418" s="152"/>
      <c r="I418" s="152"/>
      <c r="J418" s="152"/>
      <c r="K418" s="152"/>
      <c r="L418" s="152"/>
      <c r="M418" s="152"/>
      <c r="N418" s="152"/>
      <c r="O418" s="152"/>
      <c r="P418" s="152"/>
      <c r="Q418" s="152"/>
      <c r="R418" s="152"/>
      <c r="S418" s="152"/>
      <c r="T418" s="152"/>
      <c r="U418" s="152"/>
      <c r="V418" s="152"/>
      <c r="W418" s="152"/>
      <c r="X418" s="152"/>
      <c r="Y418" s="152"/>
      <c r="Z418" s="152"/>
    </row>
    <row r="419" ht="12.8" customHeight="1" spans="1:26">
      <c r="A419" s="152"/>
      <c r="B419" s="152"/>
      <c r="C419" s="152"/>
      <c r="D419" s="152"/>
      <c r="E419" s="152"/>
      <c r="F419" s="152"/>
      <c r="G419" s="152"/>
      <c r="H419" s="152"/>
      <c r="I419" s="152"/>
      <c r="J419" s="152"/>
      <c r="K419" s="152"/>
      <c r="L419" s="152"/>
      <c r="M419" s="152"/>
      <c r="N419" s="152"/>
      <c r="O419" s="152"/>
      <c r="P419" s="152"/>
      <c r="Q419" s="152"/>
      <c r="R419" s="152"/>
      <c r="S419" s="152"/>
      <c r="T419" s="152"/>
      <c r="U419" s="152"/>
      <c r="V419" s="152"/>
      <c r="W419" s="152"/>
      <c r="X419" s="152"/>
      <c r="Y419" s="152"/>
      <c r="Z419" s="152"/>
    </row>
    <row r="420" ht="12.8" customHeight="1" spans="1:26">
      <c r="A420" s="152"/>
      <c r="B420" s="152"/>
      <c r="C420" s="152"/>
      <c r="D420" s="152"/>
      <c r="E420" s="152"/>
      <c r="F420" s="152"/>
      <c r="G420" s="152"/>
      <c r="H420" s="152"/>
      <c r="I420" s="152"/>
      <c r="J420" s="152"/>
      <c r="K420" s="152"/>
      <c r="L420" s="152"/>
      <c r="M420" s="152"/>
      <c r="N420" s="152"/>
      <c r="O420" s="152"/>
      <c r="P420" s="152"/>
      <c r="Q420" s="152"/>
      <c r="R420" s="152"/>
      <c r="S420" s="152"/>
      <c r="T420" s="152"/>
      <c r="U420" s="152"/>
      <c r="V420" s="152"/>
      <c r="W420" s="152"/>
      <c r="X420" s="152"/>
      <c r="Y420" s="152"/>
      <c r="Z420" s="152"/>
    </row>
    <row r="421" ht="12.8" customHeight="1" spans="1:26">
      <c r="A421" s="152"/>
      <c r="B421" s="152"/>
      <c r="C421" s="152"/>
      <c r="D421" s="152"/>
      <c r="E421" s="152"/>
      <c r="F421" s="152"/>
      <c r="G421" s="152"/>
      <c r="H421" s="152"/>
      <c r="I421" s="152"/>
      <c r="J421" s="152"/>
      <c r="K421" s="152"/>
      <c r="L421" s="152"/>
      <c r="M421" s="152"/>
      <c r="N421" s="152"/>
      <c r="O421" s="152"/>
      <c r="P421" s="152"/>
      <c r="Q421" s="152"/>
      <c r="R421" s="152"/>
      <c r="S421" s="152"/>
      <c r="T421" s="152"/>
      <c r="U421" s="152"/>
      <c r="V421" s="152"/>
      <c r="W421" s="152"/>
      <c r="X421" s="152"/>
      <c r="Y421" s="152"/>
      <c r="Z421" s="152"/>
    </row>
    <row r="422" ht="12.8" customHeight="1" spans="1:26">
      <c r="A422" s="152"/>
      <c r="B422" s="152"/>
      <c r="C422" s="152"/>
      <c r="D422" s="152"/>
      <c r="E422" s="152"/>
      <c r="F422" s="152"/>
      <c r="G422" s="152"/>
      <c r="H422" s="152"/>
      <c r="I422" s="152"/>
      <c r="J422" s="152"/>
      <c r="K422" s="152"/>
      <c r="L422" s="152"/>
      <c r="M422" s="152"/>
      <c r="N422" s="152"/>
      <c r="O422" s="152"/>
      <c r="P422" s="152"/>
      <c r="Q422" s="152"/>
      <c r="R422" s="152"/>
      <c r="S422" s="152"/>
      <c r="T422" s="152"/>
      <c r="U422" s="152"/>
      <c r="V422" s="152"/>
      <c r="W422" s="152"/>
      <c r="X422" s="152"/>
      <c r="Y422" s="152"/>
      <c r="Z422" s="152"/>
    </row>
    <row r="423" ht="12.8" customHeight="1" spans="1:26">
      <c r="A423" s="152"/>
      <c r="B423" s="152"/>
      <c r="C423" s="152"/>
      <c r="D423" s="152"/>
      <c r="E423" s="152"/>
      <c r="F423" s="152"/>
      <c r="G423" s="152"/>
      <c r="H423" s="152"/>
      <c r="I423" s="152"/>
      <c r="J423" s="152"/>
      <c r="K423" s="152"/>
      <c r="L423" s="152"/>
      <c r="M423" s="152"/>
      <c r="N423" s="152"/>
      <c r="O423" s="152"/>
      <c r="P423" s="152"/>
      <c r="Q423" s="152"/>
      <c r="R423" s="152"/>
      <c r="S423" s="152"/>
      <c r="T423" s="152"/>
      <c r="U423" s="152"/>
      <c r="V423" s="152"/>
      <c r="W423" s="152"/>
      <c r="X423" s="152"/>
      <c r="Y423" s="152"/>
      <c r="Z423" s="152"/>
    </row>
    <row r="424" ht="12.8" customHeight="1" spans="1:26">
      <c r="A424" s="152"/>
      <c r="B424" s="152"/>
      <c r="C424" s="152"/>
      <c r="D424" s="152"/>
      <c r="E424" s="152"/>
      <c r="F424" s="152"/>
      <c r="G424" s="152"/>
      <c r="H424" s="152"/>
      <c r="I424" s="152"/>
      <c r="J424" s="152"/>
      <c r="K424" s="152"/>
      <c r="L424" s="152"/>
      <c r="M424" s="152"/>
      <c r="N424" s="152"/>
      <c r="O424" s="152"/>
      <c r="P424" s="152"/>
      <c r="Q424" s="152"/>
      <c r="R424" s="152"/>
      <c r="S424" s="152"/>
      <c r="T424" s="152"/>
      <c r="U424" s="152"/>
      <c r="V424" s="152"/>
      <c r="W424" s="152"/>
      <c r="X424" s="152"/>
      <c r="Y424" s="152"/>
      <c r="Z424" s="152"/>
    </row>
    <row r="425" ht="12.8" customHeight="1" spans="1:26">
      <c r="A425" s="152"/>
      <c r="B425" s="152"/>
      <c r="C425" s="152"/>
      <c r="D425" s="152"/>
      <c r="E425" s="152"/>
      <c r="F425" s="152"/>
      <c r="G425" s="152"/>
      <c r="H425" s="152"/>
      <c r="I425" s="152"/>
      <c r="J425" s="152"/>
      <c r="K425" s="152"/>
      <c r="L425" s="152"/>
      <c r="M425" s="152"/>
      <c r="N425" s="152"/>
      <c r="O425" s="152"/>
      <c r="P425" s="152"/>
      <c r="Q425" s="152"/>
      <c r="R425" s="152"/>
      <c r="S425" s="152"/>
      <c r="T425" s="152"/>
      <c r="U425" s="152"/>
      <c r="V425" s="152"/>
      <c r="W425" s="152"/>
      <c r="X425" s="152"/>
      <c r="Y425" s="152"/>
      <c r="Z425" s="152"/>
    </row>
    <row r="426" ht="12.8" customHeight="1" spans="1:26">
      <c r="A426" s="152"/>
      <c r="B426" s="152"/>
      <c r="C426" s="152"/>
      <c r="D426" s="152"/>
      <c r="E426" s="152"/>
      <c r="F426" s="152"/>
      <c r="G426" s="152"/>
      <c r="H426" s="152"/>
      <c r="I426" s="152"/>
      <c r="J426" s="152"/>
      <c r="K426" s="152"/>
      <c r="L426" s="152"/>
      <c r="M426" s="152"/>
      <c r="N426" s="152"/>
      <c r="O426" s="152"/>
      <c r="P426" s="152"/>
      <c r="Q426" s="152"/>
      <c r="R426" s="152"/>
      <c r="S426" s="152"/>
      <c r="T426" s="152"/>
      <c r="U426" s="152"/>
      <c r="V426" s="152"/>
      <c r="W426" s="152"/>
      <c r="X426" s="152"/>
      <c r="Y426" s="152"/>
      <c r="Z426" s="152"/>
    </row>
    <row r="427" ht="12.8" customHeight="1" spans="1:26">
      <c r="A427" s="152"/>
      <c r="B427" s="152"/>
      <c r="C427" s="152"/>
      <c r="D427" s="152"/>
      <c r="E427" s="152"/>
      <c r="F427" s="152"/>
      <c r="G427" s="152"/>
      <c r="H427" s="152"/>
      <c r="I427" s="152"/>
      <c r="J427" s="152"/>
      <c r="K427" s="152"/>
      <c r="L427" s="152"/>
      <c r="M427" s="152"/>
      <c r="N427" s="152"/>
      <c r="O427" s="152"/>
      <c r="P427" s="152"/>
      <c r="Q427" s="152"/>
      <c r="R427" s="152"/>
      <c r="S427" s="152"/>
      <c r="T427" s="152"/>
      <c r="U427" s="152"/>
      <c r="V427" s="152"/>
      <c r="W427" s="152"/>
      <c r="X427" s="152"/>
      <c r="Y427" s="152"/>
      <c r="Z427" s="152"/>
    </row>
    <row r="428" ht="12.8" customHeight="1" spans="1:26">
      <c r="A428" s="152"/>
      <c r="B428" s="152"/>
      <c r="C428" s="152"/>
      <c r="D428" s="152"/>
      <c r="E428" s="152"/>
      <c r="F428" s="152"/>
      <c r="G428" s="152"/>
      <c r="H428" s="152"/>
      <c r="I428" s="152"/>
      <c r="J428" s="152"/>
      <c r="K428" s="152"/>
      <c r="L428" s="152"/>
      <c r="M428" s="152"/>
      <c r="N428" s="152"/>
      <c r="O428" s="152"/>
      <c r="P428" s="152"/>
      <c r="Q428" s="152"/>
      <c r="R428" s="152"/>
      <c r="S428" s="152"/>
      <c r="T428" s="152"/>
      <c r="U428" s="152"/>
      <c r="V428" s="152"/>
      <c r="W428" s="152"/>
      <c r="X428" s="152"/>
      <c r="Y428" s="152"/>
      <c r="Z428" s="152"/>
    </row>
    <row r="429" ht="12.8" customHeight="1" spans="1:26">
      <c r="A429" s="152"/>
      <c r="B429" s="152"/>
      <c r="C429" s="152"/>
      <c r="D429" s="152"/>
      <c r="E429" s="152"/>
      <c r="F429" s="152"/>
      <c r="G429" s="152"/>
      <c r="H429" s="152"/>
      <c r="I429" s="152"/>
      <c r="J429" s="152"/>
      <c r="K429" s="152"/>
      <c r="L429" s="152"/>
      <c r="M429" s="152"/>
      <c r="N429" s="152"/>
      <c r="O429" s="152"/>
      <c r="P429" s="152"/>
      <c r="Q429" s="152"/>
      <c r="R429" s="152"/>
      <c r="S429" s="152"/>
      <c r="T429" s="152"/>
      <c r="U429" s="152"/>
      <c r="V429" s="152"/>
      <c r="W429" s="152"/>
      <c r="X429" s="152"/>
      <c r="Y429" s="152"/>
      <c r="Z429" s="152"/>
    </row>
    <row r="430" ht="12.8" customHeight="1" spans="1:26">
      <c r="A430" s="152"/>
      <c r="B430" s="152"/>
      <c r="C430" s="152"/>
      <c r="D430" s="152"/>
      <c r="E430" s="152"/>
      <c r="F430" s="152"/>
      <c r="G430" s="152"/>
      <c r="H430" s="152"/>
      <c r="I430" s="152"/>
      <c r="J430" s="152"/>
      <c r="K430" s="152"/>
      <c r="L430" s="152"/>
      <c r="M430" s="152"/>
      <c r="N430" s="152"/>
      <c r="O430" s="152"/>
      <c r="P430" s="152"/>
      <c r="Q430" s="152"/>
      <c r="R430" s="152"/>
      <c r="S430" s="152"/>
      <c r="T430" s="152"/>
      <c r="U430" s="152"/>
      <c r="V430" s="152"/>
      <c r="W430" s="152"/>
      <c r="X430" s="152"/>
      <c r="Y430" s="152"/>
      <c r="Z430" s="152"/>
    </row>
    <row r="431" ht="12.8" customHeight="1" spans="1:26">
      <c r="A431" s="152"/>
      <c r="B431" s="152"/>
      <c r="C431" s="152"/>
      <c r="D431" s="152"/>
      <c r="E431" s="152"/>
      <c r="F431" s="152"/>
      <c r="G431" s="152"/>
      <c r="H431" s="152"/>
      <c r="I431" s="152"/>
      <c r="J431" s="152"/>
      <c r="K431" s="152"/>
      <c r="L431" s="152"/>
      <c r="M431" s="152"/>
      <c r="N431" s="152"/>
      <c r="O431" s="152"/>
      <c r="P431" s="152"/>
      <c r="Q431" s="152"/>
      <c r="R431" s="152"/>
      <c r="S431" s="152"/>
      <c r="T431" s="152"/>
      <c r="U431" s="152"/>
      <c r="V431" s="152"/>
      <c r="W431" s="152"/>
      <c r="X431" s="152"/>
      <c r="Y431" s="152"/>
      <c r="Z431" s="152"/>
    </row>
    <row r="432" ht="12.8" customHeight="1" spans="1:26">
      <c r="A432" s="152"/>
      <c r="B432" s="152"/>
      <c r="C432" s="152"/>
      <c r="D432" s="152"/>
      <c r="E432" s="152"/>
      <c r="F432" s="152"/>
      <c r="G432" s="152"/>
      <c r="H432" s="152"/>
      <c r="I432" s="152"/>
      <c r="J432" s="152"/>
      <c r="K432" s="152"/>
      <c r="L432" s="152"/>
      <c r="M432" s="152"/>
      <c r="N432" s="152"/>
      <c r="O432" s="152"/>
      <c r="P432" s="152"/>
      <c r="Q432" s="152"/>
      <c r="R432" s="152"/>
      <c r="S432" s="152"/>
      <c r="T432" s="152"/>
      <c r="U432" s="152"/>
      <c r="V432" s="152"/>
      <c r="W432" s="152"/>
      <c r="X432" s="152"/>
      <c r="Y432" s="152"/>
      <c r="Z432" s="152"/>
    </row>
    <row r="433" ht="12.8" customHeight="1" spans="1:26">
      <c r="A433" s="152"/>
      <c r="B433" s="152"/>
      <c r="C433" s="152"/>
      <c r="D433" s="152"/>
      <c r="E433" s="152"/>
      <c r="F433" s="152"/>
      <c r="G433" s="152"/>
      <c r="H433" s="152"/>
      <c r="I433" s="152"/>
      <c r="J433" s="152"/>
      <c r="K433" s="152"/>
      <c r="L433" s="152"/>
      <c r="M433" s="152"/>
      <c r="N433" s="152"/>
      <c r="O433" s="152"/>
      <c r="P433" s="152"/>
      <c r="Q433" s="152"/>
      <c r="R433" s="152"/>
      <c r="S433" s="152"/>
      <c r="T433" s="152"/>
      <c r="U433" s="152"/>
      <c r="V433" s="152"/>
      <c r="W433" s="152"/>
      <c r="X433" s="152"/>
      <c r="Y433" s="152"/>
      <c r="Z433" s="152"/>
    </row>
    <row r="434" ht="12.8" customHeight="1" spans="1:26">
      <c r="A434" s="152"/>
      <c r="B434" s="152"/>
      <c r="C434" s="152"/>
      <c r="D434" s="152"/>
      <c r="E434" s="152"/>
      <c r="F434" s="152"/>
      <c r="G434" s="152"/>
      <c r="H434" s="152"/>
      <c r="I434" s="152"/>
      <c r="J434" s="152"/>
      <c r="K434" s="152"/>
      <c r="L434" s="152"/>
      <c r="M434" s="152"/>
      <c r="N434" s="152"/>
      <c r="O434" s="152"/>
      <c r="P434" s="152"/>
      <c r="Q434" s="152"/>
      <c r="R434" s="152"/>
      <c r="S434" s="152"/>
      <c r="T434" s="152"/>
      <c r="U434" s="152"/>
      <c r="V434" s="152"/>
      <c r="W434" s="152"/>
      <c r="X434" s="152"/>
      <c r="Y434" s="152"/>
      <c r="Z434" s="152"/>
    </row>
    <row r="435" ht="12.8" customHeight="1" spans="1:26">
      <c r="A435" s="152"/>
      <c r="B435" s="152"/>
      <c r="C435" s="152"/>
      <c r="D435" s="152"/>
      <c r="E435" s="152"/>
      <c r="F435" s="152"/>
      <c r="G435" s="152"/>
      <c r="H435" s="152"/>
      <c r="I435" s="152"/>
      <c r="J435" s="152"/>
      <c r="K435" s="152"/>
      <c r="L435" s="152"/>
      <c r="M435" s="152"/>
      <c r="N435" s="152"/>
      <c r="O435" s="152"/>
      <c r="P435" s="152"/>
      <c r="Q435" s="152"/>
      <c r="R435" s="152"/>
      <c r="S435" s="152"/>
      <c r="T435" s="152"/>
      <c r="U435" s="152"/>
      <c r="V435" s="152"/>
      <c r="W435" s="152"/>
      <c r="X435" s="152"/>
      <c r="Y435" s="152"/>
      <c r="Z435" s="152"/>
    </row>
    <row r="436" ht="12.8" customHeight="1" spans="1:26">
      <c r="A436" s="152"/>
      <c r="B436" s="152"/>
      <c r="C436" s="152"/>
      <c r="D436" s="152"/>
      <c r="E436" s="152"/>
      <c r="F436" s="152"/>
      <c r="G436" s="152"/>
      <c r="H436" s="152"/>
      <c r="I436" s="152"/>
      <c r="J436" s="152"/>
      <c r="K436" s="152"/>
      <c r="L436" s="152"/>
      <c r="M436" s="152"/>
      <c r="N436" s="152"/>
      <c r="O436" s="152"/>
      <c r="P436" s="152"/>
      <c r="Q436" s="152"/>
      <c r="R436" s="152"/>
      <c r="S436" s="152"/>
      <c r="T436" s="152"/>
      <c r="U436" s="152"/>
      <c r="V436" s="152"/>
      <c r="W436" s="152"/>
      <c r="X436" s="152"/>
      <c r="Y436" s="152"/>
      <c r="Z436" s="152"/>
    </row>
    <row r="437" ht="12.8" customHeight="1" spans="1:26">
      <c r="A437" s="152"/>
      <c r="B437" s="152"/>
      <c r="C437" s="152"/>
      <c r="D437" s="152"/>
      <c r="E437" s="152"/>
      <c r="F437" s="152"/>
      <c r="G437" s="152"/>
      <c r="H437" s="152"/>
      <c r="I437" s="152"/>
      <c r="J437" s="152"/>
      <c r="K437" s="152"/>
      <c r="L437" s="152"/>
      <c r="M437" s="152"/>
      <c r="N437" s="152"/>
      <c r="O437" s="152"/>
      <c r="P437" s="152"/>
      <c r="Q437" s="152"/>
      <c r="R437" s="152"/>
      <c r="S437" s="152"/>
      <c r="T437" s="152"/>
      <c r="U437" s="152"/>
      <c r="V437" s="152"/>
      <c r="W437" s="152"/>
      <c r="X437" s="152"/>
      <c r="Y437" s="152"/>
      <c r="Z437" s="152"/>
    </row>
    <row r="438" ht="12.8" customHeight="1" spans="1:26">
      <c r="A438" s="152"/>
      <c r="B438" s="152"/>
      <c r="C438" s="152"/>
      <c r="D438" s="152"/>
      <c r="E438" s="152"/>
      <c r="F438" s="152"/>
      <c r="G438" s="152"/>
      <c r="H438" s="152"/>
      <c r="I438" s="152"/>
      <c r="J438" s="152"/>
      <c r="K438" s="152"/>
      <c r="L438" s="152"/>
      <c r="M438" s="152"/>
      <c r="N438" s="152"/>
      <c r="O438" s="152"/>
      <c r="P438" s="152"/>
      <c r="Q438" s="152"/>
      <c r="R438" s="152"/>
      <c r="S438" s="152"/>
      <c r="T438" s="152"/>
      <c r="U438" s="152"/>
      <c r="V438" s="152"/>
      <c r="W438" s="152"/>
      <c r="X438" s="152"/>
      <c r="Y438" s="152"/>
      <c r="Z438" s="152"/>
    </row>
    <row r="439" ht="12.8" customHeight="1" spans="1:26">
      <c r="A439" s="152"/>
      <c r="B439" s="152"/>
      <c r="C439" s="152"/>
      <c r="D439" s="152"/>
      <c r="E439" s="152"/>
      <c r="F439" s="152"/>
      <c r="G439" s="152"/>
      <c r="H439" s="152"/>
      <c r="I439" s="152"/>
      <c r="J439" s="152"/>
      <c r="K439" s="152"/>
      <c r="L439" s="152"/>
      <c r="M439" s="152"/>
      <c r="N439" s="152"/>
      <c r="O439" s="152"/>
      <c r="P439" s="152"/>
      <c r="Q439" s="152"/>
      <c r="R439" s="152"/>
      <c r="S439" s="152"/>
      <c r="T439" s="152"/>
      <c r="U439" s="152"/>
      <c r="V439" s="152"/>
      <c r="W439" s="152"/>
      <c r="X439" s="152"/>
      <c r="Y439" s="152"/>
      <c r="Z439" s="152"/>
    </row>
    <row r="440" ht="12.8" customHeight="1" spans="1:26">
      <c r="A440" s="152"/>
      <c r="B440" s="152"/>
      <c r="C440" s="152"/>
      <c r="D440" s="152"/>
      <c r="E440" s="152"/>
      <c r="F440" s="152"/>
      <c r="G440" s="152"/>
      <c r="H440" s="152"/>
      <c r="I440" s="152"/>
      <c r="J440" s="152"/>
      <c r="K440" s="152"/>
      <c r="L440" s="152"/>
      <c r="M440" s="152"/>
      <c r="N440" s="152"/>
      <c r="O440" s="152"/>
      <c r="P440" s="152"/>
      <c r="Q440" s="152"/>
      <c r="R440" s="152"/>
      <c r="S440" s="152"/>
      <c r="T440" s="152"/>
      <c r="U440" s="152"/>
      <c r="V440" s="152"/>
      <c r="W440" s="152"/>
      <c r="X440" s="152"/>
      <c r="Y440" s="152"/>
      <c r="Z440" s="152"/>
    </row>
    <row r="441" ht="12.8" customHeight="1" spans="1:26">
      <c r="A441" s="152"/>
      <c r="B441" s="152"/>
      <c r="C441" s="152"/>
      <c r="D441" s="152"/>
      <c r="E441" s="152"/>
      <c r="F441" s="152"/>
      <c r="G441" s="152"/>
      <c r="H441" s="152"/>
      <c r="I441" s="152"/>
      <c r="J441" s="152"/>
      <c r="K441" s="152"/>
      <c r="L441" s="152"/>
      <c r="M441" s="152"/>
      <c r="N441" s="152"/>
      <c r="O441" s="152"/>
      <c r="P441" s="152"/>
      <c r="Q441" s="152"/>
      <c r="R441" s="152"/>
      <c r="S441" s="152"/>
      <c r="T441" s="152"/>
      <c r="U441" s="152"/>
      <c r="V441" s="152"/>
      <c r="W441" s="152"/>
      <c r="X441" s="152"/>
      <c r="Y441" s="152"/>
      <c r="Z441" s="152"/>
    </row>
    <row r="442" ht="12.8" customHeight="1" spans="1:26">
      <c r="A442" s="152"/>
      <c r="B442" s="152"/>
      <c r="C442" s="152"/>
      <c r="D442" s="152"/>
      <c r="E442" s="152"/>
      <c r="F442" s="152"/>
      <c r="G442" s="152"/>
      <c r="H442" s="152"/>
      <c r="I442" s="152"/>
      <c r="J442" s="152"/>
      <c r="K442" s="152"/>
      <c r="L442" s="152"/>
      <c r="M442" s="152"/>
      <c r="N442" s="152"/>
      <c r="O442" s="152"/>
      <c r="P442" s="152"/>
      <c r="Q442" s="152"/>
      <c r="R442" s="152"/>
      <c r="S442" s="152"/>
      <c r="T442" s="152"/>
      <c r="U442" s="152"/>
      <c r="V442" s="152"/>
      <c r="W442" s="152"/>
      <c r="X442" s="152"/>
      <c r="Y442" s="152"/>
      <c r="Z442" s="152"/>
    </row>
    <row r="443" ht="12.8" customHeight="1" spans="1:26">
      <c r="A443" s="152"/>
      <c r="B443" s="152"/>
      <c r="C443" s="152"/>
      <c r="D443" s="152"/>
      <c r="E443" s="152"/>
      <c r="F443" s="152"/>
      <c r="G443" s="152"/>
      <c r="H443" s="152"/>
      <c r="I443" s="152"/>
      <c r="J443" s="152"/>
      <c r="K443" s="152"/>
      <c r="L443" s="152"/>
      <c r="M443" s="152"/>
      <c r="N443" s="152"/>
      <c r="O443" s="152"/>
      <c r="P443" s="152"/>
      <c r="Q443" s="152"/>
      <c r="R443" s="152"/>
      <c r="S443" s="152"/>
      <c r="T443" s="152"/>
      <c r="U443" s="152"/>
      <c r="V443" s="152"/>
      <c r="W443" s="152"/>
      <c r="X443" s="152"/>
      <c r="Y443" s="152"/>
      <c r="Z443" s="152"/>
    </row>
    <row r="444" ht="12.8" customHeight="1" spans="1:26">
      <c r="A444" s="152"/>
      <c r="B444" s="152"/>
      <c r="C444" s="152"/>
      <c r="D444" s="152"/>
      <c r="E444" s="152"/>
      <c r="F444" s="152"/>
      <c r="G444" s="152"/>
      <c r="H444" s="152"/>
      <c r="I444" s="152"/>
      <c r="J444" s="152"/>
      <c r="K444" s="152"/>
      <c r="L444" s="152"/>
      <c r="M444" s="152"/>
      <c r="N444" s="152"/>
      <c r="O444" s="152"/>
      <c r="P444" s="152"/>
      <c r="Q444" s="152"/>
      <c r="R444" s="152"/>
      <c r="S444" s="152"/>
      <c r="T444" s="152"/>
      <c r="U444" s="152"/>
      <c r="V444" s="152"/>
      <c r="W444" s="152"/>
      <c r="X444" s="152"/>
      <c r="Y444" s="152"/>
      <c r="Z444" s="152"/>
    </row>
    <row r="445" ht="12.8" customHeight="1" spans="1:26">
      <c r="A445" s="152"/>
      <c r="B445" s="152"/>
      <c r="C445" s="152"/>
      <c r="D445" s="152"/>
      <c r="E445" s="152"/>
      <c r="F445" s="152"/>
      <c r="G445" s="152"/>
      <c r="H445" s="152"/>
      <c r="I445" s="152"/>
      <c r="J445" s="152"/>
      <c r="K445" s="152"/>
      <c r="L445" s="152"/>
      <c r="M445" s="152"/>
      <c r="N445" s="152"/>
      <c r="O445" s="152"/>
      <c r="P445" s="152"/>
      <c r="Q445" s="152"/>
      <c r="R445" s="152"/>
      <c r="S445" s="152"/>
      <c r="T445" s="152"/>
      <c r="U445" s="152"/>
      <c r="V445" s="152"/>
      <c r="W445" s="152"/>
      <c r="X445" s="152"/>
      <c r="Y445" s="152"/>
      <c r="Z445" s="152"/>
    </row>
    <row r="446" ht="12.8" customHeight="1" spans="1:26">
      <c r="A446" s="152"/>
      <c r="B446" s="152"/>
      <c r="C446" s="152"/>
      <c r="D446" s="152"/>
      <c r="E446" s="152"/>
      <c r="F446" s="152"/>
      <c r="G446" s="152"/>
      <c r="H446" s="152"/>
      <c r="I446" s="152"/>
      <c r="J446" s="152"/>
      <c r="K446" s="152"/>
      <c r="L446" s="152"/>
      <c r="M446" s="152"/>
      <c r="N446" s="152"/>
      <c r="O446" s="152"/>
      <c r="P446" s="152"/>
      <c r="Q446" s="152"/>
      <c r="R446" s="152"/>
      <c r="S446" s="152"/>
      <c r="T446" s="152"/>
      <c r="U446" s="152"/>
      <c r="V446" s="152"/>
      <c r="W446" s="152"/>
      <c r="X446" s="152"/>
      <c r="Y446" s="152"/>
      <c r="Z446" s="152"/>
    </row>
    <row r="447" ht="12.8" customHeight="1" spans="1:26">
      <c r="A447" s="152"/>
      <c r="B447" s="152"/>
      <c r="C447" s="152"/>
      <c r="D447" s="152"/>
      <c r="E447" s="152"/>
      <c r="F447" s="152"/>
      <c r="G447" s="152"/>
      <c r="H447" s="152"/>
      <c r="I447" s="152"/>
      <c r="J447" s="152"/>
      <c r="K447" s="152"/>
      <c r="L447" s="152"/>
      <c r="M447" s="152"/>
      <c r="N447" s="152"/>
      <c r="O447" s="152"/>
      <c r="P447" s="152"/>
      <c r="Q447" s="152"/>
      <c r="R447" s="152"/>
      <c r="S447" s="152"/>
      <c r="T447" s="152"/>
      <c r="U447" s="152"/>
      <c r="V447" s="152"/>
      <c r="W447" s="152"/>
      <c r="X447" s="152"/>
      <c r="Y447" s="152"/>
      <c r="Z447" s="152"/>
    </row>
    <row r="448" ht="12.8" customHeight="1" spans="1:26">
      <c r="A448" s="152"/>
      <c r="B448" s="152"/>
      <c r="C448" s="152"/>
      <c r="D448" s="152"/>
      <c r="E448" s="152"/>
      <c r="F448" s="152"/>
      <c r="G448" s="152"/>
      <c r="H448" s="152"/>
      <c r="I448" s="152"/>
      <c r="J448" s="152"/>
      <c r="K448" s="152"/>
      <c r="L448" s="152"/>
      <c r="M448" s="152"/>
      <c r="N448" s="152"/>
      <c r="O448" s="152"/>
      <c r="P448" s="152"/>
      <c r="Q448" s="152"/>
      <c r="R448" s="152"/>
      <c r="S448" s="152"/>
      <c r="T448" s="152"/>
      <c r="U448" s="152"/>
      <c r="V448" s="152"/>
      <c r="W448" s="152"/>
      <c r="X448" s="152"/>
      <c r="Y448" s="152"/>
      <c r="Z448" s="152"/>
    </row>
    <row r="449" ht="12.8" customHeight="1" spans="1:26">
      <c r="A449" s="152"/>
      <c r="B449" s="152"/>
      <c r="C449" s="152"/>
      <c r="D449" s="152"/>
      <c r="E449" s="152"/>
      <c r="F449" s="152"/>
      <c r="G449" s="152"/>
      <c r="H449" s="152"/>
      <c r="I449" s="152"/>
      <c r="J449" s="152"/>
      <c r="K449" s="152"/>
      <c r="L449" s="152"/>
      <c r="M449" s="152"/>
      <c r="N449" s="152"/>
      <c r="O449" s="152"/>
      <c r="P449" s="152"/>
      <c r="Q449" s="152"/>
      <c r="R449" s="152"/>
      <c r="S449" s="152"/>
      <c r="T449" s="152"/>
      <c r="U449" s="152"/>
      <c r="V449" s="152"/>
      <c r="W449" s="152"/>
      <c r="X449" s="152"/>
      <c r="Y449" s="152"/>
      <c r="Z449" s="152"/>
    </row>
    <row r="450" ht="12.8" customHeight="1" spans="1:26">
      <c r="A450" s="152"/>
      <c r="B450" s="152"/>
      <c r="C450" s="152"/>
      <c r="D450" s="152"/>
      <c r="E450" s="152"/>
      <c r="F450" s="152"/>
      <c r="G450" s="152"/>
      <c r="H450" s="152"/>
      <c r="I450" s="152"/>
      <c r="J450" s="152"/>
      <c r="K450" s="152"/>
      <c r="L450" s="152"/>
      <c r="M450" s="152"/>
      <c r="N450" s="152"/>
      <c r="O450" s="152"/>
      <c r="P450" s="152"/>
      <c r="Q450" s="152"/>
      <c r="R450" s="152"/>
      <c r="S450" s="152"/>
      <c r="T450" s="152"/>
      <c r="U450" s="152"/>
      <c r="V450" s="152"/>
      <c r="W450" s="152"/>
      <c r="X450" s="152"/>
      <c r="Y450" s="152"/>
      <c r="Z450" s="152"/>
    </row>
    <row r="451" ht="12.8" customHeight="1" spans="1:26">
      <c r="A451" s="152"/>
      <c r="B451" s="152"/>
      <c r="C451" s="152"/>
      <c r="D451" s="152"/>
      <c r="E451" s="152"/>
      <c r="F451" s="152"/>
      <c r="G451" s="152"/>
      <c r="H451" s="152"/>
      <c r="I451" s="152"/>
      <c r="J451" s="152"/>
      <c r="K451" s="152"/>
      <c r="L451" s="152"/>
      <c r="M451" s="152"/>
      <c r="N451" s="152"/>
      <c r="O451" s="152"/>
      <c r="P451" s="152"/>
      <c r="Q451" s="152"/>
      <c r="R451" s="152"/>
      <c r="S451" s="152"/>
      <c r="T451" s="152"/>
      <c r="U451" s="152"/>
      <c r="V451" s="152"/>
      <c r="W451" s="152"/>
      <c r="X451" s="152"/>
      <c r="Y451" s="152"/>
      <c r="Z451" s="152"/>
    </row>
    <row r="452" ht="12.8" customHeight="1" spans="1:26">
      <c r="A452" s="152"/>
      <c r="B452" s="152"/>
      <c r="C452" s="152"/>
      <c r="D452" s="152"/>
      <c r="E452" s="152"/>
      <c r="F452" s="152"/>
      <c r="G452" s="152"/>
      <c r="H452" s="152"/>
      <c r="I452" s="152"/>
      <c r="J452" s="152"/>
      <c r="K452" s="152"/>
      <c r="L452" s="152"/>
      <c r="M452" s="152"/>
      <c r="N452" s="152"/>
      <c r="O452" s="152"/>
      <c r="P452" s="152"/>
      <c r="Q452" s="152"/>
      <c r="R452" s="152"/>
      <c r="S452" s="152"/>
      <c r="T452" s="152"/>
      <c r="U452" s="152"/>
      <c r="V452" s="152"/>
      <c r="W452" s="152"/>
      <c r="X452" s="152"/>
      <c r="Y452" s="152"/>
      <c r="Z452" s="152"/>
    </row>
    <row r="453" ht="12.8" customHeight="1" spans="1:26">
      <c r="A453" s="152"/>
      <c r="B453" s="152"/>
      <c r="C453" s="152"/>
      <c r="D453" s="152"/>
      <c r="E453" s="152"/>
      <c r="F453" s="152"/>
      <c r="G453" s="152"/>
      <c r="H453" s="152"/>
      <c r="I453" s="152"/>
      <c r="J453" s="152"/>
      <c r="K453" s="152"/>
      <c r="L453" s="152"/>
      <c r="M453" s="152"/>
      <c r="N453" s="152"/>
      <c r="O453" s="152"/>
      <c r="P453" s="152"/>
      <c r="Q453" s="152"/>
      <c r="R453" s="152"/>
      <c r="S453" s="152"/>
      <c r="T453" s="152"/>
      <c r="U453" s="152"/>
      <c r="V453" s="152"/>
      <c r="W453" s="152"/>
      <c r="X453" s="152"/>
      <c r="Y453" s="152"/>
      <c r="Z453" s="152"/>
    </row>
    <row r="454" ht="12.8" customHeight="1" spans="1:26">
      <c r="A454" s="152"/>
      <c r="B454" s="152"/>
      <c r="C454" s="152"/>
      <c r="D454" s="152"/>
      <c r="E454" s="152"/>
      <c r="F454" s="152"/>
      <c r="G454" s="152"/>
      <c r="H454" s="152"/>
      <c r="I454" s="152"/>
      <c r="J454" s="152"/>
      <c r="K454" s="152"/>
      <c r="L454" s="152"/>
      <c r="M454" s="152"/>
      <c r="N454" s="152"/>
      <c r="O454" s="152"/>
      <c r="P454" s="152"/>
      <c r="Q454" s="152"/>
      <c r="R454" s="152"/>
      <c r="S454" s="152"/>
      <c r="T454" s="152"/>
      <c r="U454" s="152"/>
      <c r="V454" s="152"/>
      <c r="W454" s="152"/>
      <c r="X454" s="152"/>
      <c r="Y454" s="152"/>
      <c r="Z454" s="152"/>
    </row>
    <row r="455" ht="12.8" customHeight="1" spans="1:26">
      <c r="A455" s="152"/>
      <c r="B455" s="152"/>
      <c r="C455" s="152"/>
      <c r="D455" s="152"/>
      <c r="E455" s="152"/>
      <c r="F455" s="152"/>
      <c r="G455" s="152"/>
      <c r="H455" s="152"/>
      <c r="I455" s="152"/>
      <c r="J455" s="152"/>
      <c r="K455" s="152"/>
      <c r="L455" s="152"/>
      <c r="M455" s="152"/>
      <c r="N455" s="152"/>
      <c r="O455" s="152"/>
      <c r="P455" s="152"/>
      <c r="Q455" s="152"/>
      <c r="R455" s="152"/>
      <c r="S455" s="152"/>
      <c r="T455" s="152"/>
      <c r="U455" s="152"/>
      <c r="V455" s="152"/>
      <c r="W455" s="152"/>
      <c r="X455" s="152"/>
      <c r="Y455" s="152"/>
      <c r="Z455" s="152"/>
    </row>
    <row r="456" ht="12.8" customHeight="1" spans="1:26">
      <c r="A456" s="152"/>
      <c r="B456" s="152"/>
      <c r="C456" s="152"/>
      <c r="D456" s="152"/>
      <c r="E456" s="152"/>
      <c r="F456" s="152"/>
      <c r="G456" s="152"/>
      <c r="H456" s="152"/>
      <c r="I456" s="152"/>
      <c r="J456" s="152"/>
      <c r="K456" s="152"/>
      <c r="L456" s="152"/>
      <c r="M456" s="152"/>
      <c r="N456" s="152"/>
      <c r="O456" s="152"/>
      <c r="P456" s="152"/>
      <c r="Q456" s="152"/>
      <c r="R456" s="152"/>
      <c r="S456" s="152"/>
      <c r="T456" s="152"/>
      <c r="U456" s="152"/>
      <c r="V456" s="152"/>
      <c r="W456" s="152"/>
      <c r="X456" s="152"/>
      <c r="Y456" s="152"/>
      <c r="Z456" s="152"/>
    </row>
    <row r="457" ht="12.8" customHeight="1" spans="1:26">
      <c r="A457" s="152"/>
      <c r="B457" s="152"/>
      <c r="C457" s="152"/>
      <c r="D457" s="152"/>
      <c r="E457" s="152"/>
      <c r="F457" s="152"/>
      <c r="G457" s="152"/>
      <c r="H457" s="152"/>
      <c r="I457" s="152"/>
      <c r="J457" s="152"/>
      <c r="K457" s="152"/>
      <c r="L457" s="152"/>
      <c r="M457" s="152"/>
      <c r="N457" s="152"/>
      <c r="O457" s="152"/>
      <c r="P457" s="152"/>
      <c r="Q457" s="152"/>
      <c r="R457" s="152"/>
      <c r="S457" s="152"/>
      <c r="T457" s="152"/>
      <c r="U457" s="152"/>
      <c r="V457" s="152"/>
      <c r="W457" s="152"/>
      <c r="X457" s="152"/>
      <c r="Y457" s="152"/>
      <c r="Z457" s="152"/>
    </row>
    <row r="458" ht="12.8" customHeight="1" spans="1:26">
      <c r="A458" s="152"/>
      <c r="B458" s="152"/>
      <c r="C458" s="152"/>
      <c r="D458" s="152"/>
      <c r="E458" s="152"/>
      <c r="F458" s="152"/>
      <c r="G458" s="152"/>
      <c r="H458" s="152"/>
      <c r="I458" s="152"/>
      <c r="J458" s="152"/>
      <c r="K458" s="152"/>
      <c r="L458" s="152"/>
      <c r="M458" s="152"/>
      <c r="N458" s="152"/>
      <c r="O458" s="152"/>
      <c r="P458" s="152"/>
      <c r="Q458" s="152"/>
      <c r="R458" s="152"/>
      <c r="S458" s="152"/>
      <c r="T458" s="152"/>
      <c r="U458" s="152"/>
      <c r="V458" s="152"/>
      <c r="W458" s="152"/>
      <c r="X458" s="152"/>
      <c r="Y458" s="152"/>
      <c r="Z458" s="152"/>
    </row>
    <row r="459" ht="12.8" customHeight="1" spans="1:26">
      <c r="A459" s="152"/>
      <c r="B459" s="152"/>
      <c r="C459" s="152"/>
      <c r="D459" s="152"/>
      <c r="E459" s="152"/>
      <c r="F459" s="152"/>
      <c r="G459" s="152"/>
      <c r="H459" s="152"/>
      <c r="I459" s="152"/>
      <c r="J459" s="152"/>
      <c r="K459" s="152"/>
      <c r="L459" s="152"/>
      <c r="M459" s="152"/>
      <c r="N459" s="152"/>
      <c r="O459" s="152"/>
      <c r="P459" s="152"/>
      <c r="Q459" s="152"/>
      <c r="R459" s="152"/>
      <c r="S459" s="152"/>
      <c r="T459" s="152"/>
      <c r="U459" s="152"/>
      <c r="V459" s="152"/>
      <c r="W459" s="152"/>
      <c r="X459" s="152"/>
      <c r="Y459" s="152"/>
      <c r="Z459" s="152"/>
    </row>
    <row r="460" ht="12.8" customHeight="1" spans="1:26">
      <c r="A460" s="152"/>
      <c r="B460" s="152"/>
      <c r="C460" s="152"/>
      <c r="D460" s="152"/>
      <c r="E460" s="152"/>
      <c r="F460" s="152"/>
      <c r="G460" s="152"/>
      <c r="H460" s="152"/>
      <c r="I460" s="152"/>
      <c r="J460" s="152"/>
      <c r="K460" s="152"/>
      <c r="L460" s="152"/>
      <c r="M460" s="152"/>
      <c r="N460" s="152"/>
      <c r="O460" s="152"/>
      <c r="P460" s="152"/>
      <c r="Q460" s="152"/>
      <c r="R460" s="152"/>
      <c r="S460" s="152"/>
      <c r="T460" s="152"/>
      <c r="U460" s="152"/>
      <c r="V460" s="152"/>
      <c r="W460" s="152"/>
      <c r="X460" s="152"/>
      <c r="Y460" s="152"/>
      <c r="Z460" s="152"/>
    </row>
    <row r="461" ht="12.8" customHeight="1" spans="1:26">
      <c r="A461" s="152"/>
      <c r="B461" s="152"/>
      <c r="C461" s="152"/>
      <c r="D461" s="152"/>
      <c r="E461" s="152"/>
      <c r="F461" s="152"/>
      <c r="G461" s="152"/>
      <c r="H461" s="152"/>
      <c r="I461" s="152"/>
      <c r="J461" s="152"/>
      <c r="K461" s="152"/>
      <c r="L461" s="152"/>
      <c r="M461" s="152"/>
      <c r="N461" s="152"/>
      <c r="O461" s="152"/>
      <c r="P461" s="152"/>
      <c r="Q461" s="152"/>
      <c r="R461" s="152"/>
      <c r="S461" s="152"/>
      <c r="T461" s="152"/>
      <c r="U461" s="152"/>
      <c r="V461" s="152"/>
      <c r="W461" s="152"/>
      <c r="X461" s="152"/>
      <c r="Y461" s="152"/>
      <c r="Z461" s="152"/>
    </row>
    <row r="462" ht="12.8" customHeight="1" spans="1:26">
      <c r="A462" s="152"/>
      <c r="B462" s="152"/>
      <c r="C462" s="152"/>
      <c r="D462" s="152"/>
      <c r="E462" s="152"/>
      <c r="F462" s="152"/>
      <c r="G462" s="152"/>
      <c r="H462" s="152"/>
      <c r="I462" s="152"/>
      <c r="J462" s="152"/>
      <c r="K462" s="152"/>
      <c r="L462" s="152"/>
      <c r="M462" s="152"/>
      <c r="N462" s="152"/>
      <c r="O462" s="152"/>
      <c r="P462" s="152"/>
      <c r="Q462" s="152"/>
      <c r="R462" s="152"/>
      <c r="S462" s="152"/>
      <c r="T462" s="152"/>
      <c r="U462" s="152"/>
      <c r="V462" s="152"/>
      <c r="W462" s="152"/>
      <c r="X462" s="152"/>
      <c r="Y462" s="152"/>
      <c r="Z462" s="152"/>
    </row>
    <row r="463" ht="12.8" customHeight="1" spans="1:26">
      <c r="A463" s="152"/>
      <c r="B463" s="152"/>
      <c r="C463" s="152"/>
      <c r="D463" s="152"/>
      <c r="E463" s="152"/>
      <c r="F463" s="152"/>
      <c r="G463" s="152"/>
      <c r="H463" s="152"/>
      <c r="I463" s="152"/>
      <c r="J463" s="152"/>
      <c r="K463" s="152"/>
      <c r="L463" s="152"/>
      <c r="M463" s="152"/>
      <c r="N463" s="152"/>
      <c r="O463" s="152"/>
      <c r="P463" s="152"/>
      <c r="Q463" s="152"/>
      <c r="R463" s="152"/>
      <c r="S463" s="152"/>
      <c r="T463" s="152"/>
      <c r="U463" s="152"/>
      <c r="V463" s="152"/>
      <c r="W463" s="152"/>
      <c r="X463" s="152"/>
      <c r="Y463" s="152"/>
      <c r="Z463" s="152"/>
    </row>
    <row r="464" ht="12.8" customHeight="1" spans="1:26">
      <c r="A464" s="152"/>
      <c r="B464" s="152"/>
      <c r="C464" s="152"/>
      <c r="D464" s="152"/>
      <c r="E464" s="152"/>
      <c r="F464" s="152"/>
      <c r="G464" s="152"/>
      <c r="H464" s="152"/>
      <c r="I464" s="152"/>
      <c r="J464" s="152"/>
      <c r="K464" s="152"/>
      <c r="L464" s="152"/>
      <c r="M464" s="152"/>
      <c r="N464" s="152"/>
      <c r="O464" s="152"/>
      <c r="P464" s="152"/>
      <c r="Q464" s="152"/>
      <c r="R464" s="152"/>
      <c r="S464" s="152"/>
      <c r="T464" s="152"/>
      <c r="U464" s="152"/>
      <c r="V464" s="152"/>
      <c r="W464" s="152"/>
      <c r="X464" s="152"/>
      <c r="Y464" s="152"/>
      <c r="Z464" s="152"/>
    </row>
    <row r="465" ht="12.8" customHeight="1" spans="1:26">
      <c r="A465" s="152"/>
      <c r="B465" s="152"/>
      <c r="C465" s="152"/>
      <c r="D465" s="152"/>
      <c r="E465" s="152"/>
      <c r="F465" s="152"/>
      <c r="G465" s="152"/>
      <c r="H465" s="152"/>
      <c r="I465" s="152"/>
      <c r="J465" s="152"/>
      <c r="K465" s="152"/>
      <c r="L465" s="152"/>
      <c r="M465" s="152"/>
      <c r="N465" s="152"/>
      <c r="O465" s="152"/>
      <c r="P465" s="152"/>
      <c r="Q465" s="152"/>
      <c r="R465" s="152"/>
      <c r="S465" s="152"/>
      <c r="T465" s="152"/>
      <c r="U465" s="152"/>
      <c r="V465" s="152"/>
      <c r="W465" s="152"/>
      <c r="X465" s="152"/>
      <c r="Y465" s="152"/>
      <c r="Z465" s="152"/>
    </row>
    <row r="466" ht="12.8" customHeight="1" spans="1:26">
      <c r="A466" s="152"/>
      <c r="B466" s="152"/>
      <c r="C466" s="152"/>
      <c r="D466" s="152"/>
      <c r="E466" s="152"/>
      <c r="F466" s="152"/>
      <c r="G466" s="152"/>
      <c r="H466" s="152"/>
      <c r="I466" s="152"/>
      <c r="J466" s="152"/>
      <c r="K466" s="152"/>
      <c r="L466" s="152"/>
      <c r="M466" s="152"/>
      <c r="N466" s="152"/>
      <c r="O466" s="152"/>
      <c r="P466" s="152"/>
      <c r="Q466" s="152"/>
      <c r="R466" s="152"/>
      <c r="S466" s="152"/>
      <c r="T466" s="152"/>
      <c r="U466" s="152"/>
      <c r="V466" s="152"/>
      <c r="W466" s="152"/>
      <c r="X466" s="152"/>
      <c r="Y466" s="152"/>
      <c r="Z466" s="152"/>
    </row>
    <row r="467" ht="12.8" customHeight="1" spans="1:26">
      <c r="A467" s="152"/>
      <c r="B467" s="152"/>
      <c r="C467" s="152"/>
      <c r="D467" s="152"/>
      <c r="E467" s="152"/>
      <c r="F467" s="152"/>
      <c r="G467" s="152"/>
      <c r="H467" s="152"/>
      <c r="I467" s="152"/>
      <c r="J467" s="152"/>
      <c r="K467" s="152"/>
      <c r="L467" s="152"/>
      <c r="M467" s="152"/>
      <c r="N467" s="152"/>
      <c r="O467" s="152"/>
      <c r="P467" s="152"/>
      <c r="Q467" s="152"/>
      <c r="R467" s="152"/>
      <c r="S467" s="152"/>
      <c r="T467" s="152"/>
      <c r="U467" s="152"/>
      <c r="V467" s="152"/>
      <c r="W467" s="152"/>
      <c r="X467" s="152"/>
      <c r="Y467" s="152"/>
      <c r="Z467" s="152"/>
    </row>
    <row r="468" ht="12.8" customHeight="1" spans="1:26">
      <c r="A468" s="152"/>
      <c r="B468" s="152"/>
      <c r="C468" s="152"/>
      <c r="D468" s="152"/>
      <c r="E468" s="152"/>
      <c r="F468" s="152"/>
      <c r="G468" s="152"/>
      <c r="H468" s="152"/>
      <c r="I468" s="152"/>
      <c r="J468" s="152"/>
      <c r="K468" s="152"/>
      <c r="L468" s="152"/>
      <c r="M468" s="152"/>
      <c r="N468" s="152"/>
      <c r="O468" s="152"/>
      <c r="P468" s="152"/>
      <c r="Q468" s="152"/>
      <c r="R468" s="152"/>
      <c r="S468" s="152"/>
      <c r="T468" s="152"/>
      <c r="U468" s="152"/>
      <c r="V468" s="152"/>
      <c r="W468" s="152"/>
      <c r="X468" s="152"/>
      <c r="Y468" s="152"/>
      <c r="Z468" s="152"/>
    </row>
    <row r="469" ht="12.8" customHeight="1" spans="1:26">
      <c r="A469" s="152"/>
      <c r="B469" s="152"/>
      <c r="C469" s="152"/>
      <c r="D469" s="152"/>
      <c r="E469" s="152"/>
      <c r="F469" s="152"/>
      <c r="G469" s="152"/>
      <c r="H469" s="152"/>
      <c r="I469" s="152"/>
      <c r="J469" s="152"/>
      <c r="K469" s="152"/>
      <c r="L469" s="152"/>
      <c r="M469" s="152"/>
      <c r="N469" s="152"/>
      <c r="O469" s="152"/>
      <c r="P469" s="152"/>
      <c r="Q469" s="152"/>
      <c r="R469" s="152"/>
      <c r="S469" s="152"/>
      <c r="T469" s="152"/>
      <c r="U469" s="152"/>
      <c r="V469" s="152"/>
      <c r="W469" s="152"/>
      <c r="X469" s="152"/>
      <c r="Y469" s="152"/>
      <c r="Z469" s="152"/>
    </row>
    <row r="470" ht="12.8" customHeight="1" spans="1:26">
      <c r="A470" s="152"/>
      <c r="B470" s="152"/>
      <c r="C470" s="152"/>
      <c r="D470" s="152"/>
      <c r="E470" s="152"/>
      <c r="F470" s="152"/>
      <c r="G470" s="152"/>
      <c r="H470" s="152"/>
      <c r="I470" s="152"/>
      <c r="J470" s="152"/>
      <c r="K470" s="152"/>
      <c r="L470" s="152"/>
      <c r="M470" s="152"/>
      <c r="N470" s="152"/>
      <c r="O470" s="152"/>
      <c r="P470" s="152"/>
      <c r="Q470" s="152"/>
      <c r="R470" s="152"/>
      <c r="S470" s="152"/>
      <c r="T470" s="152"/>
      <c r="U470" s="152"/>
      <c r="V470" s="152"/>
      <c r="W470" s="152"/>
      <c r="X470" s="152"/>
      <c r="Y470" s="152"/>
      <c r="Z470" s="152"/>
    </row>
    <row r="471" ht="12.8" customHeight="1" spans="1:26">
      <c r="A471" s="152"/>
      <c r="B471" s="152"/>
      <c r="C471" s="152"/>
      <c r="D471" s="152"/>
      <c r="E471" s="152"/>
      <c r="F471" s="152"/>
      <c r="G471" s="152"/>
      <c r="H471" s="152"/>
      <c r="I471" s="152"/>
      <c r="J471" s="152"/>
      <c r="K471" s="152"/>
      <c r="L471" s="152"/>
      <c r="M471" s="152"/>
      <c r="N471" s="152"/>
      <c r="O471" s="152"/>
      <c r="P471" s="152"/>
      <c r="Q471" s="152"/>
      <c r="R471" s="152"/>
      <c r="S471" s="152"/>
      <c r="T471" s="152"/>
      <c r="U471" s="152"/>
      <c r="V471" s="152"/>
      <c r="W471" s="152"/>
      <c r="X471" s="152"/>
      <c r="Y471" s="152"/>
      <c r="Z471" s="152"/>
    </row>
    <row r="472" ht="12.8" customHeight="1" spans="1:26">
      <c r="A472" s="152"/>
      <c r="B472" s="152"/>
      <c r="C472" s="152"/>
      <c r="D472" s="152"/>
      <c r="E472" s="152"/>
      <c r="F472" s="152"/>
      <c r="G472" s="152"/>
      <c r="H472" s="152"/>
      <c r="I472" s="152"/>
      <c r="J472" s="152"/>
      <c r="K472" s="152"/>
      <c r="L472" s="152"/>
      <c r="M472" s="152"/>
      <c r="N472" s="152"/>
      <c r="O472" s="152"/>
      <c r="P472" s="152"/>
      <c r="Q472" s="152"/>
      <c r="R472" s="152"/>
      <c r="S472" s="152"/>
      <c r="T472" s="152"/>
      <c r="U472" s="152"/>
      <c r="V472" s="152"/>
      <c r="W472" s="152"/>
      <c r="X472" s="152"/>
      <c r="Y472" s="152"/>
      <c r="Z472" s="152"/>
    </row>
    <row r="473" ht="12.8" customHeight="1" spans="1:26">
      <c r="A473" s="152"/>
      <c r="B473" s="152"/>
      <c r="C473" s="152"/>
      <c r="D473" s="152"/>
      <c r="E473" s="152"/>
      <c r="F473" s="152"/>
      <c r="G473" s="152"/>
      <c r="H473" s="152"/>
      <c r="I473" s="152"/>
      <c r="J473" s="152"/>
      <c r="K473" s="152"/>
      <c r="L473" s="152"/>
      <c r="M473" s="152"/>
      <c r="N473" s="152"/>
      <c r="O473" s="152"/>
      <c r="P473" s="152"/>
      <c r="Q473" s="152"/>
      <c r="R473" s="152"/>
      <c r="S473" s="152"/>
      <c r="T473" s="152"/>
      <c r="U473" s="152"/>
      <c r="V473" s="152"/>
      <c r="W473" s="152"/>
      <c r="X473" s="152"/>
      <c r="Y473" s="152"/>
      <c r="Z473" s="152"/>
    </row>
    <row r="474" ht="12.8" customHeight="1" spans="1:26">
      <c r="A474" s="152"/>
      <c r="B474" s="152"/>
      <c r="C474" s="152"/>
      <c r="D474" s="152"/>
      <c r="E474" s="152"/>
      <c r="F474" s="152"/>
      <c r="G474" s="152"/>
      <c r="H474" s="152"/>
      <c r="I474" s="152"/>
      <c r="J474" s="152"/>
      <c r="K474" s="152"/>
      <c r="L474" s="152"/>
      <c r="M474" s="152"/>
      <c r="N474" s="152"/>
      <c r="O474" s="152"/>
      <c r="P474" s="152"/>
      <c r="Q474" s="152"/>
      <c r="R474" s="152"/>
      <c r="S474" s="152"/>
      <c r="T474" s="152"/>
      <c r="U474" s="152"/>
      <c r="V474" s="152"/>
      <c r="W474" s="152"/>
      <c r="X474" s="152"/>
      <c r="Y474" s="152"/>
      <c r="Z474" s="152"/>
    </row>
    <row r="475" ht="12.8" customHeight="1" spans="1:26">
      <c r="A475" s="152"/>
      <c r="B475" s="152"/>
      <c r="C475" s="152"/>
      <c r="D475" s="152"/>
      <c r="E475" s="152"/>
      <c r="F475" s="152"/>
      <c r="G475" s="152"/>
      <c r="H475" s="152"/>
      <c r="I475" s="152"/>
      <c r="J475" s="152"/>
      <c r="K475" s="152"/>
      <c r="L475" s="152"/>
      <c r="M475" s="152"/>
      <c r="N475" s="152"/>
      <c r="O475" s="152"/>
      <c r="P475" s="152"/>
      <c r="Q475" s="152"/>
      <c r="R475" s="152"/>
      <c r="S475" s="152"/>
      <c r="T475" s="152"/>
      <c r="U475" s="152"/>
      <c r="V475" s="152"/>
      <c r="W475" s="152"/>
      <c r="X475" s="152"/>
      <c r="Y475" s="152"/>
      <c r="Z475" s="152"/>
    </row>
    <row r="476" ht="12.8" customHeight="1" spans="1:26">
      <c r="A476" s="152"/>
      <c r="B476" s="152"/>
      <c r="C476" s="152"/>
      <c r="D476" s="152"/>
      <c r="E476" s="152"/>
      <c r="F476" s="152"/>
      <c r="G476" s="152"/>
      <c r="H476" s="152"/>
      <c r="I476" s="152"/>
      <c r="J476" s="152"/>
      <c r="K476" s="152"/>
      <c r="L476" s="152"/>
      <c r="M476" s="152"/>
      <c r="N476" s="152"/>
      <c r="O476" s="152"/>
      <c r="P476" s="152"/>
      <c r="Q476" s="152"/>
      <c r="R476" s="152"/>
      <c r="S476" s="152"/>
      <c r="T476" s="152"/>
      <c r="U476" s="152"/>
      <c r="V476" s="152"/>
      <c r="W476" s="152"/>
      <c r="X476" s="152"/>
      <c r="Y476" s="152"/>
      <c r="Z476" s="152"/>
    </row>
    <row r="477" ht="12.8" customHeight="1" spans="1:26">
      <c r="A477" s="152"/>
      <c r="B477" s="152"/>
      <c r="C477" s="152"/>
      <c r="D477" s="152"/>
      <c r="E477" s="152"/>
      <c r="F477" s="152"/>
      <c r="G477" s="152"/>
      <c r="H477" s="152"/>
      <c r="I477" s="152"/>
      <c r="J477" s="152"/>
      <c r="K477" s="152"/>
      <c r="L477" s="152"/>
      <c r="M477" s="152"/>
      <c r="N477" s="152"/>
      <c r="O477" s="152"/>
      <c r="P477" s="152"/>
      <c r="Q477" s="152"/>
      <c r="R477" s="152"/>
      <c r="S477" s="152"/>
      <c r="T477" s="152"/>
      <c r="U477" s="152"/>
      <c r="V477" s="152"/>
      <c r="W477" s="152"/>
      <c r="X477" s="152"/>
      <c r="Y477" s="152"/>
      <c r="Z477" s="152"/>
    </row>
    <row r="478" ht="12.8" customHeight="1" spans="1:26">
      <c r="A478" s="152"/>
      <c r="B478" s="152"/>
      <c r="C478" s="152"/>
      <c r="D478" s="152"/>
      <c r="E478" s="152"/>
      <c r="F478" s="152"/>
      <c r="G478" s="152"/>
      <c r="H478" s="152"/>
      <c r="I478" s="152"/>
      <c r="J478" s="152"/>
      <c r="K478" s="152"/>
      <c r="L478" s="152"/>
      <c r="M478" s="152"/>
      <c r="N478" s="152"/>
      <c r="O478" s="152"/>
      <c r="P478" s="152"/>
      <c r="Q478" s="152"/>
      <c r="R478" s="152"/>
      <c r="S478" s="152"/>
      <c r="T478" s="152"/>
      <c r="U478" s="152"/>
      <c r="V478" s="152"/>
      <c r="W478" s="152"/>
      <c r="X478" s="152"/>
      <c r="Y478" s="152"/>
      <c r="Z478" s="152"/>
    </row>
    <row r="479" ht="12.8" customHeight="1" spans="1:26">
      <c r="A479" s="152"/>
      <c r="B479" s="152"/>
      <c r="C479" s="152"/>
      <c r="D479" s="152"/>
      <c r="E479" s="152"/>
      <c r="F479" s="152"/>
      <c r="G479" s="152"/>
      <c r="H479" s="152"/>
      <c r="I479" s="152"/>
      <c r="J479" s="152"/>
      <c r="K479" s="152"/>
      <c r="L479" s="152"/>
      <c r="M479" s="152"/>
      <c r="N479" s="152"/>
      <c r="O479" s="152"/>
      <c r="P479" s="152"/>
      <c r="Q479" s="152"/>
      <c r="R479" s="152"/>
      <c r="S479" s="152"/>
      <c r="T479" s="152"/>
      <c r="U479" s="152"/>
      <c r="V479" s="152"/>
      <c r="W479" s="152"/>
      <c r="X479" s="152"/>
      <c r="Y479" s="152"/>
      <c r="Z479" s="152"/>
    </row>
    <row r="480" ht="12.8" customHeight="1" spans="1:26">
      <c r="A480" s="152"/>
      <c r="B480" s="152"/>
      <c r="C480" s="152"/>
      <c r="D480" s="152"/>
      <c r="E480" s="152"/>
      <c r="F480" s="152"/>
      <c r="G480" s="152"/>
      <c r="H480" s="152"/>
      <c r="I480" s="152"/>
      <c r="J480" s="152"/>
      <c r="K480" s="152"/>
      <c r="L480" s="152"/>
      <c r="M480" s="152"/>
      <c r="N480" s="152"/>
      <c r="O480" s="152"/>
      <c r="P480" s="152"/>
      <c r="Q480" s="152"/>
      <c r="R480" s="152"/>
      <c r="S480" s="152"/>
      <c r="T480" s="152"/>
      <c r="U480" s="152"/>
      <c r="V480" s="152"/>
      <c r="W480" s="152"/>
      <c r="X480" s="152"/>
      <c r="Y480" s="152"/>
      <c r="Z480" s="152"/>
    </row>
    <row r="481" ht="12.8" customHeight="1" spans="1:26">
      <c r="A481" s="152"/>
      <c r="B481" s="152"/>
      <c r="C481" s="152"/>
      <c r="D481" s="152"/>
      <c r="E481" s="152"/>
      <c r="F481" s="152"/>
      <c r="G481" s="152"/>
      <c r="H481" s="152"/>
      <c r="I481" s="152"/>
      <c r="J481" s="152"/>
      <c r="K481" s="152"/>
      <c r="L481" s="152"/>
      <c r="M481" s="152"/>
      <c r="N481" s="152"/>
      <c r="O481" s="152"/>
      <c r="P481" s="152"/>
      <c r="Q481" s="152"/>
      <c r="R481" s="152"/>
      <c r="S481" s="152"/>
      <c r="T481" s="152"/>
      <c r="U481" s="152"/>
      <c r="V481" s="152"/>
      <c r="W481" s="152"/>
      <c r="X481" s="152"/>
      <c r="Y481" s="152"/>
      <c r="Z481" s="152"/>
    </row>
    <row r="482" ht="12.8" customHeight="1" spans="1:26">
      <c r="A482" s="152"/>
      <c r="B482" s="152"/>
      <c r="C482" s="152"/>
      <c r="D482" s="152"/>
      <c r="E482" s="152"/>
      <c r="F482" s="152"/>
      <c r="G482" s="152"/>
      <c r="H482" s="152"/>
      <c r="I482" s="152"/>
      <c r="J482" s="152"/>
      <c r="K482" s="152"/>
      <c r="L482" s="152"/>
      <c r="M482" s="152"/>
      <c r="N482" s="152"/>
      <c r="O482" s="152"/>
      <c r="P482" s="152"/>
      <c r="Q482" s="152"/>
      <c r="R482" s="152"/>
      <c r="S482" s="152"/>
      <c r="T482" s="152"/>
      <c r="U482" s="152"/>
      <c r="V482" s="152"/>
      <c r="W482" s="152"/>
      <c r="X482" s="152"/>
      <c r="Y482" s="152"/>
      <c r="Z482" s="152"/>
    </row>
    <row r="483" ht="12.8" customHeight="1" spans="1:26">
      <c r="A483" s="152"/>
      <c r="B483" s="152"/>
      <c r="C483" s="152"/>
      <c r="D483" s="152"/>
      <c r="E483" s="152"/>
      <c r="F483" s="152"/>
      <c r="G483" s="152"/>
      <c r="H483" s="152"/>
      <c r="I483" s="152"/>
      <c r="J483" s="152"/>
      <c r="K483" s="152"/>
      <c r="L483" s="152"/>
      <c r="M483" s="152"/>
      <c r="N483" s="152"/>
      <c r="O483" s="152"/>
      <c r="P483" s="152"/>
      <c r="Q483" s="152"/>
      <c r="R483" s="152"/>
      <c r="S483" s="152"/>
      <c r="T483" s="152"/>
      <c r="U483" s="152"/>
      <c r="V483" s="152"/>
      <c r="W483" s="152"/>
      <c r="X483" s="152"/>
      <c r="Y483" s="152"/>
      <c r="Z483" s="152"/>
    </row>
    <row r="484" ht="12.8" customHeight="1" spans="1:26">
      <c r="A484" s="152"/>
      <c r="B484" s="152"/>
      <c r="C484" s="152"/>
      <c r="D484" s="152"/>
      <c r="E484" s="152"/>
      <c r="F484" s="152"/>
      <c r="G484" s="152"/>
      <c r="H484" s="152"/>
      <c r="I484" s="152"/>
      <c r="J484" s="152"/>
      <c r="K484" s="152"/>
      <c r="L484" s="152"/>
      <c r="M484" s="152"/>
      <c r="N484" s="152"/>
      <c r="O484" s="152"/>
      <c r="P484" s="152"/>
      <c r="Q484" s="152"/>
      <c r="R484" s="152"/>
      <c r="S484" s="152"/>
      <c r="T484" s="152"/>
      <c r="U484" s="152"/>
      <c r="V484" s="152"/>
      <c r="W484" s="152"/>
      <c r="X484" s="152"/>
      <c r="Y484" s="152"/>
      <c r="Z484" s="152"/>
    </row>
    <row r="485" ht="12.8" customHeight="1" spans="1:26">
      <c r="A485" s="152"/>
      <c r="B485" s="152"/>
      <c r="C485" s="152"/>
      <c r="D485" s="152"/>
      <c r="E485" s="152"/>
      <c r="F485" s="152"/>
      <c r="G485" s="152"/>
      <c r="H485" s="152"/>
      <c r="I485" s="152"/>
      <c r="J485" s="152"/>
      <c r="K485" s="152"/>
      <c r="L485" s="152"/>
      <c r="M485" s="152"/>
      <c r="N485" s="152"/>
      <c r="O485" s="152"/>
      <c r="P485" s="152"/>
      <c r="Q485" s="152"/>
      <c r="R485" s="152"/>
      <c r="S485" s="152"/>
      <c r="T485" s="152"/>
      <c r="U485" s="152"/>
      <c r="V485" s="152"/>
      <c r="W485" s="152"/>
      <c r="X485" s="152"/>
      <c r="Y485" s="152"/>
      <c r="Z485" s="152"/>
    </row>
    <row r="486" ht="12.8" customHeight="1" spans="1:26">
      <c r="A486" s="152"/>
      <c r="B486" s="152"/>
      <c r="C486" s="152"/>
      <c r="D486" s="152"/>
      <c r="E486" s="152"/>
      <c r="F486" s="152"/>
      <c r="G486" s="152"/>
      <c r="H486" s="152"/>
      <c r="I486" s="152"/>
      <c r="J486" s="152"/>
      <c r="K486" s="152"/>
      <c r="L486" s="152"/>
      <c r="M486" s="152"/>
      <c r="N486" s="152"/>
      <c r="O486" s="152"/>
      <c r="P486" s="152"/>
      <c r="Q486" s="152"/>
      <c r="R486" s="152"/>
      <c r="S486" s="152"/>
      <c r="T486" s="152"/>
      <c r="U486" s="152"/>
      <c r="V486" s="152"/>
      <c r="W486" s="152"/>
      <c r="X486" s="152"/>
      <c r="Y486" s="152"/>
      <c r="Z486" s="152"/>
    </row>
    <row r="487" ht="12.8" customHeight="1" spans="1:26">
      <c r="A487" s="152"/>
      <c r="B487" s="152"/>
      <c r="C487" s="152"/>
      <c r="D487" s="152"/>
      <c r="E487" s="152"/>
      <c r="F487" s="152"/>
      <c r="G487" s="152"/>
      <c r="H487" s="152"/>
      <c r="I487" s="152"/>
      <c r="J487" s="152"/>
      <c r="K487" s="152"/>
      <c r="L487" s="152"/>
      <c r="M487" s="152"/>
      <c r="N487" s="152"/>
      <c r="O487" s="152"/>
      <c r="P487" s="152"/>
      <c r="Q487" s="152"/>
      <c r="R487" s="152"/>
      <c r="S487" s="152"/>
      <c r="T487" s="152"/>
      <c r="U487" s="152"/>
      <c r="V487" s="152"/>
      <c r="W487" s="152"/>
      <c r="X487" s="152"/>
      <c r="Y487" s="152"/>
      <c r="Z487" s="152"/>
    </row>
    <row r="488" ht="12.8" customHeight="1" spans="1:26">
      <c r="A488" s="152"/>
      <c r="B488" s="152"/>
      <c r="C488" s="152"/>
      <c r="D488" s="152"/>
      <c r="E488" s="152"/>
      <c r="F488" s="152"/>
      <c r="G488" s="152"/>
      <c r="H488" s="152"/>
      <c r="I488" s="152"/>
      <c r="J488" s="152"/>
      <c r="K488" s="152"/>
      <c r="L488" s="152"/>
      <c r="M488" s="152"/>
      <c r="N488" s="152"/>
      <c r="O488" s="152"/>
      <c r="P488" s="152"/>
      <c r="Q488" s="152"/>
      <c r="R488" s="152"/>
      <c r="S488" s="152"/>
      <c r="T488" s="152"/>
      <c r="U488" s="152"/>
      <c r="V488" s="152"/>
      <c r="W488" s="152"/>
      <c r="X488" s="152"/>
      <c r="Y488" s="152"/>
      <c r="Z488" s="152"/>
    </row>
    <row r="489" ht="12.8" customHeight="1" spans="1:26">
      <c r="A489" s="152"/>
      <c r="B489" s="152"/>
      <c r="C489" s="152"/>
      <c r="D489" s="152"/>
      <c r="E489" s="152"/>
      <c r="F489" s="152"/>
      <c r="G489" s="152"/>
      <c r="H489" s="152"/>
      <c r="I489" s="152"/>
      <c r="J489" s="152"/>
      <c r="K489" s="152"/>
      <c r="L489" s="152"/>
      <c r="M489" s="152"/>
      <c r="N489" s="152"/>
      <c r="O489" s="152"/>
      <c r="P489" s="152"/>
      <c r="Q489" s="152"/>
      <c r="R489" s="152"/>
      <c r="S489" s="152"/>
      <c r="T489" s="152"/>
      <c r="U489" s="152"/>
      <c r="V489" s="152"/>
      <c r="W489" s="152"/>
      <c r="X489" s="152"/>
      <c r="Y489" s="152"/>
      <c r="Z489" s="152"/>
    </row>
    <row r="490" ht="12.8" customHeight="1" spans="1:26">
      <c r="A490" s="152"/>
      <c r="B490" s="152"/>
      <c r="C490" s="152"/>
      <c r="D490" s="152"/>
      <c r="E490" s="152"/>
      <c r="F490" s="152"/>
      <c r="G490" s="152"/>
      <c r="H490" s="152"/>
      <c r="I490" s="152"/>
      <c r="J490" s="152"/>
      <c r="K490" s="152"/>
      <c r="L490" s="152"/>
      <c r="M490" s="152"/>
      <c r="N490" s="152"/>
      <c r="O490" s="152"/>
      <c r="P490" s="152"/>
      <c r="Q490" s="152"/>
      <c r="R490" s="152"/>
      <c r="S490" s="152"/>
      <c r="T490" s="152"/>
      <c r="U490" s="152"/>
      <c r="V490" s="152"/>
      <c r="W490" s="152"/>
      <c r="X490" s="152"/>
      <c r="Y490" s="152"/>
      <c r="Z490" s="152"/>
    </row>
    <row r="491" ht="12.8" customHeight="1" spans="1:26">
      <c r="A491" s="152"/>
      <c r="B491" s="152"/>
      <c r="C491" s="152"/>
      <c r="D491" s="152"/>
      <c r="E491" s="152"/>
      <c r="F491" s="152"/>
      <c r="G491" s="152"/>
      <c r="H491" s="152"/>
      <c r="I491" s="152"/>
      <c r="J491" s="152"/>
      <c r="K491" s="152"/>
      <c r="L491" s="152"/>
      <c r="M491" s="152"/>
      <c r="N491" s="152"/>
      <c r="O491" s="152"/>
      <c r="P491" s="152"/>
      <c r="Q491" s="152"/>
      <c r="R491" s="152"/>
      <c r="S491" s="152"/>
      <c r="T491" s="152"/>
      <c r="U491" s="152"/>
      <c r="V491" s="152"/>
      <c r="W491" s="152"/>
      <c r="X491" s="152"/>
      <c r="Y491" s="152"/>
      <c r="Z491" s="152"/>
    </row>
    <row r="492" ht="12.8" customHeight="1" spans="1:26">
      <c r="A492" s="152"/>
      <c r="B492" s="152"/>
      <c r="C492" s="152"/>
      <c r="D492" s="152"/>
      <c r="E492" s="152"/>
      <c r="F492" s="152"/>
      <c r="G492" s="152"/>
      <c r="H492" s="152"/>
      <c r="I492" s="152"/>
      <c r="J492" s="152"/>
      <c r="K492" s="152"/>
      <c r="L492" s="152"/>
      <c r="M492" s="152"/>
      <c r="N492" s="152"/>
      <c r="O492" s="152"/>
      <c r="P492" s="152"/>
      <c r="Q492" s="152"/>
      <c r="R492" s="152"/>
      <c r="S492" s="152"/>
      <c r="T492" s="152"/>
      <c r="U492" s="152"/>
      <c r="V492" s="152"/>
      <c r="W492" s="152"/>
      <c r="X492" s="152"/>
      <c r="Y492" s="152"/>
      <c r="Z492" s="152"/>
    </row>
    <row r="493" ht="12.8" customHeight="1" spans="1:26">
      <c r="A493" s="152"/>
      <c r="B493" s="152"/>
      <c r="C493" s="152"/>
      <c r="D493" s="152"/>
      <c r="E493" s="152"/>
      <c r="F493" s="152"/>
      <c r="G493" s="152"/>
      <c r="H493" s="152"/>
      <c r="I493" s="152"/>
      <c r="J493" s="152"/>
      <c r="K493" s="152"/>
      <c r="L493" s="152"/>
      <c r="M493" s="152"/>
      <c r="N493" s="152"/>
      <c r="O493" s="152"/>
      <c r="P493" s="152"/>
      <c r="Q493" s="152"/>
      <c r="R493" s="152"/>
      <c r="S493" s="152"/>
      <c r="T493" s="152"/>
      <c r="U493" s="152"/>
      <c r="V493" s="152"/>
      <c r="W493" s="152"/>
      <c r="X493" s="152"/>
      <c r="Y493" s="152"/>
      <c r="Z493" s="152"/>
    </row>
    <row r="494" ht="12.8" customHeight="1" spans="1:26">
      <c r="A494" s="152"/>
      <c r="B494" s="152"/>
      <c r="C494" s="152"/>
      <c r="D494" s="152"/>
      <c r="E494" s="152"/>
      <c r="F494" s="152"/>
      <c r="G494" s="152"/>
      <c r="H494" s="152"/>
      <c r="I494" s="152"/>
      <c r="J494" s="152"/>
      <c r="K494" s="152"/>
      <c r="L494" s="152"/>
      <c r="M494" s="152"/>
      <c r="N494" s="152"/>
      <c r="O494" s="152"/>
      <c r="P494" s="152"/>
      <c r="Q494" s="152"/>
      <c r="R494" s="152"/>
      <c r="S494" s="152"/>
      <c r="T494" s="152"/>
      <c r="U494" s="152"/>
      <c r="V494" s="152"/>
      <c r="W494" s="152"/>
      <c r="X494" s="152"/>
      <c r="Y494" s="152"/>
      <c r="Z494" s="152"/>
    </row>
    <row r="495" ht="12.8" customHeight="1" spans="1:26">
      <c r="A495" s="152"/>
      <c r="B495" s="152"/>
      <c r="C495" s="152"/>
      <c r="D495" s="152"/>
      <c r="E495" s="152"/>
      <c r="F495" s="152"/>
      <c r="G495" s="152"/>
      <c r="H495" s="152"/>
      <c r="I495" s="152"/>
      <c r="J495" s="152"/>
      <c r="K495" s="152"/>
      <c r="L495" s="152"/>
      <c r="M495" s="152"/>
      <c r="N495" s="152"/>
      <c r="O495" s="152"/>
      <c r="P495" s="152"/>
      <c r="Q495" s="152"/>
      <c r="R495" s="152"/>
      <c r="S495" s="152"/>
      <c r="T495" s="152"/>
      <c r="U495" s="152"/>
      <c r="V495" s="152"/>
      <c r="W495" s="152"/>
      <c r="X495" s="152"/>
      <c r="Y495" s="152"/>
      <c r="Z495" s="152"/>
    </row>
    <row r="496" ht="12.8" customHeight="1" spans="1:26">
      <c r="A496" s="152"/>
      <c r="B496" s="152"/>
      <c r="C496" s="152"/>
      <c r="D496" s="152"/>
      <c r="E496" s="152"/>
      <c r="F496" s="152"/>
      <c r="G496" s="152"/>
      <c r="H496" s="152"/>
      <c r="I496" s="152"/>
      <c r="J496" s="152"/>
      <c r="K496" s="152"/>
      <c r="L496" s="152"/>
      <c r="M496" s="152"/>
      <c r="N496" s="152"/>
      <c r="O496" s="152"/>
      <c r="P496" s="152"/>
      <c r="Q496" s="152"/>
      <c r="R496" s="152"/>
      <c r="S496" s="152"/>
      <c r="T496" s="152"/>
      <c r="U496" s="152"/>
      <c r="V496" s="152"/>
      <c r="W496" s="152"/>
      <c r="X496" s="152"/>
      <c r="Y496" s="152"/>
      <c r="Z496" s="152"/>
    </row>
    <row r="497" ht="12.8" customHeight="1" spans="1:26">
      <c r="A497" s="152"/>
      <c r="B497" s="152"/>
      <c r="C497" s="152"/>
      <c r="D497" s="152"/>
      <c r="E497" s="152"/>
      <c r="F497" s="152"/>
      <c r="G497" s="152"/>
      <c r="H497" s="152"/>
      <c r="I497" s="152"/>
      <c r="J497" s="152"/>
      <c r="K497" s="152"/>
      <c r="L497" s="152"/>
      <c r="M497" s="152"/>
      <c r="N497" s="152"/>
      <c r="O497" s="152"/>
      <c r="P497" s="152"/>
      <c r="Q497" s="152"/>
      <c r="R497" s="152"/>
      <c r="S497" s="152"/>
      <c r="T497" s="152"/>
      <c r="U497" s="152"/>
      <c r="V497" s="152"/>
      <c r="W497" s="152"/>
      <c r="X497" s="152"/>
      <c r="Y497" s="152"/>
      <c r="Z497" s="152"/>
    </row>
    <row r="498" ht="12.8" customHeight="1" spans="1:26">
      <c r="A498" s="152"/>
      <c r="B498" s="152"/>
      <c r="C498" s="152"/>
      <c r="D498" s="152"/>
      <c r="E498" s="152"/>
      <c r="F498" s="152"/>
      <c r="G498" s="152"/>
      <c r="H498" s="152"/>
      <c r="I498" s="152"/>
      <c r="J498" s="152"/>
      <c r="K498" s="152"/>
      <c r="L498" s="152"/>
      <c r="M498" s="152"/>
      <c r="N498" s="152"/>
      <c r="O498" s="152"/>
      <c r="P498" s="152"/>
      <c r="Q498" s="152"/>
      <c r="R498" s="152"/>
      <c r="S498" s="152"/>
      <c r="T498" s="152"/>
      <c r="U498" s="152"/>
      <c r="V498" s="152"/>
      <c r="W498" s="152"/>
      <c r="X498" s="152"/>
      <c r="Y498" s="152"/>
      <c r="Z498" s="152"/>
    </row>
    <row r="499" ht="12.8" customHeight="1" spans="1:26">
      <c r="A499" s="152"/>
      <c r="B499" s="152"/>
      <c r="C499" s="152"/>
      <c r="D499" s="152"/>
      <c r="E499" s="152"/>
      <c r="F499" s="152"/>
      <c r="G499" s="152"/>
      <c r="H499" s="152"/>
      <c r="I499" s="152"/>
      <c r="J499" s="152"/>
      <c r="K499" s="152"/>
      <c r="L499" s="152"/>
      <c r="M499" s="152"/>
      <c r="N499" s="152"/>
      <c r="O499" s="152"/>
      <c r="P499" s="152"/>
      <c r="Q499" s="152"/>
      <c r="R499" s="152"/>
      <c r="S499" s="152"/>
      <c r="T499" s="152"/>
      <c r="U499" s="152"/>
      <c r="V499" s="152"/>
      <c r="W499" s="152"/>
      <c r="X499" s="152"/>
      <c r="Y499" s="152"/>
      <c r="Z499" s="152"/>
    </row>
    <row r="500" ht="12.8" customHeight="1" spans="1:26">
      <c r="A500" s="152"/>
      <c r="B500" s="152"/>
      <c r="C500" s="152"/>
      <c r="D500" s="152"/>
      <c r="E500" s="152"/>
      <c r="F500" s="152"/>
      <c r="G500" s="152"/>
      <c r="H500" s="152"/>
      <c r="I500" s="152"/>
      <c r="J500" s="152"/>
      <c r="K500" s="152"/>
      <c r="L500" s="152"/>
      <c r="M500" s="152"/>
      <c r="N500" s="152"/>
      <c r="O500" s="152"/>
      <c r="P500" s="152"/>
      <c r="Q500" s="152"/>
      <c r="R500" s="152"/>
      <c r="S500" s="152"/>
      <c r="T500" s="152"/>
      <c r="U500" s="152"/>
      <c r="V500" s="152"/>
      <c r="W500" s="152"/>
      <c r="X500" s="152"/>
      <c r="Y500" s="152"/>
      <c r="Z500" s="152"/>
    </row>
    <row r="501" ht="12.8" customHeight="1" spans="1:26">
      <c r="A501" s="152"/>
      <c r="B501" s="152"/>
      <c r="C501" s="152"/>
      <c r="D501" s="152"/>
      <c r="E501" s="152"/>
      <c r="F501" s="152"/>
      <c r="G501" s="152"/>
      <c r="H501" s="152"/>
      <c r="I501" s="152"/>
      <c r="J501" s="152"/>
      <c r="K501" s="152"/>
      <c r="L501" s="152"/>
      <c r="M501" s="152"/>
      <c r="N501" s="152"/>
      <c r="O501" s="152"/>
      <c r="P501" s="152"/>
      <c r="Q501" s="152"/>
      <c r="R501" s="152"/>
      <c r="S501" s="152"/>
      <c r="T501" s="152"/>
      <c r="U501" s="152"/>
      <c r="V501" s="152"/>
      <c r="W501" s="152"/>
      <c r="X501" s="152"/>
      <c r="Y501" s="152"/>
      <c r="Z501" s="152"/>
    </row>
    <row r="502" ht="12.8" customHeight="1" spans="1:26">
      <c r="A502" s="152"/>
      <c r="B502" s="152"/>
      <c r="C502" s="152"/>
      <c r="D502" s="152"/>
      <c r="E502" s="152"/>
      <c r="F502" s="152"/>
      <c r="G502" s="152"/>
      <c r="H502" s="152"/>
      <c r="I502" s="152"/>
      <c r="J502" s="152"/>
      <c r="K502" s="152"/>
      <c r="L502" s="152"/>
      <c r="M502" s="152"/>
      <c r="N502" s="152"/>
      <c r="O502" s="152"/>
      <c r="P502" s="152"/>
      <c r="Q502" s="152"/>
      <c r="R502" s="152"/>
      <c r="S502" s="152"/>
      <c r="T502" s="152"/>
      <c r="U502" s="152"/>
      <c r="V502" s="152"/>
      <c r="W502" s="152"/>
      <c r="X502" s="152"/>
      <c r="Y502" s="152"/>
      <c r="Z502" s="152"/>
    </row>
    <row r="503" ht="12.8" customHeight="1" spans="1:26">
      <c r="A503" s="152"/>
      <c r="B503" s="152"/>
      <c r="C503" s="152"/>
      <c r="D503" s="152"/>
      <c r="E503" s="152"/>
      <c r="F503" s="152"/>
      <c r="G503" s="152"/>
      <c r="H503" s="152"/>
      <c r="I503" s="152"/>
      <c r="J503" s="152"/>
      <c r="K503" s="152"/>
      <c r="L503" s="152"/>
      <c r="M503" s="152"/>
      <c r="N503" s="152"/>
      <c r="O503" s="152"/>
      <c r="P503" s="152"/>
      <c r="Q503" s="152"/>
      <c r="R503" s="152"/>
      <c r="S503" s="152"/>
      <c r="T503" s="152"/>
      <c r="U503" s="152"/>
      <c r="V503" s="152"/>
      <c r="W503" s="152"/>
      <c r="X503" s="152"/>
      <c r="Y503" s="152"/>
      <c r="Z503" s="152"/>
    </row>
    <row r="504" ht="12.8" customHeight="1" spans="1:26">
      <c r="A504" s="152"/>
      <c r="B504" s="152"/>
      <c r="C504" s="152"/>
      <c r="D504" s="152"/>
      <c r="E504" s="152"/>
      <c r="F504" s="152"/>
      <c r="G504" s="152"/>
      <c r="H504" s="152"/>
      <c r="I504" s="152"/>
      <c r="J504" s="152"/>
      <c r="K504" s="152"/>
      <c r="L504" s="152"/>
      <c r="M504" s="152"/>
      <c r="N504" s="152"/>
      <c r="O504" s="152"/>
      <c r="P504" s="152"/>
      <c r="Q504" s="152"/>
      <c r="R504" s="152"/>
      <c r="S504" s="152"/>
      <c r="T504" s="152"/>
      <c r="U504" s="152"/>
      <c r="V504" s="152"/>
      <c r="W504" s="152"/>
      <c r="X504" s="152"/>
      <c r="Y504" s="152"/>
      <c r="Z504" s="152"/>
    </row>
    <row r="505" ht="12.8" customHeight="1" spans="1:26">
      <c r="A505" s="152"/>
      <c r="B505" s="152"/>
      <c r="C505" s="152"/>
      <c r="D505" s="152"/>
      <c r="E505" s="152"/>
      <c r="F505" s="152"/>
      <c r="G505" s="152"/>
      <c r="H505" s="152"/>
      <c r="I505" s="152"/>
      <c r="J505" s="152"/>
      <c r="K505" s="152"/>
      <c r="L505" s="152"/>
      <c r="M505" s="152"/>
      <c r="N505" s="152"/>
      <c r="O505" s="152"/>
      <c r="P505" s="152"/>
      <c r="Q505" s="152"/>
      <c r="R505" s="152"/>
      <c r="S505" s="152"/>
      <c r="T505" s="152"/>
      <c r="U505" s="152"/>
      <c r="V505" s="152"/>
      <c r="W505" s="152"/>
      <c r="X505" s="152"/>
      <c r="Y505" s="152"/>
      <c r="Z505" s="152"/>
    </row>
    <row r="506" ht="12.8" customHeight="1" spans="1:26">
      <c r="A506" s="152"/>
      <c r="B506" s="152"/>
      <c r="C506" s="152"/>
      <c r="D506" s="152"/>
      <c r="E506" s="152"/>
      <c r="F506" s="152"/>
      <c r="G506" s="152"/>
      <c r="H506" s="152"/>
      <c r="I506" s="152"/>
      <c r="J506" s="152"/>
      <c r="K506" s="152"/>
      <c r="L506" s="152"/>
      <c r="M506" s="152"/>
      <c r="N506" s="152"/>
      <c r="O506" s="152"/>
      <c r="P506" s="152"/>
      <c r="Q506" s="152"/>
      <c r="R506" s="152"/>
      <c r="S506" s="152"/>
      <c r="T506" s="152"/>
      <c r="U506" s="152"/>
      <c r="V506" s="152"/>
      <c r="W506" s="152"/>
      <c r="X506" s="152"/>
      <c r="Y506" s="152"/>
      <c r="Z506" s="152"/>
    </row>
    <row r="507" ht="12.8" customHeight="1" spans="1:26">
      <c r="A507" s="152"/>
      <c r="B507" s="152"/>
      <c r="C507" s="152"/>
      <c r="D507" s="152"/>
      <c r="E507" s="152"/>
      <c r="F507" s="152"/>
      <c r="G507" s="152"/>
      <c r="H507" s="152"/>
      <c r="I507" s="152"/>
      <c r="J507" s="152"/>
      <c r="K507" s="152"/>
      <c r="L507" s="152"/>
      <c r="M507" s="152"/>
      <c r="N507" s="152"/>
      <c r="O507" s="152"/>
      <c r="P507" s="152"/>
      <c r="Q507" s="152"/>
      <c r="R507" s="152"/>
      <c r="S507" s="152"/>
      <c r="T507" s="152"/>
      <c r="U507" s="152"/>
      <c r="V507" s="152"/>
      <c r="W507" s="152"/>
      <c r="X507" s="152"/>
      <c r="Y507" s="152"/>
      <c r="Z507" s="152"/>
    </row>
    <row r="508" ht="12.8" customHeight="1" spans="1:26">
      <c r="A508" s="152"/>
      <c r="B508" s="152"/>
      <c r="C508" s="152"/>
      <c r="D508" s="152"/>
      <c r="E508" s="152"/>
      <c r="F508" s="152"/>
      <c r="G508" s="152"/>
      <c r="H508" s="152"/>
      <c r="I508" s="152"/>
      <c r="J508" s="152"/>
      <c r="K508" s="152"/>
      <c r="L508" s="152"/>
      <c r="M508" s="152"/>
      <c r="N508" s="152"/>
      <c r="O508" s="152"/>
      <c r="P508" s="152"/>
      <c r="Q508" s="152"/>
      <c r="R508" s="152"/>
      <c r="S508" s="152"/>
      <c r="T508" s="152"/>
      <c r="U508" s="152"/>
      <c r="V508" s="152"/>
      <c r="W508" s="152"/>
      <c r="X508" s="152"/>
      <c r="Y508" s="152"/>
      <c r="Z508" s="152"/>
    </row>
    <row r="509" ht="12.8" customHeight="1" spans="1:26">
      <c r="A509" s="152"/>
      <c r="B509" s="152"/>
      <c r="C509" s="152"/>
      <c r="D509" s="152"/>
      <c r="E509" s="152"/>
      <c r="F509" s="152"/>
      <c r="G509" s="152"/>
      <c r="H509" s="152"/>
      <c r="I509" s="152"/>
      <c r="J509" s="152"/>
      <c r="K509" s="152"/>
      <c r="L509" s="152"/>
      <c r="M509" s="152"/>
      <c r="N509" s="152"/>
      <c r="O509" s="152"/>
      <c r="P509" s="152"/>
      <c r="Q509" s="152"/>
      <c r="R509" s="152"/>
      <c r="S509" s="152"/>
      <c r="T509" s="152"/>
      <c r="U509" s="152"/>
      <c r="V509" s="152"/>
      <c r="W509" s="152"/>
      <c r="X509" s="152"/>
      <c r="Y509" s="152"/>
      <c r="Z509" s="152"/>
    </row>
    <row r="510" ht="12.8" customHeight="1" spans="1:26">
      <c r="A510" s="152"/>
      <c r="B510" s="152"/>
      <c r="C510" s="152"/>
      <c r="D510" s="152"/>
      <c r="E510" s="152"/>
      <c r="F510" s="152"/>
      <c r="G510" s="152"/>
      <c r="H510" s="152"/>
      <c r="I510" s="152"/>
      <c r="J510" s="152"/>
      <c r="K510" s="152"/>
      <c r="L510" s="152"/>
      <c r="M510" s="152"/>
      <c r="N510" s="152"/>
      <c r="O510" s="152"/>
      <c r="P510" s="152"/>
      <c r="Q510" s="152"/>
      <c r="R510" s="152"/>
      <c r="S510" s="152"/>
      <c r="T510" s="152"/>
      <c r="U510" s="152"/>
      <c r="V510" s="152"/>
      <c r="W510" s="152"/>
      <c r="X510" s="152"/>
      <c r="Y510" s="152"/>
      <c r="Z510" s="152"/>
    </row>
    <row r="511" ht="12.8" customHeight="1" spans="1:26">
      <c r="A511" s="152"/>
      <c r="B511" s="152"/>
      <c r="C511" s="152"/>
      <c r="D511" s="152"/>
      <c r="E511" s="152"/>
      <c r="F511" s="152"/>
      <c r="G511" s="152"/>
      <c r="H511" s="152"/>
      <c r="I511" s="152"/>
      <c r="J511" s="152"/>
      <c r="K511" s="152"/>
      <c r="L511" s="152"/>
      <c r="M511" s="152"/>
      <c r="N511" s="152"/>
      <c r="O511" s="152"/>
      <c r="P511" s="152"/>
      <c r="Q511" s="152"/>
      <c r="R511" s="152"/>
      <c r="S511" s="152"/>
      <c r="T511" s="152"/>
      <c r="U511" s="152"/>
      <c r="V511" s="152"/>
      <c r="W511" s="152"/>
      <c r="X511" s="152"/>
      <c r="Y511" s="152"/>
      <c r="Z511" s="152"/>
    </row>
    <row r="512" ht="12.8" customHeight="1" spans="1:26">
      <c r="A512" s="152"/>
      <c r="B512" s="152"/>
      <c r="C512" s="152"/>
      <c r="D512" s="152"/>
      <c r="E512" s="152"/>
      <c r="F512" s="152"/>
      <c r="G512" s="152"/>
      <c r="H512" s="152"/>
      <c r="I512" s="152"/>
      <c r="J512" s="152"/>
      <c r="K512" s="152"/>
      <c r="L512" s="152"/>
      <c r="M512" s="152"/>
      <c r="N512" s="152"/>
      <c r="O512" s="152"/>
      <c r="P512" s="152"/>
      <c r="Q512" s="152"/>
      <c r="R512" s="152"/>
      <c r="S512" s="152"/>
      <c r="T512" s="152"/>
      <c r="U512" s="152"/>
      <c r="V512" s="152"/>
      <c r="W512" s="152"/>
      <c r="X512" s="152"/>
      <c r="Y512" s="152"/>
      <c r="Z512" s="152"/>
    </row>
    <row r="513" ht="12.8" customHeight="1" spans="1:26">
      <c r="A513" s="152"/>
      <c r="B513" s="152"/>
      <c r="C513" s="152"/>
      <c r="D513" s="152"/>
      <c r="E513" s="152"/>
      <c r="F513" s="152"/>
      <c r="G513" s="152"/>
      <c r="H513" s="152"/>
      <c r="I513" s="152"/>
      <c r="J513" s="152"/>
      <c r="K513" s="152"/>
      <c r="L513" s="152"/>
      <c r="M513" s="152"/>
      <c r="N513" s="152"/>
      <c r="O513" s="152"/>
      <c r="P513" s="152"/>
      <c r="Q513" s="152"/>
      <c r="R513" s="152"/>
      <c r="S513" s="152"/>
      <c r="T513" s="152"/>
      <c r="U513" s="152"/>
      <c r="V513" s="152"/>
      <c r="W513" s="152"/>
      <c r="X513" s="152"/>
      <c r="Y513" s="152"/>
      <c r="Z513" s="152"/>
    </row>
    <row r="514" ht="12.8" customHeight="1" spans="1:26">
      <c r="A514" s="152"/>
      <c r="B514" s="152"/>
      <c r="C514" s="152"/>
      <c r="D514" s="152"/>
      <c r="E514" s="152"/>
      <c r="F514" s="152"/>
      <c r="G514" s="152"/>
      <c r="H514" s="152"/>
      <c r="I514" s="152"/>
      <c r="J514" s="152"/>
      <c r="K514" s="152"/>
      <c r="L514" s="152"/>
      <c r="M514" s="152"/>
      <c r="N514" s="152"/>
      <c r="O514" s="152"/>
      <c r="P514" s="152"/>
      <c r="Q514" s="152"/>
      <c r="R514" s="152"/>
      <c r="S514" s="152"/>
      <c r="T514" s="152"/>
      <c r="U514" s="152"/>
      <c r="V514" s="152"/>
      <c r="W514" s="152"/>
      <c r="X514" s="152"/>
      <c r="Y514" s="152"/>
      <c r="Z514" s="152"/>
    </row>
    <row r="515" ht="12.8" customHeight="1" spans="1:26">
      <c r="A515" s="152"/>
      <c r="B515" s="152"/>
      <c r="C515" s="152"/>
      <c r="D515" s="152"/>
      <c r="E515" s="152"/>
      <c r="F515" s="152"/>
      <c r="G515" s="152"/>
      <c r="H515" s="152"/>
      <c r="I515" s="152"/>
      <c r="J515" s="152"/>
      <c r="K515" s="152"/>
      <c r="L515" s="152"/>
      <c r="M515" s="152"/>
      <c r="N515" s="152"/>
      <c r="O515" s="152"/>
      <c r="P515" s="152"/>
      <c r="Q515" s="152"/>
      <c r="R515" s="152"/>
      <c r="S515" s="152"/>
      <c r="T515" s="152"/>
      <c r="U515" s="152"/>
      <c r="V515" s="152"/>
      <c r="W515" s="152"/>
      <c r="X515" s="152"/>
      <c r="Y515" s="152"/>
      <c r="Z515" s="152"/>
    </row>
    <row r="516" ht="12.8" customHeight="1" spans="1:26">
      <c r="A516" s="152"/>
      <c r="B516" s="152"/>
      <c r="C516" s="152"/>
      <c r="D516" s="152"/>
      <c r="E516" s="152"/>
      <c r="F516" s="152"/>
      <c r="G516" s="152"/>
      <c r="H516" s="152"/>
      <c r="I516" s="152"/>
      <c r="J516" s="152"/>
      <c r="K516" s="152"/>
      <c r="L516" s="152"/>
      <c r="M516" s="152"/>
      <c r="N516" s="152"/>
      <c r="O516" s="152"/>
      <c r="P516" s="152"/>
      <c r="Q516" s="152"/>
      <c r="R516" s="152"/>
      <c r="S516" s="152"/>
      <c r="T516" s="152"/>
      <c r="U516" s="152"/>
      <c r="V516" s="152"/>
      <c r="W516" s="152"/>
      <c r="X516" s="152"/>
      <c r="Y516" s="152"/>
      <c r="Z516" s="152"/>
    </row>
    <row r="517" ht="12.8" customHeight="1" spans="1:26">
      <c r="A517" s="152"/>
      <c r="B517" s="152"/>
      <c r="C517" s="152"/>
      <c r="D517" s="152"/>
      <c r="E517" s="152"/>
      <c r="F517" s="152"/>
      <c r="G517" s="152"/>
      <c r="H517" s="152"/>
      <c r="I517" s="152"/>
      <c r="J517" s="152"/>
      <c r="K517" s="152"/>
      <c r="L517" s="152"/>
      <c r="M517" s="152"/>
      <c r="N517" s="152"/>
      <c r="O517" s="152"/>
      <c r="P517" s="152"/>
      <c r="Q517" s="152"/>
      <c r="R517" s="152"/>
      <c r="S517" s="152"/>
      <c r="T517" s="152"/>
      <c r="U517" s="152"/>
      <c r="V517" s="152"/>
      <c r="W517" s="152"/>
      <c r="X517" s="152"/>
      <c r="Y517" s="152"/>
      <c r="Z517" s="152"/>
    </row>
    <row r="518" ht="12.8" customHeight="1" spans="1:26">
      <c r="A518" s="152"/>
      <c r="B518" s="152"/>
      <c r="C518" s="152"/>
      <c r="D518" s="152"/>
      <c r="E518" s="152"/>
      <c r="F518" s="152"/>
      <c r="G518" s="152"/>
      <c r="H518" s="152"/>
      <c r="I518" s="152"/>
      <c r="J518" s="152"/>
      <c r="K518" s="152"/>
      <c r="L518" s="152"/>
      <c r="M518" s="152"/>
      <c r="N518" s="152"/>
      <c r="O518" s="152"/>
      <c r="P518" s="152"/>
      <c r="Q518" s="152"/>
      <c r="R518" s="152"/>
      <c r="S518" s="152"/>
      <c r="T518" s="152"/>
      <c r="U518" s="152"/>
      <c r="V518" s="152"/>
      <c r="W518" s="152"/>
      <c r="X518" s="152"/>
      <c r="Y518" s="152"/>
      <c r="Z518" s="152"/>
    </row>
    <row r="519" ht="12.8" customHeight="1" spans="1:26">
      <c r="A519" s="152"/>
      <c r="B519" s="152"/>
      <c r="C519" s="152"/>
      <c r="D519" s="152"/>
      <c r="E519" s="152"/>
      <c r="F519" s="152"/>
      <c r="G519" s="152"/>
      <c r="H519" s="152"/>
      <c r="I519" s="152"/>
      <c r="J519" s="152"/>
      <c r="K519" s="152"/>
      <c r="L519" s="152"/>
      <c r="M519" s="152"/>
      <c r="N519" s="152"/>
      <c r="O519" s="152"/>
      <c r="P519" s="152"/>
      <c r="Q519" s="152"/>
      <c r="R519" s="152"/>
      <c r="S519" s="152"/>
      <c r="T519" s="152"/>
      <c r="U519" s="152"/>
      <c r="V519" s="152"/>
      <c r="W519" s="152"/>
      <c r="X519" s="152"/>
      <c r="Y519" s="152"/>
      <c r="Z519" s="152"/>
    </row>
    <row r="520" ht="12.8" customHeight="1" spans="1:26">
      <c r="A520" s="152"/>
      <c r="B520" s="152"/>
      <c r="C520" s="152"/>
      <c r="D520" s="152"/>
      <c r="E520" s="152"/>
      <c r="F520" s="152"/>
      <c r="G520" s="152"/>
      <c r="H520" s="152"/>
      <c r="I520" s="152"/>
      <c r="J520" s="152"/>
      <c r="K520" s="152"/>
      <c r="L520" s="152"/>
      <c r="M520" s="152"/>
      <c r="N520" s="152"/>
      <c r="O520" s="152"/>
      <c r="P520" s="152"/>
      <c r="Q520" s="152"/>
      <c r="R520" s="152"/>
      <c r="S520" s="152"/>
      <c r="T520" s="152"/>
      <c r="U520" s="152"/>
      <c r="V520" s="152"/>
      <c r="W520" s="152"/>
      <c r="X520" s="152"/>
      <c r="Y520" s="152"/>
      <c r="Z520" s="152"/>
    </row>
    <row r="521" ht="12.8" customHeight="1" spans="1:26">
      <c r="A521" s="152"/>
      <c r="B521" s="152"/>
      <c r="C521" s="152"/>
      <c r="D521" s="152"/>
      <c r="E521" s="152"/>
      <c r="F521" s="152"/>
      <c r="G521" s="152"/>
      <c r="H521" s="152"/>
      <c r="I521" s="152"/>
      <c r="J521" s="152"/>
      <c r="K521" s="152"/>
      <c r="L521" s="152"/>
      <c r="M521" s="152"/>
      <c r="N521" s="152"/>
      <c r="O521" s="152"/>
      <c r="P521" s="152"/>
      <c r="Q521" s="152"/>
      <c r="R521" s="152"/>
      <c r="S521" s="152"/>
      <c r="T521" s="152"/>
      <c r="U521" s="152"/>
      <c r="V521" s="152"/>
      <c r="W521" s="152"/>
      <c r="X521" s="152"/>
      <c r="Y521" s="152"/>
      <c r="Z521" s="152"/>
    </row>
    <row r="522" ht="12.8" customHeight="1" spans="1:26">
      <c r="A522" s="152"/>
      <c r="B522" s="152"/>
      <c r="C522" s="152"/>
      <c r="D522" s="152"/>
      <c r="E522" s="152"/>
      <c r="F522" s="152"/>
      <c r="G522" s="152"/>
      <c r="H522" s="152"/>
      <c r="I522" s="152"/>
      <c r="J522" s="152"/>
      <c r="K522" s="152"/>
      <c r="L522" s="152"/>
      <c r="M522" s="152"/>
      <c r="N522" s="152"/>
      <c r="O522" s="152"/>
      <c r="P522" s="152"/>
      <c r="Q522" s="152"/>
      <c r="R522" s="152"/>
      <c r="S522" s="152"/>
      <c r="T522" s="152"/>
      <c r="U522" s="152"/>
      <c r="V522" s="152"/>
      <c r="W522" s="152"/>
      <c r="X522" s="152"/>
      <c r="Y522" s="152"/>
      <c r="Z522" s="152"/>
    </row>
    <row r="523" ht="12.8" customHeight="1" spans="1:26">
      <c r="A523" s="152"/>
      <c r="B523" s="152"/>
      <c r="C523" s="152"/>
      <c r="D523" s="152"/>
      <c r="E523" s="152"/>
      <c r="F523" s="152"/>
      <c r="G523" s="152"/>
      <c r="H523" s="152"/>
      <c r="I523" s="152"/>
      <c r="J523" s="152"/>
      <c r="K523" s="152"/>
      <c r="L523" s="152"/>
      <c r="M523" s="152"/>
      <c r="N523" s="152"/>
      <c r="O523" s="152"/>
      <c r="P523" s="152"/>
      <c r="Q523" s="152"/>
      <c r="R523" s="152"/>
      <c r="S523" s="152"/>
      <c r="T523" s="152"/>
      <c r="U523" s="152"/>
      <c r="V523" s="152"/>
      <c r="W523" s="152"/>
      <c r="X523" s="152"/>
      <c r="Y523" s="152"/>
      <c r="Z523" s="152"/>
    </row>
    <row r="524" ht="12.8" customHeight="1" spans="1:26">
      <c r="A524" s="152"/>
      <c r="B524" s="152"/>
      <c r="C524" s="152"/>
      <c r="D524" s="152"/>
      <c r="E524" s="152"/>
      <c r="F524" s="152"/>
      <c r="G524" s="152"/>
      <c r="H524" s="152"/>
      <c r="I524" s="152"/>
      <c r="J524" s="152"/>
      <c r="K524" s="152"/>
      <c r="L524" s="152"/>
      <c r="M524" s="152"/>
      <c r="N524" s="152"/>
      <c r="O524" s="152"/>
      <c r="P524" s="152"/>
      <c r="Q524" s="152"/>
      <c r="R524" s="152"/>
      <c r="S524" s="152"/>
      <c r="T524" s="152"/>
      <c r="U524" s="152"/>
      <c r="V524" s="152"/>
      <c r="W524" s="152"/>
      <c r="X524" s="152"/>
      <c r="Y524" s="152"/>
      <c r="Z524" s="152"/>
    </row>
    <row r="525" ht="12.8" customHeight="1" spans="1:26">
      <c r="A525" s="152"/>
      <c r="B525" s="152"/>
      <c r="C525" s="152"/>
      <c r="D525" s="152"/>
      <c r="E525" s="152"/>
      <c r="F525" s="152"/>
      <c r="G525" s="152"/>
      <c r="H525" s="152"/>
      <c r="I525" s="152"/>
      <c r="J525" s="152"/>
      <c r="K525" s="152"/>
      <c r="L525" s="152"/>
      <c r="M525" s="152"/>
      <c r="N525" s="152"/>
      <c r="O525" s="152"/>
      <c r="P525" s="152"/>
      <c r="Q525" s="152"/>
      <c r="R525" s="152"/>
      <c r="S525" s="152"/>
      <c r="T525" s="152"/>
      <c r="U525" s="152"/>
      <c r="V525" s="152"/>
      <c r="W525" s="152"/>
      <c r="X525" s="152"/>
      <c r="Y525" s="152"/>
      <c r="Z525" s="152"/>
    </row>
    <row r="526" ht="12.8" customHeight="1" spans="1:26">
      <c r="A526" s="152"/>
      <c r="B526" s="152"/>
      <c r="C526" s="152"/>
      <c r="D526" s="152"/>
      <c r="E526" s="152"/>
      <c r="F526" s="152"/>
      <c r="G526" s="152"/>
      <c r="H526" s="152"/>
      <c r="I526" s="152"/>
      <c r="J526" s="152"/>
      <c r="K526" s="152"/>
      <c r="L526" s="152"/>
      <c r="M526" s="152"/>
      <c r="N526" s="152"/>
      <c r="O526" s="152"/>
      <c r="P526" s="152"/>
      <c r="Q526" s="152"/>
      <c r="R526" s="152"/>
      <c r="S526" s="152"/>
      <c r="T526" s="152"/>
      <c r="U526" s="152"/>
      <c r="V526" s="152"/>
      <c r="W526" s="152"/>
      <c r="X526" s="152"/>
      <c r="Y526" s="152"/>
      <c r="Z526" s="152"/>
    </row>
    <row r="527" ht="12.8" customHeight="1" spans="1:26">
      <c r="A527" s="152"/>
      <c r="B527" s="152"/>
      <c r="C527" s="152"/>
      <c r="D527" s="152"/>
      <c r="E527" s="152"/>
      <c r="F527" s="152"/>
      <c r="G527" s="152"/>
      <c r="H527" s="152"/>
      <c r="I527" s="152"/>
      <c r="J527" s="152"/>
      <c r="K527" s="152"/>
      <c r="L527" s="152"/>
      <c r="M527" s="152"/>
      <c r="N527" s="152"/>
      <c r="O527" s="152"/>
      <c r="P527" s="152"/>
      <c r="Q527" s="152"/>
      <c r="R527" s="152"/>
      <c r="S527" s="152"/>
      <c r="T527" s="152"/>
      <c r="U527" s="152"/>
      <c r="V527" s="152"/>
      <c r="W527" s="152"/>
      <c r="X527" s="152"/>
      <c r="Y527" s="152"/>
      <c r="Z527" s="152"/>
    </row>
    <row r="528" ht="12.8" customHeight="1" spans="1:26">
      <c r="A528" s="152"/>
      <c r="B528" s="152"/>
      <c r="C528" s="152"/>
      <c r="D528" s="152"/>
      <c r="E528" s="152"/>
      <c r="F528" s="152"/>
      <c r="G528" s="152"/>
      <c r="H528" s="152"/>
      <c r="I528" s="152"/>
      <c r="J528" s="152"/>
      <c r="K528" s="152"/>
      <c r="L528" s="152"/>
      <c r="M528" s="152"/>
      <c r="N528" s="152"/>
      <c r="O528" s="152"/>
      <c r="P528" s="152"/>
      <c r="Q528" s="152"/>
      <c r="R528" s="152"/>
      <c r="S528" s="152"/>
      <c r="T528" s="152"/>
      <c r="U528" s="152"/>
      <c r="V528" s="152"/>
      <c r="W528" s="152"/>
      <c r="X528" s="152"/>
      <c r="Y528" s="152"/>
      <c r="Z528" s="152"/>
    </row>
    <row r="529" ht="12.8" customHeight="1" spans="1:26">
      <c r="A529" s="152"/>
      <c r="B529" s="152"/>
      <c r="C529" s="152"/>
      <c r="D529" s="152"/>
      <c r="E529" s="152"/>
      <c r="F529" s="152"/>
      <c r="G529" s="152"/>
      <c r="H529" s="152"/>
      <c r="I529" s="152"/>
      <c r="J529" s="152"/>
      <c r="K529" s="152"/>
      <c r="L529" s="152"/>
      <c r="M529" s="152"/>
      <c r="N529" s="152"/>
      <c r="O529" s="152"/>
      <c r="P529" s="152"/>
      <c r="Q529" s="152"/>
      <c r="R529" s="152"/>
      <c r="S529" s="152"/>
      <c r="T529" s="152"/>
      <c r="U529" s="152"/>
      <c r="V529" s="152"/>
      <c r="W529" s="152"/>
      <c r="X529" s="152"/>
      <c r="Y529" s="152"/>
      <c r="Z529" s="152"/>
    </row>
    <row r="530" ht="12.8" customHeight="1" spans="1:26">
      <c r="A530" s="152"/>
      <c r="B530" s="152"/>
      <c r="C530" s="152"/>
      <c r="D530" s="152"/>
      <c r="E530" s="152"/>
      <c r="F530" s="152"/>
      <c r="G530" s="152"/>
      <c r="H530" s="152"/>
      <c r="I530" s="152"/>
      <c r="J530" s="152"/>
      <c r="K530" s="152"/>
      <c r="L530" s="152"/>
      <c r="M530" s="152"/>
      <c r="N530" s="152"/>
      <c r="O530" s="152"/>
      <c r="P530" s="152"/>
      <c r="Q530" s="152"/>
      <c r="R530" s="152"/>
      <c r="S530" s="152"/>
      <c r="T530" s="152"/>
      <c r="U530" s="152"/>
      <c r="V530" s="152"/>
      <c r="W530" s="152"/>
      <c r="X530" s="152"/>
      <c r="Y530" s="152"/>
      <c r="Z530" s="152"/>
    </row>
    <row r="531" ht="12.8" customHeight="1" spans="1:26">
      <c r="A531" s="152"/>
      <c r="B531" s="152"/>
      <c r="C531" s="152"/>
      <c r="D531" s="152"/>
      <c r="E531" s="152"/>
      <c r="F531" s="152"/>
      <c r="G531" s="152"/>
      <c r="H531" s="152"/>
      <c r="I531" s="152"/>
      <c r="J531" s="152"/>
      <c r="K531" s="152"/>
      <c r="L531" s="152"/>
      <c r="M531" s="152"/>
      <c r="N531" s="152"/>
      <c r="O531" s="152"/>
      <c r="P531" s="152"/>
      <c r="Q531" s="152"/>
      <c r="R531" s="152"/>
      <c r="S531" s="152"/>
      <c r="T531" s="152"/>
      <c r="U531" s="152"/>
      <c r="V531" s="152"/>
      <c r="W531" s="152"/>
      <c r="X531" s="152"/>
      <c r="Y531" s="152"/>
      <c r="Z531" s="152"/>
    </row>
    <row r="532" ht="12.8" customHeight="1" spans="1:26">
      <c r="A532" s="152"/>
      <c r="B532" s="152"/>
      <c r="C532" s="152"/>
      <c r="D532" s="152"/>
      <c r="E532" s="152"/>
      <c r="F532" s="152"/>
      <c r="G532" s="152"/>
      <c r="H532" s="152"/>
      <c r="I532" s="152"/>
      <c r="J532" s="152"/>
      <c r="K532" s="152"/>
      <c r="L532" s="152"/>
      <c r="M532" s="152"/>
      <c r="N532" s="152"/>
      <c r="O532" s="152"/>
      <c r="P532" s="152"/>
      <c r="Q532" s="152"/>
      <c r="R532" s="152"/>
      <c r="S532" s="152"/>
      <c r="T532" s="152"/>
      <c r="U532" s="152"/>
      <c r="V532" s="152"/>
      <c r="W532" s="152"/>
      <c r="X532" s="152"/>
      <c r="Y532" s="152"/>
      <c r="Z532" s="152"/>
    </row>
    <row r="533" ht="12.8" customHeight="1" spans="1:26">
      <c r="A533" s="152"/>
      <c r="B533" s="152"/>
      <c r="C533" s="152"/>
      <c r="D533" s="152"/>
      <c r="E533" s="152"/>
      <c r="F533" s="152"/>
      <c r="G533" s="152"/>
      <c r="H533" s="152"/>
      <c r="I533" s="152"/>
      <c r="J533" s="152"/>
      <c r="K533" s="152"/>
      <c r="L533" s="152"/>
      <c r="M533" s="152"/>
      <c r="N533" s="152"/>
      <c r="O533" s="152"/>
      <c r="P533" s="152"/>
      <c r="Q533" s="152"/>
      <c r="R533" s="152"/>
      <c r="S533" s="152"/>
      <c r="T533" s="152"/>
      <c r="U533" s="152"/>
      <c r="V533" s="152"/>
      <c r="W533" s="152"/>
      <c r="X533" s="152"/>
      <c r="Y533" s="152"/>
      <c r="Z533" s="152"/>
    </row>
    <row r="534" ht="12.8" customHeight="1" spans="1:26">
      <c r="A534" s="152"/>
      <c r="B534" s="152"/>
      <c r="C534" s="152"/>
      <c r="D534" s="152"/>
      <c r="E534" s="152"/>
      <c r="F534" s="152"/>
      <c r="G534" s="152"/>
      <c r="H534" s="152"/>
      <c r="I534" s="152"/>
      <c r="J534" s="152"/>
      <c r="K534" s="152"/>
      <c r="L534" s="152"/>
      <c r="M534" s="152"/>
      <c r="N534" s="152"/>
      <c r="O534" s="152"/>
      <c r="P534" s="152"/>
      <c r="Q534" s="152"/>
      <c r="R534" s="152"/>
      <c r="S534" s="152"/>
      <c r="T534" s="152"/>
      <c r="U534" s="152"/>
      <c r="V534" s="152"/>
      <c r="W534" s="152"/>
      <c r="X534" s="152"/>
      <c r="Y534" s="152"/>
      <c r="Z534" s="152"/>
    </row>
    <row r="535" ht="12.8" customHeight="1" spans="1:26">
      <c r="A535" s="152"/>
      <c r="B535" s="152"/>
      <c r="C535" s="152"/>
      <c r="D535" s="152"/>
      <c r="E535" s="152"/>
      <c r="F535" s="152"/>
      <c r="G535" s="152"/>
      <c r="H535" s="152"/>
      <c r="I535" s="152"/>
      <c r="J535" s="152"/>
      <c r="K535" s="152"/>
      <c r="L535" s="152"/>
      <c r="M535" s="152"/>
      <c r="N535" s="152"/>
      <c r="O535" s="152"/>
      <c r="P535" s="152"/>
      <c r="Q535" s="152"/>
      <c r="R535" s="152"/>
      <c r="S535" s="152"/>
      <c r="T535" s="152"/>
      <c r="U535" s="152"/>
      <c r="V535" s="152"/>
      <c r="W535" s="152"/>
      <c r="X535" s="152"/>
      <c r="Y535" s="152"/>
      <c r="Z535" s="152"/>
    </row>
    <row r="536" ht="12.8" customHeight="1" spans="1:26">
      <c r="A536" s="152"/>
      <c r="B536" s="152"/>
      <c r="C536" s="152"/>
      <c r="D536" s="152"/>
      <c r="E536" s="152"/>
      <c r="F536" s="152"/>
      <c r="G536" s="152"/>
      <c r="H536" s="152"/>
      <c r="I536" s="152"/>
      <c r="J536" s="152"/>
      <c r="K536" s="152"/>
      <c r="L536" s="152"/>
      <c r="M536" s="152"/>
      <c r="N536" s="152"/>
      <c r="O536" s="152"/>
      <c r="P536" s="152"/>
      <c r="Q536" s="152"/>
      <c r="R536" s="152"/>
      <c r="S536" s="152"/>
      <c r="T536" s="152"/>
      <c r="U536" s="152"/>
      <c r="V536" s="152"/>
      <c r="W536" s="152"/>
      <c r="X536" s="152"/>
      <c r="Y536" s="152"/>
      <c r="Z536" s="152"/>
    </row>
    <row r="537" ht="12.8" customHeight="1" spans="1:26">
      <c r="A537" s="152"/>
      <c r="B537" s="152"/>
      <c r="C537" s="152"/>
      <c r="D537" s="152"/>
      <c r="E537" s="152"/>
      <c r="F537" s="152"/>
      <c r="G537" s="152"/>
      <c r="H537" s="152"/>
      <c r="I537" s="152"/>
      <c r="J537" s="152"/>
      <c r="K537" s="152"/>
      <c r="L537" s="152"/>
      <c r="M537" s="152"/>
      <c r="N537" s="152"/>
      <c r="O537" s="152"/>
      <c r="P537" s="152"/>
      <c r="Q537" s="152"/>
      <c r="R537" s="152"/>
      <c r="S537" s="152"/>
      <c r="T537" s="152"/>
      <c r="U537" s="152"/>
      <c r="V537" s="152"/>
      <c r="W537" s="152"/>
      <c r="X537" s="152"/>
      <c r="Y537" s="152"/>
      <c r="Z537" s="152"/>
    </row>
    <row r="538" ht="12.8" customHeight="1" spans="1:26">
      <c r="A538" s="152"/>
      <c r="B538" s="152"/>
      <c r="C538" s="152"/>
      <c r="D538" s="152"/>
      <c r="E538" s="152"/>
      <c r="F538" s="152"/>
      <c r="G538" s="152"/>
      <c r="H538" s="152"/>
      <c r="I538" s="152"/>
      <c r="J538" s="152"/>
      <c r="K538" s="152"/>
      <c r="L538" s="152"/>
      <c r="M538" s="152"/>
      <c r="N538" s="152"/>
      <c r="O538" s="152"/>
      <c r="P538" s="152"/>
      <c r="Q538" s="152"/>
      <c r="R538" s="152"/>
      <c r="S538" s="152"/>
      <c r="T538" s="152"/>
      <c r="U538" s="152"/>
      <c r="V538" s="152"/>
      <c r="W538" s="152"/>
      <c r="X538" s="152"/>
      <c r="Y538" s="152"/>
      <c r="Z538" s="152"/>
    </row>
    <row r="539" ht="12.8" customHeight="1" spans="1:26">
      <c r="A539" s="152"/>
      <c r="B539" s="152"/>
      <c r="C539" s="152"/>
      <c r="D539" s="152"/>
      <c r="E539" s="152"/>
      <c r="F539" s="152"/>
      <c r="G539" s="152"/>
      <c r="H539" s="152"/>
      <c r="I539" s="152"/>
      <c r="J539" s="152"/>
      <c r="K539" s="152"/>
      <c r="L539" s="152"/>
      <c r="M539" s="152"/>
      <c r="N539" s="152"/>
      <c r="O539" s="152"/>
      <c r="P539" s="152"/>
      <c r="Q539" s="152"/>
      <c r="R539" s="152"/>
      <c r="S539" s="152"/>
      <c r="T539" s="152"/>
      <c r="U539" s="152"/>
      <c r="V539" s="152"/>
      <c r="W539" s="152"/>
      <c r="X539" s="152"/>
      <c r="Y539" s="152"/>
      <c r="Z539" s="152"/>
    </row>
    <row r="540" ht="12.8" customHeight="1" spans="1:26">
      <c r="A540" s="152"/>
      <c r="B540" s="152"/>
      <c r="C540" s="152"/>
      <c r="D540" s="152"/>
      <c r="E540" s="152"/>
      <c r="F540" s="152"/>
      <c r="G540" s="152"/>
      <c r="H540" s="152"/>
      <c r="I540" s="152"/>
      <c r="J540" s="152"/>
      <c r="K540" s="152"/>
      <c r="L540" s="152"/>
      <c r="M540" s="152"/>
      <c r="N540" s="152"/>
      <c r="O540" s="152"/>
      <c r="P540" s="152"/>
      <c r="Q540" s="152"/>
      <c r="R540" s="152"/>
      <c r="S540" s="152"/>
      <c r="T540" s="152"/>
      <c r="U540" s="152"/>
      <c r="V540" s="152"/>
      <c r="W540" s="152"/>
      <c r="X540" s="152"/>
      <c r="Y540" s="152"/>
      <c r="Z540" s="152"/>
    </row>
    <row r="541" ht="12.8" customHeight="1" spans="1:26">
      <c r="A541" s="152"/>
      <c r="B541" s="152"/>
      <c r="C541" s="152"/>
      <c r="D541" s="152"/>
      <c r="E541" s="152"/>
      <c r="F541" s="152"/>
      <c r="G541" s="152"/>
      <c r="H541" s="152"/>
      <c r="I541" s="152"/>
      <c r="J541" s="152"/>
      <c r="K541" s="152"/>
      <c r="L541" s="152"/>
      <c r="M541" s="152"/>
      <c r="N541" s="152"/>
      <c r="O541" s="152"/>
      <c r="P541" s="152"/>
      <c r="Q541" s="152"/>
      <c r="R541" s="152"/>
      <c r="S541" s="152"/>
      <c r="T541" s="152"/>
      <c r="U541" s="152"/>
      <c r="V541" s="152"/>
      <c r="W541" s="152"/>
      <c r="X541" s="152"/>
      <c r="Y541" s="152"/>
      <c r="Z541" s="152"/>
    </row>
    <row r="542" ht="12.8" customHeight="1" spans="1:26">
      <c r="A542" s="152"/>
      <c r="B542" s="152"/>
      <c r="C542" s="152"/>
      <c r="D542" s="152"/>
      <c r="E542" s="152"/>
      <c r="F542" s="152"/>
      <c r="G542" s="152"/>
      <c r="H542" s="152"/>
      <c r="I542" s="152"/>
      <c r="J542" s="152"/>
      <c r="K542" s="152"/>
      <c r="L542" s="152"/>
      <c r="M542" s="152"/>
      <c r="N542" s="152"/>
      <c r="O542" s="152"/>
      <c r="P542" s="152"/>
      <c r="Q542" s="152"/>
      <c r="R542" s="152"/>
      <c r="S542" s="152"/>
      <c r="T542" s="152"/>
      <c r="U542" s="152"/>
      <c r="V542" s="152"/>
      <c r="W542" s="152"/>
      <c r="X542" s="152"/>
      <c r="Y542" s="152"/>
      <c r="Z542" s="152"/>
    </row>
    <row r="543" ht="12.8" customHeight="1" spans="1:26">
      <c r="A543" s="152"/>
      <c r="B543" s="152"/>
      <c r="C543" s="152"/>
      <c r="D543" s="152"/>
      <c r="E543" s="152"/>
      <c r="F543" s="152"/>
      <c r="G543" s="152"/>
      <c r="H543" s="152"/>
      <c r="I543" s="152"/>
      <c r="J543" s="152"/>
      <c r="K543" s="152"/>
      <c r="L543" s="152"/>
      <c r="M543" s="152"/>
      <c r="N543" s="152"/>
      <c r="O543" s="152"/>
      <c r="P543" s="152"/>
      <c r="Q543" s="152"/>
      <c r="R543" s="152"/>
      <c r="S543" s="152"/>
      <c r="T543" s="152"/>
      <c r="U543" s="152"/>
      <c r="V543" s="152"/>
      <c r="W543" s="152"/>
      <c r="X543" s="152"/>
      <c r="Y543" s="152"/>
      <c r="Z543" s="152"/>
    </row>
    <row r="544" ht="12.8" customHeight="1" spans="1:26">
      <c r="A544" s="152"/>
      <c r="B544" s="152"/>
      <c r="C544" s="152"/>
      <c r="D544" s="152"/>
      <c r="E544" s="152"/>
      <c r="F544" s="152"/>
      <c r="G544" s="152"/>
      <c r="H544" s="152"/>
      <c r="I544" s="152"/>
      <c r="J544" s="152"/>
      <c r="K544" s="152"/>
      <c r="L544" s="152"/>
      <c r="M544" s="152"/>
      <c r="N544" s="152"/>
      <c r="O544" s="152"/>
      <c r="P544" s="152"/>
      <c r="Q544" s="152"/>
      <c r="R544" s="152"/>
      <c r="S544" s="152"/>
      <c r="T544" s="152"/>
      <c r="U544" s="152"/>
      <c r="V544" s="152"/>
      <c r="W544" s="152"/>
      <c r="X544" s="152"/>
      <c r="Y544" s="152"/>
      <c r="Z544" s="152"/>
    </row>
    <row r="545" ht="12.8" customHeight="1" spans="1:26">
      <c r="A545" s="152"/>
      <c r="B545" s="152"/>
      <c r="C545" s="152"/>
      <c r="D545" s="152"/>
      <c r="E545" s="152"/>
      <c r="F545" s="152"/>
      <c r="G545" s="152"/>
      <c r="H545" s="152"/>
      <c r="I545" s="152"/>
      <c r="J545" s="152"/>
      <c r="K545" s="152"/>
      <c r="L545" s="152"/>
      <c r="M545" s="152"/>
      <c r="N545" s="152"/>
      <c r="O545" s="152"/>
      <c r="P545" s="152"/>
      <c r="Q545" s="152"/>
      <c r="R545" s="152"/>
      <c r="S545" s="152"/>
      <c r="T545" s="152"/>
      <c r="U545" s="152"/>
      <c r="V545" s="152"/>
      <c r="W545" s="152"/>
      <c r="X545" s="152"/>
      <c r="Y545" s="152"/>
      <c r="Z545" s="152"/>
    </row>
    <row r="546" ht="12.8" customHeight="1" spans="1:26">
      <c r="A546" s="152"/>
      <c r="B546" s="152"/>
      <c r="C546" s="152"/>
      <c r="D546" s="152"/>
      <c r="E546" s="152"/>
      <c r="F546" s="152"/>
      <c r="G546" s="152"/>
      <c r="H546" s="152"/>
      <c r="I546" s="152"/>
      <c r="J546" s="152"/>
      <c r="K546" s="152"/>
      <c r="L546" s="152"/>
      <c r="M546" s="152"/>
      <c r="N546" s="152"/>
      <c r="O546" s="152"/>
      <c r="P546" s="152"/>
      <c r="Q546" s="152"/>
      <c r="R546" s="152"/>
      <c r="S546" s="152"/>
      <c r="T546" s="152"/>
      <c r="U546" s="152"/>
      <c r="V546" s="152"/>
      <c r="W546" s="152"/>
      <c r="X546" s="152"/>
      <c r="Y546" s="152"/>
      <c r="Z546" s="152"/>
    </row>
    <row r="547" ht="12.8" customHeight="1" spans="1:26">
      <c r="A547" s="152"/>
      <c r="B547" s="152"/>
      <c r="C547" s="152"/>
      <c r="D547" s="152"/>
      <c r="E547" s="152"/>
      <c r="F547" s="152"/>
      <c r="G547" s="152"/>
      <c r="H547" s="152"/>
      <c r="I547" s="152"/>
      <c r="J547" s="152"/>
      <c r="K547" s="152"/>
      <c r="L547" s="152"/>
      <c r="M547" s="152"/>
      <c r="N547" s="152"/>
      <c r="O547" s="152"/>
      <c r="P547" s="152"/>
      <c r="Q547" s="152"/>
      <c r="R547" s="152"/>
      <c r="S547" s="152"/>
      <c r="T547" s="152"/>
      <c r="U547" s="152"/>
      <c r="V547" s="152"/>
      <c r="W547" s="152"/>
      <c r="X547" s="152"/>
      <c r="Y547" s="152"/>
      <c r="Z547" s="152"/>
    </row>
    <row r="548" ht="12.8" customHeight="1" spans="1:26">
      <c r="A548" s="152"/>
      <c r="B548" s="152"/>
      <c r="C548" s="152"/>
      <c r="D548" s="152"/>
      <c r="E548" s="152"/>
      <c r="F548" s="152"/>
      <c r="G548" s="152"/>
      <c r="H548" s="152"/>
      <c r="I548" s="152"/>
      <c r="J548" s="152"/>
      <c r="K548" s="152"/>
      <c r="L548" s="152"/>
      <c r="M548" s="152"/>
      <c r="N548" s="152"/>
      <c r="O548" s="152"/>
      <c r="P548" s="152"/>
      <c r="Q548" s="152"/>
      <c r="R548" s="152"/>
      <c r="S548" s="152"/>
      <c r="T548" s="152"/>
      <c r="U548" s="152"/>
      <c r="V548" s="152"/>
      <c r="W548" s="152"/>
      <c r="X548" s="152"/>
      <c r="Y548" s="152"/>
      <c r="Z548" s="152"/>
    </row>
    <row r="549" ht="12.8" customHeight="1" spans="1:26">
      <c r="A549" s="152"/>
      <c r="B549" s="152"/>
      <c r="C549" s="152"/>
      <c r="D549" s="152"/>
      <c r="E549" s="152"/>
      <c r="F549" s="152"/>
      <c r="G549" s="152"/>
      <c r="H549" s="152"/>
      <c r="I549" s="152"/>
      <c r="J549" s="152"/>
      <c r="K549" s="152"/>
      <c r="L549" s="152"/>
      <c r="M549" s="152"/>
      <c r="N549" s="152"/>
      <c r="O549" s="152"/>
      <c r="P549" s="152"/>
      <c r="Q549" s="152"/>
      <c r="R549" s="152"/>
      <c r="S549" s="152"/>
      <c r="T549" s="152"/>
      <c r="U549" s="152"/>
      <c r="V549" s="152"/>
      <c r="W549" s="152"/>
      <c r="X549" s="152"/>
      <c r="Y549" s="152"/>
      <c r="Z549" s="152"/>
    </row>
    <row r="550" ht="12.8" customHeight="1" spans="1:26">
      <c r="A550" s="152"/>
      <c r="B550" s="152"/>
      <c r="C550" s="152"/>
      <c r="D550" s="152"/>
      <c r="E550" s="152"/>
      <c r="F550" s="152"/>
      <c r="G550" s="152"/>
      <c r="H550" s="152"/>
      <c r="I550" s="152"/>
      <c r="J550" s="152"/>
      <c r="K550" s="152"/>
      <c r="L550" s="152"/>
      <c r="M550" s="152"/>
      <c r="N550" s="152"/>
      <c r="O550" s="152"/>
      <c r="P550" s="152"/>
      <c r="Q550" s="152"/>
      <c r="R550" s="152"/>
      <c r="S550" s="152"/>
      <c r="T550" s="152"/>
      <c r="U550" s="152"/>
      <c r="V550" s="152"/>
      <c r="W550" s="152"/>
      <c r="X550" s="152"/>
      <c r="Y550" s="152"/>
      <c r="Z550" s="152"/>
    </row>
    <row r="551" ht="12.8" customHeight="1" spans="1:26">
      <c r="A551" s="152"/>
      <c r="B551" s="152"/>
      <c r="C551" s="152"/>
      <c r="D551" s="152"/>
      <c r="E551" s="152"/>
      <c r="F551" s="152"/>
      <c r="G551" s="152"/>
      <c r="H551" s="152"/>
      <c r="I551" s="152"/>
      <c r="J551" s="152"/>
      <c r="K551" s="152"/>
      <c r="L551" s="152"/>
      <c r="M551" s="152"/>
      <c r="N551" s="152"/>
      <c r="O551" s="152"/>
      <c r="P551" s="152"/>
      <c r="Q551" s="152"/>
      <c r="R551" s="152"/>
      <c r="S551" s="152"/>
      <c r="T551" s="152"/>
      <c r="U551" s="152"/>
      <c r="V551" s="152"/>
      <c r="W551" s="152"/>
      <c r="X551" s="152"/>
      <c r="Y551" s="152"/>
      <c r="Z551" s="152"/>
    </row>
    <row r="552" ht="12.8" customHeight="1" spans="1:26">
      <c r="A552" s="152"/>
      <c r="B552" s="152"/>
      <c r="C552" s="152"/>
      <c r="D552" s="152"/>
      <c r="E552" s="152"/>
      <c r="F552" s="152"/>
      <c r="G552" s="152"/>
      <c r="H552" s="152"/>
      <c r="I552" s="152"/>
      <c r="J552" s="152"/>
      <c r="K552" s="152"/>
      <c r="L552" s="152"/>
      <c r="M552" s="152"/>
      <c r="N552" s="152"/>
      <c r="O552" s="152"/>
      <c r="P552" s="152"/>
      <c r="Q552" s="152"/>
      <c r="R552" s="152"/>
      <c r="S552" s="152"/>
      <c r="T552" s="152"/>
      <c r="U552" s="152"/>
      <c r="V552" s="152"/>
      <c r="W552" s="152"/>
      <c r="X552" s="152"/>
      <c r="Y552" s="152"/>
      <c r="Z552" s="152"/>
    </row>
    <row r="553" ht="12.8" customHeight="1" spans="1:26">
      <c r="A553" s="152"/>
      <c r="B553" s="152"/>
      <c r="C553" s="152"/>
      <c r="D553" s="152"/>
      <c r="E553" s="152"/>
      <c r="F553" s="152"/>
      <c r="G553" s="152"/>
      <c r="H553" s="152"/>
      <c r="I553" s="152"/>
      <c r="J553" s="152"/>
      <c r="K553" s="152"/>
      <c r="L553" s="152"/>
      <c r="M553" s="152"/>
      <c r="N553" s="152"/>
      <c r="O553" s="152"/>
      <c r="P553" s="152"/>
      <c r="Q553" s="152"/>
      <c r="R553" s="152"/>
      <c r="S553" s="152"/>
      <c r="T553" s="152"/>
      <c r="U553" s="152"/>
      <c r="V553" s="152"/>
      <c r="W553" s="152"/>
      <c r="X553" s="152"/>
      <c r="Y553" s="152"/>
      <c r="Z553" s="152"/>
    </row>
    <row r="554" ht="12.8" customHeight="1" spans="1:26">
      <c r="A554" s="152"/>
      <c r="B554" s="152"/>
      <c r="C554" s="152"/>
      <c r="D554" s="152"/>
      <c r="E554" s="152"/>
      <c r="F554" s="152"/>
      <c r="G554" s="152"/>
      <c r="H554" s="152"/>
      <c r="I554" s="152"/>
      <c r="J554" s="152"/>
      <c r="K554" s="152"/>
      <c r="L554" s="152"/>
      <c r="M554" s="152"/>
      <c r="N554" s="152"/>
      <c r="O554" s="152"/>
      <c r="P554" s="152"/>
      <c r="Q554" s="152"/>
      <c r="R554" s="152"/>
      <c r="S554" s="152"/>
      <c r="T554" s="152"/>
      <c r="U554" s="152"/>
      <c r="V554" s="152"/>
      <c r="W554" s="152"/>
      <c r="X554" s="152"/>
      <c r="Y554" s="152"/>
      <c r="Z554" s="152"/>
    </row>
    <row r="555" ht="12.8" customHeight="1" spans="1:26">
      <c r="A555" s="152"/>
      <c r="B555" s="152"/>
      <c r="C555" s="152"/>
      <c r="D555" s="152"/>
      <c r="E555" s="152"/>
      <c r="F555" s="152"/>
      <c r="G555" s="152"/>
      <c r="H555" s="152"/>
      <c r="I555" s="152"/>
      <c r="J555" s="152"/>
      <c r="K555" s="152"/>
      <c r="L555" s="152"/>
      <c r="M555" s="152"/>
      <c r="N555" s="152"/>
      <c r="O555" s="152"/>
      <c r="P555" s="152"/>
      <c r="Q555" s="152"/>
      <c r="R555" s="152"/>
      <c r="S555" s="152"/>
      <c r="T555" s="152"/>
      <c r="U555" s="152"/>
      <c r="V555" s="152"/>
      <c r="W555" s="152"/>
      <c r="X555" s="152"/>
      <c r="Y555" s="152"/>
      <c r="Z555" s="152"/>
    </row>
    <row r="556" ht="12.8" customHeight="1" spans="1:26">
      <c r="A556" s="152"/>
      <c r="B556" s="152"/>
      <c r="C556" s="152"/>
      <c r="D556" s="152"/>
      <c r="E556" s="152"/>
      <c r="F556" s="152"/>
      <c r="G556" s="152"/>
      <c r="H556" s="152"/>
      <c r="I556" s="152"/>
      <c r="J556" s="152"/>
      <c r="K556" s="152"/>
      <c r="L556" s="152"/>
      <c r="M556" s="152"/>
      <c r="N556" s="152"/>
      <c r="O556" s="152"/>
      <c r="P556" s="152"/>
      <c r="Q556" s="152"/>
      <c r="R556" s="152"/>
      <c r="S556" s="152"/>
      <c r="T556" s="152"/>
      <c r="U556" s="152"/>
      <c r="V556" s="152"/>
      <c r="W556" s="152"/>
      <c r="X556" s="152"/>
      <c r="Y556" s="152"/>
      <c r="Z556" s="152"/>
    </row>
    <row r="557" ht="12.8" customHeight="1" spans="1:26">
      <c r="A557" s="152"/>
      <c r="B557" s="152"/>
      <c r="C557" s="152"/>
      <c r="D557" s="152"/>
      <c r="E557" s="152"/>
      <c r="F557" s="152"/>
      <c r="G557" s="152"/>
      <c r="H557" s="152"/>
      <c r="I557" s="152"/>
      <c r="J557" s="152"/>
      <c r="K557" s="152"/>
      <c r="L557" s="152"/>
      <c r="M557" s="152"/>
      <c r="N557" s="152"/>
      <c r="O557" s="152"/>
      <c r="P557" s="152"/>
      <c r="Q557" s="152"/>
      <c r="R557" s="152"/>
      <c r="S557" s="152"/>
      <c r="T557" s="152"/>
      <c r="U557" s="152"/>
      <c r="V557" s="152"/>
      <c r="W557" s="152"/>
      <c r="X557" s="152"/>
      <c r="Y557" s="152"/>
      <c r="Z557" s="152"/>
    </row>
    <row r="558" ht="12.8" customHeight="1" spans="1:26">
      <c r="A558" s="152"/>
      <c r="B558" s="152"/>
      <c r="C558" s="152"/>
      <c r="D558" s="152"/>
      <c r="E558" s="152"/>
      <c r="F558" s="152"/>
      <c r="G558" s="152"/>
      <c r="H558" s="152"/>
      <c r="I558" s="152"/>
      <c r="J558" s="152"/>
      <c r="K558" s="152"/>
      <c r="L558" s="152"/>
      <c r="M558" s="152"/>
      <c r="N558" s="152"/>
      <c r="O558" s="152"/>
      <c r="P558" s="152"/>
      <c r="Q558" s="152"/>
      <c r="R558" s="152"/>
      <c r="S558" s="152"/>
      <c r="T558" s="152"/>
      <c r="U558" s="152"/>
      <c r="V558" s="152"/>
      <c r="W558" s="152"/>
      <c r="X558" s="152"/>
      <c r="Y558" s="152"/>
      <c r="Z558" s="152"/>
    </row>
    <row r="559" ht="12.8" customHeight="1" spans="1:26">
      <c r="A559" s="152"/>
      <c r="B559" s="152"/>
      <c r="C559" s="152"/>
      <c r="D559" s="152"/>
      <c r="E559" s="152"/>
      <c r="F559" s="152"/>
      <c r="G559" s="152"/>
      <c r="H559" s="152"/>
      <c r="I559" s="152"/>
      <c r="J559" s="152"/>
      <c r="K559" s="152"/>
      <c r="L559" s="152"/>
      <c r="M559" s="152"/>
      <c r="N559" s="152"/>
      <c r="O559" s="152"/>
      <c r="P559" s="152"/>
      <c r="Q559" s="152"/>
      <c r="R559" s="152"/>
      <c r="S559" s="152"/>
      <c r="T559" s="152"/>
      <c r="U559" s="152"/>
      <c r="V559" s="152"/>
      <c r="W559" s="152"/>
      <c r="X559" s="152"/>
      <c r="Y559" s="152"/>
      <c r="Z559" s="152"/>
    </row>
    <row r="560" ht="12.8" customHeight="1" spans="1:26">
      <c r="A560" s="152"/>
      <c r="B560" s="152"/>
      <c r="C560" s="152"/>
      <c r="D560" s="152"/>
      <c r="E560" s="152"/>
      <c r="F560" s="152"/>
      <c r="G560" s="152"/>
      <c r="H560" s="152"/>
      <c r="I560" s="152"/>
      <c r="J560" s="152"/>
      <c r="K560" s="152"/>
      <c r="L560" s="152"/>
      <c r="M560" s="152"/>
      <c r="N560" s="152"/>
      <c r="O560" s="152"/>
      <c r="P560" s="152"/>
      <c r="Q560" s="152"/>
      <c r="R560" s="152"/>
      <c r="S560" s="152"/>
      <c r="T560" s="152"/>
      <c r="U560" s="152"/>
      <c r="V560" s="152"/>
      <c r="W560" s="152"/>
      <c r="X560" s="152"/>
      <c r="Y560" s="152"/>
      <c r="Z560" s="152"/>
    </row>
    <row r="561" ht="12.8" customHeight="1" spans="1:26">
      <c r="A561" s="152"/>
      <c r="B561" s="152"/>
      <c r="C561" s="152"/>
      <c r="D561" s="152"/>
      <c r="E561" s="152"/>
      <c r="F561" s="152"/>
      <c r="G561" s="152"/>
      <c r="H561" s="152"/>
      <c r="I561" s="152"/>
      <c r="J561" s="152"/>
      <c r="K561" s="152"/>
      <c r="L561" s="152"/>
      <c r="M561" s="152"/>
      <c r="N561" s="152"/>
      <c r="O561" s="152"/>
      <c r="P561" s="152"/>
      <c r="Q561" s="152"/>
      <c r="R561" s="152"/>
      <c r="S561" s="152"/>
      <c r="T561" s="152"/>
      <c r="U561" s="152"/>
      <c r="V561" s="152"/>
      <c r="W561" s="152"/>
      <c r="X561" s="152"/>
      <c r="Y561" s="152"/>
      <c r="Z561" s="152"/>
    </row>
    <row r="562" ht="12.8" customHeight="1" spans="1:26">
      <c r="A562" s="152"/>
      <c r="B562" s="152"/>
      <c r="C562" s="152"/>
      <c r="D562" s="152"/>
      <c r="E562" s="152"/>
      <c r="F562" s="152"/>
      <c r="G562" s="152"/>
      <c r="H562" s="152"/>
      <c r="I562" s="152"/>
      <c r="J562" s="152"/>
      <c r="K562" s="152"/>
      <c r="L562" s="152"/>
      <c r="M562" s="152"/>
      <c r="N562" s="152"/>
      <c r="O562" s="152"/>
      <c r="P562" s="152"/>
      <c r="Q562" s="152"/>
      <c r="R562" s="152"/>
      <c r="S562" s="152"/>
      <c r="T562" s="152"/>
      <c r="U562" s="152"/>
      <c r="V562" s="152"/>
      <c r="W562" s="152"/>
      <c r="X562" s="152"/>
      <c r="Y562" s="152"/>
      <c r="Z562" s="152"/>
    </row>
    <row r="563" ht="12.8" customHeight="1" spans="1:26">
      <c r="A563" s="152"/>
      <c r="B563" s="152"/>
      <c r="C563" s="152"/>
      <c r="D563" s="152"/>
      <c r="E563" s="152"/>
      <c r="F563" s="152"/>
      <c r="G563" s="152"/>
      <c r="H563" s="152"/>
      <c r="I563" s="152"/>
      <c r="J563" s="152"/>
      <c r="K563" s="152"/>
      <c r="L563" s="152"/>
      <c r="M563" s="152"/>
      <c r="N563" s="152"/>
      <c r="O563" s="152"/>
      <c r="P563" s="152"/>
      <c r="Q563" s="152"/>
      <c r="R563" s="152"/>
      <c r="S563" s="152"/>
      <c r="T563" s="152"/>
      <c r="U563" s="152"/>
      <c r="V563" s="152"/>
      <c r="W563" s="152"/>
      <c r="X563" s="152"/>
      <c r="Y563" s="152"/>
      <c r="Z563" s="152"/>
    </row>
    <row r="564" ht="12.8" customHeight="1" spans="1:26">
      <c r="A564" s="152"/>
      <c r="B564" s="152"/>
      <c r="C564" s="152"/>
      <c r="D564" s="152"/>
      <c r="E564" s="152"/>
      <c r="F564" s="152"/>
      <c r="G564" s="152"/>
      <c r="H564" s="152"/>
      <c r="I564" s="152"/>
      <c r="J564" s="152"/>
      <c r="K564" s="152"/>
      <c r="L564" s="152"/>
      <c r="M564" s="152"/>
      <c r="N564" s="152"/>
      <c r="O564" s="152"/>
      <c r="P564" s="152"/>
      <c r="Q564" s="152"/>
      <c r="R564" s="152"/>
      <c r="S564" s="152"/>
      <c r="T564" s="152"/>
      <c r="U564" s="152"/>
      <c r="V564" s="152"/>
      <c r="W564" s="152"/>
      <c r="X564" s="152"/>
      <c r="Y564" s="152"/>
      <c r="Z564" s="152"/>
    </row>
    <row r="565" ht="12.8" customHeight="1" spans="1:26">
      <c r="A565" s="152"/>
      <c r="B565" s="152"/>
      <c r="C565" s="152"/>
      <c r="D565" s="152"/>
      <c r="E565" s="152"/>
      <c r="F565" s="152"/>
      <c r="G565" s="152"/>
      <c r="H565" s="152"/>
      <c r="I565" s="152"/>
      <c r="J565" s="152"/>
      <c r="K565" s="152"/>
      <c r="L565" s="152"/>
      <c r="M565" s="152"/>
      <c r="N565" s="152"/>
      <c r="O565" s="152"/>
      <c r="P565" s="152"/>
      <c r="Q565" s="152"/>
      <c r="R565" s="152"/>
      <c r="S565" s="152"/>
      <c r="T565" s="152"/>
      <c r="U565" s="152"/>
      <c r="V565" s="152"/>
      <c r="W565" s="152"/>
      <c r="X565" s="152"/>
      <c r="Y565" s="152"/>
      <c r="Z565" s="152"/>
    </row>
    <row r="566" ht="12.8" customHeight="1" spans="1:26">
      <c r="A566" s="152"/>
      <c r="B566" s="152"/>
      <c r="C566" s="152"/>
      <c r="D566" s="152"/>
      <c r="E566" s="152"/>
      <c r="F566" s="152"/>
      <c r="G566" s="152"/>
      <c r="H566" s="152"/>
      <c r="I566" s="152"/>
      <c r="J566" s="152"/>
      <c r="K566" s="152"/>
      <c r="L566" s="152"/>
      <c r="M566" s="152"/>
      <c r="N566" s="152"/>
      <c r="O566" s="152"/>
      <c r="P566" s="152"/>
      <c r="Q566" s="152"/>
      <c r="R566" s="152"/>
      <c r="S566" s="152"/>
      <c r="T566" s="152"/>
      <c r="U566" s="152"/>
      <c r="V566" s="152"/>
      <c r="W566" s="152"/>
      <c r="X566" s="152"/>
      <c r="Y566" s="152"/>
      <c r="Z566" s="152"/>
    </row>
    <row r="567" ht="12.8" customHeight="1" spans="1:26">
      <c r="A567" s="152"/>
      <c r="B567" s="152"/>
      <c r="C567" s="152"/>
      <c r="D567" s="152"/>
      <c r="E567" s="152"/>
      <c r="F567" s="152"/>
      <c r="G567" s="152"/>
      <c r="H567" s="152"/>
      <c r="I567" s="152"/>
      <c r="J567" s="152"/>
      <c r="K567" s="152"/>
      <c r="L567" s="152"/>
      <c r="M567" s="152"/>
      <c r="N567" s="152"/>
      <c r="O567" s="152"/>
      <c r="P567" s="152"/>
      <c r="Q567" s="152"/>
      <c r="R567" s="152"/>
      <c r="S567" s="152"/>
      <c r="T567" s="152"/>
      <c r="U567" s="152"/>
      <c r="V567" s="152"/>
      <c r="W567" s="152"/>
      <c r="X567" s="152"/>
      <c r="Y567" s="152"/>
      <c r="Z567" s="152"/>
    </row>
    <row r="568" ht="12.8" customHeight="1" spans="1:26">
      <c r="A568" s="152"/>
      <c r="B568" s="152"/>
      <c r="C568" s="152"/>
      <c r="D568" s="152"/>
      <c r="E568" s="152"/>
      <c r="F568" s="152"/>
      <c r="G568" s="152"/>
      <c r="H568" s="152"/>
      <c r="I568" s="152"/>
      <c r="J568" s="152"/>
      <c r="K568" s="152"/>
      <c r="L568" s="152"/>
      <c r="M568" s="152"/>
      <c r="N568" s="152"/>
      <c r="O568" s="152"/>
      <c r="P568" s="152"/>
      <c r="Q568" s="152"/>
      <c r="R568" s="152"/>
      <c r="S568" s="152"/>
      <c r="T568" s="152"/>
      <c r="U568" s="152"/>
      <c r="V568" s="152"/>
      <c r="W568" s="152"/>
      <c r="X568" s="152"/>
      <c r="Y568" s="152"/>
      <c r="Z568" s="152"/>
    </row>
    <row r="569" ht="12.8" customHeight="1" spans="1:26">
      <c r="A569" s="152"/>
      <c r="B569" s="152"/>
      <c r="C569" s="152"/>
      <c r="D569" s="152"/>
      <c r="E569" s="152"/>
      <c r="F569" s="152"/>
      <c r="G569" s="152"/>
      <c r="H569" s="152"/>
      <c r="I569" s="152"/>
      <c r="J569" s="152"/>
      <c r="K569" s="152"/>
      <c r="L569" s="152"/>
      <c r="M569" s="152"/>
      <c r="N569" s="152"/>
      <c r="O569" s="152"/>
      <c r="P569" s="152"/>
      <c r="Q569" s="152"/>
      <c r="R569" s="152"/>
      <c r="S569" s="152"/>
      <c r="T569" s="152"/>
      <c r="U569" s="152"/>
      <c r="V569" s="152"/>
      <c r="W569" s="152"/>
      <c r="X569" s="152"/>
      <c r="Y569" s="152"/>
      <c r="Z569" s="152"/>
    </row>
    <row r="570" ht="12.8" customHeight="1" spans="1:26">
      <c r="A570" s="152"/>
      <c r="B570" s="152"/>
      <c r="C570" s="152"/>
      <c r="D570" s="152"/>
      <c r="E570" s="152"/>
      <c r="F570" s="152"/>
      <c r="G570" s="152"/>
      <c r="H570" s="152"/>
      <c r="I570" s="152"/>
      <c r="J570" s="152"/>
      <c r="K570" s="152"/>
      <c r="L570" s="152"/>
      <c r="M570" s="152"/>
      <c r="N570" s="152"/>
      <c r="O570" s="152"/>
      <c r="P570" s="152"/>
      <c r="Q570" s="152"/>
      <c r="R570" s="152"/>
      <c r="S570" s="152"/>
      <c r="T570" s="152"/>
      <c r="U570" s="152"/>
      <c r="V570" s="152"/>
      <c r="W570" s="152"/>
      <c r="X570" s="152"/>
      <c r="Y570" s="152"/>
      <c r="Z570" s="152"/>
    </row>
    <row r="571" ht="12.8" customHeight="1" spans="1:26">
      <c r="A571" s="152"/>
      <c r="B571" s="152"/>
      <c r="C571" s="152"/>
      <c r="D571" s="152"/>
      <c r="E571" s="152"/>
      <c r="F571" s="152"/>
      <c r="G571" s="152"/>
      <c r="H571" s="152"/>
      <c r="I571" s="152"/>
      <c r="J571" s="152"/>
      <c r="K571" s="152"/>
      <c r="L571" s="152"/>
      <c r="M571" s="152"/>
      <c r="N571" s="152"/>
      <c r="O571" s="152"/>
      <c r="P571" s="152"/>
      <c r="Q571" s="152"/>
      <c r="R571" s="152"/>
      <c r="S571" s="152"/>
      <c r="T571" s="152"/>
      <c r="U571" s="152"/>
      <c r="V571" s="152"/>
      <c r="W571" s="152"/>
      <c r="X571" s="152"/>
      <c r="Y571" s="152"/>
      <c r="Z571" s="152"/>
    </row>
    <row r="572" ht="12.8" customHeight="1" spans="1:26">
      <c r="A572" s="152"/>
      <c r="B572" s="152"/>
      <c r="C572" s="152"/>
      <c r="D572" s="152"/>
      <c r="E572" s="152"/>
      <c r="F572" s="152"/>
      <c r="G572" s="152"/>
      <c r="H572" s="152"/>
      <c r="I572" s="152"/>
      <c r="J572" s="152"/>
      <c r="K572" s="152"/>
      <c r="L572" s="152"/>
      <c r="M572" s="152"/>
      <c r="N572" s="152"/>
      <c r="O572" s="152"/>
      <c r="P572" s="152"/>
      <c r="Q572" s="152"/>
      <c r="R572" s="152"/>
      <c r="S572" s="152"/>
      <c r="T572" s="152"/>
      <c r="U572" s="152"/>
      <c r="V572" s="152"/>
      <c r="W572" s="152"/>
      <c r="X572" s="152"/>
      <c r="Y572" s="152"/>
      <c r="Z572" s="152"/>
    </row>
    <row r="573" ht="12.8" customHeight="1" spans="1:26">
      <c r="A573" s="152"/>
      <c r="B573" s="152"/>
      <c r="C573" s="152"/>
      <c r="D573" s="152"/>
      <c r="E573" s="152"/>
      <c r="F573" s="152"/>
      <c r="G573" s="152"/>
      <c r="H573" s="152"/>
      <c r="I573" s="152"/>
      <c r="J573" s="152"/>
      <c r="K573" s="152"/>
      <c r="L573" s="152"/>
      <c r="M573" s="152"/>
      <c r="N573" s="152"/>
      <c r="O573" s="152"/>
      <c r="P573" s="152"/>
      <c r="Q573" s="152"/>
      <c r="R573" s="152"/>
      <c r="S573" s="152"/>
      <c r="T573" s="152"/>
      <c r="U573" s="152"/>
      <c r="V573" s="152"/>
      <c r="W573" s="152"/>
      <c r="X573" s="152"/>
      <c r="Y573" s="152"/>
      <c r="Z573" s="152"/>
    </row>
    <row r="574" ht="12.8" customHeight="1" spans="1:26">
      <c r="A574" s="152"/>
      <c r="B574" s="152"/>
      <c r="C574" s="152"/>
      <c r="D574" s="152"/>
      <c r="E574" s="152"/>
      <c r="F574" s="152"/>
      <c r="G574" s="152"/>
      <c r="H574" s="152"/>
      <c r="I574" s="152"/>
      <c r="J574" s="152"/>
      <c r="K574" s="152"/>
      <c r="L574" s="152"/>
      <c r="M574" s="152"/>
      <c r="N574" s="152"/>
      <c r="O574" s="152"/>
      <c r="P574" s="152"/>
      <c r="Q574" s="152"/>
      <c r="R574" s="152"/>
      <c r="S574" s="152"/>
      <c r="T574" s="152"/>
      <c r="U574" s="152"/>
      <c r="V574" s="152"/>
      <c r="W574" s="152"/>
      <c r="X574" s="152"/>
      <c r="Y574" s="152"/>
      <c r="Z574" s="152"/>
    </row>
    <row r="575" ht="12.8" customHeight="1" spans="1:26">
      <c r="A575" s="152"/>
      <c r="B575" s="152"/>
      <c r="C575" s="152"/>
      <c r="D575" s="152"/>
      <c r="E575" s="152"/>
      <c r="F575" s="152"/>
      <c r="G575" s="152"/>
      <c r="H575" s="152"/>
      <c r="I575" s="152"/>
      <c r="J575" s="152"/>
      <c r="K575" s="152"/>
      <c r="L575" s="152"/>
      <c r="M575" s="152"/>
      <c r="N575" s="152"/>
      <c r="O575" s="152"/>
      <c r="P575" s="152"/>
      <c r="Q575" s="152"/>
      <c r="R575" s="152"/>
      <c r="S575" s="152"/>
      <c r="T575" s="152"/>
      <c r="U575" s="152"/>
      <c r="V575" s="152"/>
      <c r="W575" s="152"/>
      <c r="X575" s="152"/>
      <c r="Y575" s="152"/>
      <c r="Z575" s="152"/>
    </row>
    <row r="576" ht="12.8" customHeight="1" spans="1:26">
      <c r="A576" s="152"/>
      <c r="B576" s="152"/>
      <c r="C576" s="152"/>
      <c r="D576" s="152"/>
      <c r="E576" s="152"/>
      <c r="F576" s="152"/>
      <c r="G576" s="152"/>
      <c r="H576" s="152"/>
      <c r="I576" s="152"/>
      <c r="J576" s="152"/>
      <c r="K576" s="152"/>
      <c r="L576" s="152"/>
      <c r="M576" s="152"/>
      <c r="N576" s="152"/>
      <c r="O576" s="152"/>
      <c r="P576" s="152"/>
      <c r="Q576" s="152"/>
      <c r="R576" s="152"/>
      <c r="S576" s="152"/>
      <c r="T576" s="152"/>
      <c r="U576" s="152"/>
      <c r="V576" s="152"/>
      <c r="W576" s="152"/>
      <c r="X576" s="152"/>
      <c r="Y576" s="152"/>
      <c r="Z576" s="152"/>
    </row>
    <row r="577" ht="12.8" customHeight="1" spans="1:26">
      <c r="A577" s="152"/>
      <c r="B577" s="152"/>
      <c r="C577" s="152"/>
      <c r="D577" s="152"/>
      <c r="E577" s="152"/>
      <c r="F577" s="152"/>
      <c r="G577" s="152"/>
      <c r="H577" s="152"/>
      <c r="I577" s="152"/>
      <c r="J577" s="152"/>
      <c r="K577" s="152"/>
      <c r="L577" s="152"/>
      <c r="M577" s="152"/>
      <c r="N577" s="152"/>
      <c r="O577" s="152"/>
      <c r="P577" s="152"/>
      <c r="Q577" s="152"/>
      <c r="R577" s="152"/>
      <c r="S577" s="152"/>
      <c r="T577" s="152"/>
      <c r="U577" s="152"/>
      <c r="V577" s="152"/>
      <c r="W577" s="152"/>
      <c r="X577" s="152"/>
      <c r="Y577" s="152"/>
      <c r="Z577" s="152"/>
    </row>
    <row r="578" ht="12.8" customHeight="1" spans="1:26">
      <c r="A578" s="152"/>
      <c r="B578" s="152"/>
      <c r="C578" s="152"/>
      <c r="D578" s="152"/>
      <c r="E578" s="152"/>
      <c r="F578" s="152"/>
      <c r="G578" s="152"/>
      <c r="H578" s="152"/>
      <c r="I578" s="152"/>
      <c r="J578" s="152"/>
      <c r="K578" s="152"/>
      <c r="L578" s="152"/>
      <c r="M578" s="152"/>
      <c r="N578" s="152"/>
      <c r="O578" s="152"/>
      <c r="P578" s="152"/>
      <c r="Q578" s="152"/>
      <c r="R578" s="152"/>
      <c r="S578" s="152"/>
      <c r="T578" s="152"/>
      <c r="U578" s="152"/>
      <c r="V578" s="152"/>
      <c r="W578" s="152"/>
      <c r="X578" s="152"/>
      <c r="Y578" s="152"/>
      <c r="Z578" s="152"/>
    </row>
    <row r="579" ht="12.8" customHeight="1" spans="1:26">
      <c r="A579" s="152"/>
      <c r="B579" s="152"/>
      <c r="C579" s="152"/>
      <c r="D579" s="152"/>
      <c r="E579" s="152"/>
      <c r="F579" s="152"/>
      <c r="G579" s="152"/>
      <c r="H579" s="152"/>
      <c r="I579" s="152"/>
      <c r="J579" s="152"/>
      <c r="K579" s="152"/>
      <c r="L579" s="152"/>
      <c r="M579" s="152"/>
      <c r="N579" s="152"/>
      <c r="O579" s="152"/>
      <c r="P579" s="152"/>
      <c r="Q579" s="152"/>
      <c r="R579" s="152"/>
      <c r="S579" s="152"/>
      <c r="T579" s="152"/>
      <c r="U579" s="152"/>
      <c r="V579" s="152"/>
      <c r="W579" s="152"/>
      <c r="X579" s="152"/>
      <c r="Y579" s="152"/>
      <c r="Z579" s="152"/>
    </row>
    <row r="580" ht="12.8" customHeight="1" spans="1:26">
      <c r="A580" s="152"/>
      <c r="B580" s="152"/>
      <c r="C580" s="152"/>
      <c r="D580" s="152"/>
      <c r="E580" s="152"/>
      <c r="F580" s="152"/>
      <c r="G580" s="152"/>
      <c r="H580" s="152"/>
      <c r="I580" s="152"/>
      <c r="J580" s="152"/>
      <c r="K580" s="152"/>
      <c r="L580" s="152"/>
      <c r="M580" s="152"/>
      <c r="N580" s="152"/>
      <c r="O580" s="152"/>
      <c r="P580" s="152"/>
      <c r="Q580" s="152"/>
      <c r="R580" s="152"/>
      <c r="S580" s="152"/>
      <c r="T580" s="152"/>
      <c r="U580" s="152"/>
      <c r="V580" s="152"/>
      <c r="W580" s="152"/>
      <c r="X580" s="152"/>
      <c r="Y580" s="152"/>
      <c r="Z580" s="152"/>
    </row>
    <row r="581" ht="12.8" customHeight="1" spans="1:26">
      <c r="A581" s="152"/>
      <c r="B581" s="152"/>
      <c r="C581" s="152"/>
      <c r="D581" s="152"/>
      <c r="E581" s="152"/>
      <c r="F581" s="152"/>
      <c r="G581" s="152"/>
      <c r="H581" s="152"/>
      <c r="I581" s="152"/>
      <c r="J581" s="152"/>
      <c r="K581" s="152"/>
      <c r="L581" s="152"/>
      <c r="M581" s="152"/>
      <c r="N581" s="152"/>
      <c r="O581" s="152"/>
      <c r="P581" s="152"/>
      <c r="Q581" s="152"/>
      <c r="R581" s="152"/>
      <c r="S581" s="152"/>
      <c r="T581" s="152"/>
      <c r="U581" s="152"/>
      <c r="V581" s="152"/>
      <c r="W581" s="152"/>
      <c r="X581" s="152"/>
      <c r="Y581" s="152"/>
      <c r="Z581" s="152"/>
    </row>
    <row r="582" ht="12.8" customHeight="1" spans="1:26">
      <c r="A582" s="152"/>
      <c r="B582" s="152"/>
      <c r="C582" s="152"/>
      <c r="D582" s="152"/>
      <c r="E582" s="152"/>
      <c r="F582" s="152"/>
      <c r="G582" s="152"/>
      <c r="H582" s="152"/>
      <c r="I582" s="152"/>
      <c r="J582" s="152"/>
      <c r="K582" s="152"/>
      <c r="L582" s="152"/>
      <c r="M582" s="152"/>
      <c r="N582" s="152"/>
      <c r="O582" s="152"/>
      <c r="P582" s="152"/>
      <c r="Q582" s="152"/>
      <c r="R582" s="152"/>
      <c r="S582" s="152"/>
      <c r="T582" s="152"/>
      <c r="U582" s="152"/>
      <c r="V582" s="152"/>
      <c r="W582" s="152"/>
      <c r="X582" s="152"/>
      <c r="Y582" s="152"/>
      <c r="Z582" s="152"/>
    </row>
    <row r="583" ht="12.8" customHeight="1" spans="1:26">
      <c r="A583" s="152"/>
      <c r="B583" s="152"/>
      <c r="C583" s="152"/>
      <c r="D583" s="152"/>
      <c r="E583" s="152"/>
      <c r="F583" s="152"/>
      <c r="G583" s="152"/>
      <c r="H583" s="152"/>
      <c r="I583" s="152"/>
      <c r="J583" s="152"/>
      <c r="K583" s="152"/>
      <c r="L583" s="152"/>
      <c r="M583" s="152"/>
      <c r="N583" s="152"/>
      <c r="O583" s="152"/>
      <c r="P583" s="152"/>
      <c r="Q583" s="152"/>
      <c r="R583" s="152"/>
      <c r="S583" s="152"/>
      <c r="T583" s="152"/>
      <c r="U583" s="152"/>
      <c r="V583" s="152"/>
      <c r="W583" s="152"/>
      <c r="X583" s="152"/>
      <c r="Y583" s="152"/>
      <c r="Z583" s="152"/>
    </row>
    <row r="584" ht="12.8" customHeight="1" spans="1:26">
      <c r="A584" s="152"/>
      <c r="B584" s="152"/>
      <c r="C584" s="152"/>
      <c r="D584" s="152"/>
      <c r="E584" s="152"/>
      <c r="F584" s="152"/>
      <c r="G584" s="152"/>
      <c r="H584" s="152"/>
      <c r="I584" s="152"/>
      <c r="J584" s="152"/>
      <c r="K584" s="152"/>
      <c r="L584" s="152"/>
      <c r="M584" s="152"/>
      <c r="N584" s="152"/>
      <c r="O584" s="152"/>
      <c r="P584" s="152"/>
      <c r="Q584" s="152"/>
      <c r="R584" s="152"/>
      <c r="S584" s="152"/>
      <c r="T584" s="152"/>
      <c r="U584" s="152"/>
      <c r="V584" s="152"/>
      <c r="W584" s="152"/>
      <c r="X584" s="152"/>
      <c r="Y584" s="152"/>
      <c r="Z584" s="152"/>
    </row>
    <row r="585" ht="12.8" customHeight="1" spans="1:26">
      <c r="A585" s="152"/>
      <c r="B585" s="152"/>
      <c r="C585" s="152"/>
      <c r="D585" s="152"/>
      <c r="E585" s="152"/>
      <c r="F585" s="152"/>
      <c r="G585" s="152"/>
      <c r="H585" s="152"/>
      <c r="I585" s="152"/>
      <c r="J585" s="152"/>
      <c r="K585" s="152"/>
      <c r="L585" s="152"/>
      <c r="M585" s="152"/>
      <c r="N585" s="152"/>
      <c r="O585" s="152"/>
      <c r="P585" s="152"/>
      <c r="Q585" s="152"/>
      <c r="R585" s="152"/>
      <c r="S585" s="152"/>
      <c r="T585" s="152"/>
      <c r="U585" s="152"/>
      <c r="V585" s="152"/>
      <c r="W585" s="152"/>
      <c r="X585" s="152"/>
      <c r="Y585" s="152"/>
      <c r="Z585" s="152"/>
    </row>
    <row r="586" ht="12.8" customHeight="1" spans="1:26">
      <c r="A586" s="152"/>
      <c r="B586" s="152"/>
      <c r="C586" s="152"/>
      <c r="D586" s="152"/>
      <c r="E586" s="152"/>
      <c r="F586" s="152"/>
      <c r="G586" s="152"/>
      <c r="H586" s="152"/>
      <c r="I586" s="152"/>
      <c r="J586" s="152"/>
      <c r="K586" s="152"/>
      <c r="L586" s="152"/>
      <c r="M586" s="152"/>
      <c r="N586" s="152"/>
      <c r="O586" s="152"/>
      <c r="P586" s="152"/>
      <c r="Q586" s="152"/>
      <c r="R586" s="152"/>
      <c r="S586" s="152"/>
      <c r="T586" s="152"/>
      <c r="U586" s="152"/>
      <c r="V586" s="152"/>
      <c r="W586" s="152"/>
      <c r="X586" s="152"/>
      <c r="Y586" s="152"/>
      <c r="Z586" s="152"/>
    </row>
    <row r="587" ht="12.8" customHeight="1" spans="1:26">
      <c r="A587" s="152"/>
      <c r="B587" s="152"/>
      <c r="C587" s="152"/>
      <c r="D587" s="152"/>
      <c r="E587" s="152"/>
      <c r="F587" s="152"/>
      <c r="G587" s="152"/>
      <c r="H587" s="152"/>
      <c r="I587" s="152"/>
      <c r="J587" s="152"/>
      <c r="K587" s="152"/>
      <c r="L587" s="152"/>
      <c r="M587" s="152"/>
      <c r="N587" s="152"/>
      <c r="O587" s="152"/>
      <c r="P587" s="152"/>
      <c r="Q587" s="152"/>
      <c r="R587" s="152"/>
      <c r="S587" s="152"/>
      <c r="T587" s="152"/>
      <c r="U587" s="152"/>
      <c r="V587" s="152"/>
      <c r="W587" s="152"/>
      <c r="X587" s="152"/>
      <c r="Y587" s="152"/>
      <c r="Z587" s="152"/>
    </row>
    <row r="588" ht="12.8" customHeight="1" spans="1:26">
      <c r="A588" s="152"/>
      <c r="B588" s="152"/>
      <c r="C588" s="152"/>
      <c r="D588" s="152"/>
      <c r="E588" s="152"/>
      <c r="F588" s="152"/>
      <c r="G588" s="152"/>
      <c r="H588" s="152"/>
      <c r="I588" s="152"/>
      <c r="J588" s="152"/>
      <c r="K588" s="152"/>
      <c r="L588" s="152"/>
      <c r="M588" s="152"/>
      <c r="N588" s="152"/>
      <c r="O588" s="152"/>
      <c r="P588" s="152"/>
      <c r="Q588" s="152"/>
      <c r="R588" s="152"/>
      <c r="S588" s="152"/>
      <c r="T588" s="152"/>
      <c r="U588" s="152"/>
      <c r="V588" s="152"/>
      <c r="W588" s="152"/>
      <c r="X588" s="152"/>
      <c r="Y588" s="152"/>
      <c r="Z588" s="152"/>
    </row>
    <row r="589" ht="12.8" customHeight="1" spans="1:26">
      <c r="A589" s="152"/>
      <c r="B589" s="152"/>
      <c r="C589" s="152"/>
      <c r="D589" s="152"/>
      <c r="E589" s="152"/>
      <c r="F589" s="152"/>
      <c r="G589" s="152"/>
      <c r="H589" s="152"/>
      <c r="I589" s="152"/>
      <c r="J589" s="152"/>
      <c r="K589" s="152"/>
      <c r="L589" s="152"/>
      <c r="M589" s="152"/>
      <c r="N589" s="152"/>
      <c r="O589" s="152"/>
      <c r="P589" s="152"/>
      <c r="Q589" s="152"/>
      <c r="R589" s="152"/>
      <c r="S589" s="152"/>
      <c r="T589" s="152"/>
      <c r="U589" s="152"/>
      <c r="V589" s="152"/>
      <c r="W589" s="152"/>
      <c r="X589" s="152"/>
      <c r="Y589" s="152"/>
      <c r="Z589" s="152"/>
    </row>
    <row r="590" ht="12.8" customHeight="1" spans="1:26">
      <c r="A590" s="152"/>
      <c r="B590" s="152"/>
      <c r="C590" s="152"/>
      <c r="D590" s="152"/>
      <c r="E590" s="152"/>
      <c r="F590" s="152"/>
      <c r="G590" s="152"/>
      <c r="H590" s="152"/>
      <c r="I590" s="152"/>
      <c r="J590" s="152"/>
      <c r="K590" s="152"/>
      <c r="L590" s="152"/>
      <c r="M590" s="152"/>
      <c r="N590" s="152"/>
      <c r="O590" s="152"/>
      <c r="P590" s="152"/>
      <c r="Q590" s="152"/>
      <c r="R590" s="152"/>
      <c r="S590" s="152"/>
      <c r="T590" s="152"/>
      <c r="U590" s="152"/>
      <c r="V590" s="152"/>
      <c r="W590" s="152"/>
      <c r="X590" s="152"/>
      <c r="Y590" s="152"/>
      <c r="Z590" s="152"/>
    </row>
    <row r="591" ht="12.8" customHeight="1" spans="1:26">
      <c r="A591" s="152"/>
      <c r="B591" s="152"/>
      <c r="C591" s="152"/>
      <c r="D591" s="152"/>
      <c r="E591" s="152"/>
      <c r="F591" s="152"/>
      <c r="G591" s="152"/>
      <c r="H591" s="152"/>
      <c r="I591" s="152"/>
      <c r="J591" s="152"/>
      <c r="K591" s="152"/>
      <c r="L591" s="152"/>
      <c r="M591" s="152"/>
      <c r="N591" s="152"/>
      <c r="O591" s="152"/>
      <c r="P591" s="152"/>
      <c r="Q591" s="152"/>
      <c r="R591" s="152"/>
      <c r="S591" s="152"/>
      <c r="T591" s="152"/>
      <c r="U591" s="152"/>
      <c r="V591" s="152"/>
      <c r="W591" s="152"/>
      <c r="X591" s="152"/>
      <c r="Y591" s="152"/>
      <c r="Z591" s="152"/>
    </row>
    <row r="592" ht="12.8" customHeight="1" spans="1:26">
      <c r="A592" s="152"/>
      <c r="B592" s="152"/>
      <c r="C592" s="152"/>
      <c r="D592" s="152"/>
      <c r="E592" s="152"/>
      <c r="F592" s="152"/>
      <c r="G592" s="152"/>
      <c r="H592" s="152"/>
      <c r="I592" s="152"/>
      <c r="J592" s="152"/>
      <c r="K592" s="152"/>
      <c r="L592" s="152"/>
      <c r="M592" s="152"/>
      <c r="N592" s="152"/>
      <c r="O592" s="152"/>
      <c r="P592" s="152"/>
      <c r="Q592" s="152"/>
      <c r="R592" s="152"/>
      <c r="S592" s="152"/>
      <c r="T592" s="152"/>
      <c r="U592" s="152"/>
      <c r="V592" s="152"/>
      <c r="W592" s="152"/>
      <c r="X592" s="152"/>
      <c r="Y592" s="152"/>
      <c r="Z592" s="152"/>
    </row>
    <row r="593" ht="12.8" customHeight="1" spans="1:26">
      <c r="A593" s="152"/>
      <c r="B593" s="152"/>
      <c r="C593" s="152"/>
      <c r="D593" s="152"/>
      <c r="E593" s="152"/>
      <c r="F593" s="152"/>
      <c r="G593" s="152"/>
      <c r="H593" s="152"/>
      <c r="I593" s="152"/>
      <c r="J593" s="152"/>
      <c r="K593" s="152"/>
      <c r="L593" s="152"/>
      <c r="M593" s="152"/>
      <c r="N593" s="152"/>
      <c r="O593" s="152"/>
      <c r="P593" s="152"/>
      <c r="Q593" s="152"/>
      <c r="R593" s="152"/>
      <c r="S593" s="152"/>
      <c r="T593" s="152"/>
      <c r="U593" s="152"/>
      <c r="V593" s="152"/>
      <c r="W593" s="152"/>
      <c r="X593" s="152"/>
      <c r="Y593" s="152"/>
      <c r="Z593" s="152"/>
    </row>
    <row r="594" ht="12.8" customHeight="1" spans="1:26">
      <c r="A594" s="152"/>
      <c r="B594" s="152"/>
      <c r="C594" s="152"/>
      <c r="D594" s="152"/>
      <c r="E594" s="152"/>
      <c r="F594" s="152"/>
      <c r="G594" s="152"/>
      <c r="H594" s="152"/>
      <c r="I594" s="152"/>
      <c r="J594" s="152"/>
      <c r="K594" s="152"/>
      <c r="L594" s="152"/>
      <c r="M594" s="152"/>
      <c r="N594" s="152"/>
      <c r="O594" s="152"/>
      <c r="P594" s="152"/>
      <c r="Q594" s="152"/>
      <c r="R594" s="152"/>
      <c r="S594" s="152"/>
      <c r="T594" s="152"/>
      <c r="U594" s="152"/>
      <c r="V594" s="152"/>
      <c r="W594" s="152"/>
      <c r="X594" s="152"/>
      <c r="Y594" s="152"/>
      <c r="Z594" s="152"/>
    </row>
    <row r="595" ht="12.8" customHeight="1" spans="1:26">
      <c r="A595" s="152"/>
      <c r="B595" s="152"/>
      <c r="C595" s="152"/>
      <c r="D595" s="152"/>
      <c r="E595" s="152"/>
      <c r="F595" s="152"/>
      <c r="G595" s="152"/>
      <c r="H595" s="152"/>
      <c r="I595" s="152"/>
      <c r="J595" s="152"/>
      <c r="K595" s="152"/>
      <c r="L595" s="152"/>
      <c r="M595" s="152"/>
      <c r="N595" s="152"/>
      <c r="O595" s="152"/>
      <c r="P595" s="152"/>
      <c r="Q595" s="152"/>
      <c r="R595" s="152"/>
      <c r="S595" s="152"/>
      <c r="T595" s="152"/>
      <c r="U595" s="152"/>
      <c r="V595" s="152"/>
      <c r="W595" s="152"/>
      <c r="X595" s="152"/>
      <c r="Y595" s="152"/>
      <c r="Z595" s="152"/>
    </row>
    <row r="596" ht="12.8" customHeight="1" spans="1:26">
      <c r="A596" s="152"/>
      <c r="B596" s="152"/>
      <c r="C596" s="152"/>
      <c r="D596" s="152"/>
      <c r="E596" s="152"/>
      <c r="F596" s="152"/>
      <c r="G596" s="152"/>
      <c r="H596" s="152"/>
      <c r="I596" s="152"/>
      <c r="J596" s="152"/>
      <c r="K596" s="152"/>
      <c r="L596" s="152"/>
      <c r="M596" s="152"/>
      <c r="N596" s="152"/>
      <c r="O596" s="152"/>
      <c r="P596" s="152"/>
      <c r="Q596" s="152"/>
      <c r="R596" s="152"/>
      <c r="S596" s="152"/>
      <c r="T596" s="152"/>
      <c r="U596" s="152"/>
      <c r="V596" s="152"/>
      <c r="W596" s="152"/>
      <c r="X596" s="152"/>
      <c r="Y596" s="152"/>
      <c r="Z596" s="152"/>
    </row>
    <row r="597" ht="12.8" customHeight="1" spans="1:26">
      <c r="A597" s="152"/>
      <c r="B597" s="152"/>
      <c r="C597" s="152"/>
      <c r="D597" s="152"/>
      <c r="E597" s="152"/>
      <c r="F597" s="152"/>
      <c r="G597" s="152"/>
      <c r="H597" s="152"/>
      <c r="I597" s="152"/>
      <c r="J597" s="152"/>
      <c r="K597" s="152"/>
      <c r="L597" s="152"/>
      <c r="M597" s="152"/>
      <c r="N597" s="152"/>
      <c r="O597" s="152"/>
      <c r="P597" s="152"/>
      <c r="Q597" s="152"/>
      <c r="R597" s="152"/>
      <c r="S597" s="152"/>
      <c r="T597" s="152"/>
      <c r="U597" s="152"/>
      <c r="V597" s="152"/>
      <c r="W597" s="152"/>
      <c r="X597" s="152"/>
      <c r="Y597" s="152"/>
      <c r="Z597" s="152"/>
    </row>
    <row r="598" ht="12.8" customHeight="1" spans="1:26">
      <c r="A598" s="152"/>
      <c r="B598" s="152"/>
      <c r="C598" s="152"/>
      <c r="D598" s="152"/>
      <c r="E598" s="152"/>
      <c r="F598" s="152"/>
      <c r="G598" s="152"/>
      <c r="H598" s="152"/>
      <c r="I598" s="152"/>
      <c r="J598" s="152"/>
      <c r="K598" s="152"/>
      <c r="L598" s="152"/>
      <c r="M598" s="152"/>
      <c r="N598" s="152"/>
      <c r="O598" s="152"/>
      <c r="P598" s="152"/>
      <c r="Q598" s="152"/>
      <c r="R598" s="152"/>
      <c r="S598" s="152"/>
      <c r="T598" s="152"/>
      <c r="U598" s="152"/>
      <c r="V598" s="152"/>
      <c r="W598" s="152"/>
      <c r="X598" s="152"/>
      <c r="Y598" s="152"/>
      <c r="Z598" s="152"/>
    </row>
    <row r="599" ht="12.8" customHeight="1" spans="1:26">
      <c r="A599" s="152"/>
      <c r="B599" s="152"/>
      <c r="C599" s="152"/>
      <c r="D599" s="152"/>
      <c r="E599" s="152"/>
      <c r="F599" s="152"/>
      <c r="G599" s="152"/>
      <c r="H599" s="152"/>
      <c r="I599" s="152"/>
      <c r="J599" s="152"/>
      <c r="K599" s="152"/>
      <c r="L599" s="152"/>
      <c r="M599" s="152"/>
      <c r="N599" s="152"/>
      <c r="O599" s="152"/>
      <c r="P599" s="152"/>
      <c r="Q599" s="152"/>
      <c r="R599" s="152"/>
      <c r="S599" s="152"/>
      <c r="T599" s="152"/>
      <c r="U599" s="152"/>
      <c r="V599" s="152"/>
      <c r="W599" s="152"/>
      <c r="X599" s="152"/>
      <c r="Y599" s="152"/>
      <c r="Z599" s="152"/>
    </row>
    <row r="600" ht="12.8" customHeight="1" spans="1:26">
      <c r="A600" s="152"/>
      <c r="B600" s="152"/>
      <c r="C600" s="152"/>
      <c r="D600" s="152"/>
      <c r="E600" s="152"/>
      <c r="F600" s="152"/>
      <c r="G600" s="152"/>
      <c r="H600" s="152"/>
      <c r="I600" s="152"/>
      <c r="J600" s="152"/>
      <c r="K600" s="152"/>
      <c r="L600" s="152"/>
      <c r="M600" s="152"/>
      <c r="N600" s="152"/>
      <c r="O600" s="152"/>
      <c r="P600" s="152"/>
      <c r="Q600" s="152"/>
      <c r="R600" s="152"/>
      <c r="S600" s="152"/>
      <c r="T600" s="152"/>
      <c r="U600" s="152"/>
      <c r="V600" s="152"/>
      <c r="W600" s="152"/>
      <c r="X600" s="152"/>
      <c r="Y600" s="152"/>
      <c r="Z600" s="152"/>
    </row>
    <row r="601" ht="12.8" customHeight="1" spans="1:26">
      <c r="A601" s="152"/>
      <c r="B601" s="152"/>
      <c r="C601" s="152"/>
      <c r="D601" s="152"/>
      <c r="E601" s="152"/>
      <c r="F601" s="152"/>
      <c r="G601" s="152"/>
      <c r="H601" s="152"/>
      <c r="I601" s="152"/>
      <c r="J601" s="152"/>
      <c r="K601" s="152"/>
      <c r="L601" s="152"/>
      <c r="M601" s="152"/>
      <c r="N601" s="152"/>
      <c r="O601" s="152"/>
      <c r="P601" s="152"/>
      <c r="Q601" s="152"/>
      <c r="R601" s="152"/>
      <c r="S601" s="152"/>
      <c r="T601" s="152"/>
      <c r="U601" s="152"/>
      <c r="V601" s="152"/>
      <c r="W601" s="152"/>
      <c r="X601" s="152"/>
      <c r="Y601" s="152"/>
      <c r="Z601" s="152"/>
    </row>
    <row r="602" ht="12.8" customHeight="1" spans="1:26">
      <c r="A602" s="152"/>
      <c r="B602" s="152"/>
      <c r="C602" s="152"/>
      <c r="D602" s="152"/>
      <c r="E602" s="152"/>
      <c r="F602" s="152"/>
      <c r="G602" s="152"/>
      <c r="H602" s="152"/>
      <c r="I602" s="152"/>
      <c r="J602" s="152"/>
      <c r="K602" s="152"/>
      <c r="L602" s="152"/>
      <c r="M602" s="152"/>
      <c r="N602" s="152"/>
      <c r="O602" s="152"/>
      <c r="P602" s="152"/>
      <c r="Q602" s="152"/>
      <c r="R602" s="152"/>
      <c r="S602" s="152"/>
      <c r="T602" s="152"/>
      <c r="U602" s="152"/>
      <c r="V602" s="152"/>
      <c r="W602" s="152"/>
      <c r="X602" s="152"/>
      <c r="Y602" s="152"/>
      <c r="Z602" s="152"/>
    </row>
    <row r="603" ht="12.8" customHeight="1" spans="1:26">
      <c r="A603" s="152"/>
      <c r="B603" s="152"/>
      <c r="C603" s="152"/>
      <c r="D603" s="152"/>
      <c r="E603" s="152"/>
      <c r="F603" s="152"/>
      <c r="G603" s="152"/>
      <c r="H603" s="152"/>
      <c r="I603" s="152"/>
      <c r="J603" s="152"/>
      <c r="K603" s="152"/>
      <c r="L603" s="152"/>
      <c r="M603" s="152"/>
      <c r="N603" s="152"/>
      <c r="O603" s="152"/>
      <c r="P603" s="152"/>
      <c r="Q603" s="152"/>
      <c r="R603" s="152"/>
      <c r="S603" s="152"/>
      <c r="T603" s="152"/>
      <c r="U603" s="152"/>
      <c r="V603" s="152"/>
      <c r="W603" s="152"/>
      <c r="X603" s="152"/>
      <c r="Y603" s="152"/>
      <c r="Z603" s="152"/>
    </row>
    <row r="604" ht="12.8" customHeight="1" spans="1:26">
      <c r="A604" s="152"/>
      <c r="B604" s="152"/>
      <c r="C604" s="152"/>
      <c r="D604" s="152"/>
      <c r="E604" s="152"/>
      <c r="F604" s="152"/>
      <c r="G604" s="152"/>
      <c r="H604" s="152"/>
      <c r="I604" s="152"/>
      <c r="J604" s="152"/>
      <c r="K604" s="152"/>
      <c r="L604" s="152"/>
      <c r="M604" s="152"/>
      <c r="N604" s="152"/>
      <c r="O604" s="152"/>
      <c r="P604" s="152"/>
      <c r="Q604" s="152"/>
      <c r="R604" s="152"/>
      <c r="S604" s="152"/>
      <c r="T604" s="152"/>
      <c r="U604" s="152"/>
      <c r="V604" s="152"/>
      <c r="W604" s="152"/>
      <c r="X604" s="152"/>
      <c r="Y604" s="152"/>
      <c r="Z604" s="152"/>
    </row>
    <row r="605" ht="12.8" customHeight="1" spans="1:26">
      <c r="A605" s="152"/>
      <c r="B605" s="152"/>
      <c r="C605" s="152"/>
      <c r="D605" s="152"/>
      <c r="E605" s="152"/>
      <c r="F605" s="152"/>
      <c r="G605" s="152"/>
      <c r="H605" s="152"/>
      <c r="I605" s="152"/>
      <c r="J605" s="152"/>
      <c r="K605" s="152"/>
      <c r="L605" s="152"/>
      <c r="M605" s="152"/>
      <c r="N605" s="152"/>
      <c r="O605" s="152"/>
      <c r="P605" s="152"/>
      <c r="Q605" s="152"/>
      <c r="R605" s="152"/>
      <c r="S605" s="152"/>
      <c r="T605" s="152"/>
      <c r="U605" s="152"/>
      <c r="V605" s="152"/>
      <c r="W605" s="152"/>
      <c r="X605" s="152"/>
      <c r="Y605" s="152"/>
      <c r="Z605" s="152"/>
    </row>
    <row r="606" ht="12.8" customHeight="1" spans="1:26">
      <c r="A606" s="152"/>
      <c r="B606" s="152"/>
      <c r="C606" s="152"/>
      <c r="D606" s="152"/>
      <c r="E606" s="152"/>
      <c r="F606" s="152"/>
      <c r="G606" s="152"/>
      <c r="H606" s="152"/>
      <c r="I606" s="152"/>
      <c r="J606" s="152"/>
      <c r="K606" s="152"/>
      <c r="L606" s="152"/>
      <c r="M606" s="152"/>
      <c r="N606" s="152"/>
      <c r="O606" s="152"/>
      <c r="P606" s="152"/>
      <c r="Q606" s="152"/>
      <c r="R606" s="152"/>
      <c r="S606" s="152"/>
      <c r="T606" s="152"/>
      <c r="U606" s="152"/>
      <c r="V606" s="152"/>
      <c r="W606" s="152"/>
      <c r="X606" s="152"/>
      <c r="Y606" s="152"/>
      <c r="Z606" s="152"/>
    </row>
    <row r="607" ht="12.8" customHeight="1" spans="1:26">
      <c r="A607" s="152"/>
      <c r="B607" s="152"/>
      <c r="C607" s="152"/>
      <c r="D607" s="152"/>
      <c r="E607" s="152"/>
      <c r="F607" s="152"/>
      <c r="G607" s="152"/>
      <c r="H607" s="152"/>
      <c r="I607" s="152"/>
      <c r="J607" s="152"/>
      <c r="K607" s="152"/>
      <c r="L607" s="152"/>
      <c r="M607" s="152"/>
      <c r="N607" s="152"/>
      <c r="O607" s="152"/>
      <c r="P607" s="152"/>
      <c r="Q607" s="152"/>
      <c r="R607" s="152"/>
      <c r="S607" s="152"/>
      <c r="T607" s="152"/>
      <c r="U607" s="152"/>
      <c r="V607" s="152"/>
      <c r="W607" s="152"/>
      <c r="X607" s="152"/>
      <c r="Y607" s="152"/>
      <c r="Z607" s="152"/>
    </row>
    <row r="608" ht="12.8" customHeight="1" spans="1:26">
      <c r="A608" s="152"/>
      <c r="B608" s="152"/>
      <c r="C608" s="152"/>
      <c r="D608" s="152"/>
      <c r="E608" s="152"/>
      <c r="F608" s="152"/>
      <c r="G608" s="152"/>
      <c r="H608" s="152"/>
      <c r="I608" s="152"/>
      <c r="J608" s="152"/>
      <c r="K608" s="152"/>
      <c r="L608" s="152"/>
      <c r="M608" s="152"/>
      <c r="N608" s="152"/>
      <c r="O608" s="152"/>
      <c r="P608" s="152"/>
      <c r="Q608" s="152"/>
      <c r="R608" s="152"/>
      <c r="S608" s="152"/>
      <c r="T608" s="152"/>
      <c r="U608" s="152"/>
      <c r="V608" s="152"/>
      <c r="W608" s="152"/>
      <c r="X608" s="152"/>
      <c r="Y608" s="152"/>
      <c r="Z608" s="152"/>
    </row>
    <row r="609" ht="12.8" customHeight="1" spans="1:26">
      <c r="A609" s="152"/>
      <c r="B609" s="152"/>
      <c r="C609" s="152"/>
      <c r="D609" s="152"/>
      <c r="E609" s="152"/>
      <c r="F609" s="152"/>
      <c r="G609" s="152"/>
      <c r="H609" s="152"/>
      <c r="I609" s="152"/>
      <c r="J609" s="152"/>
      <c r="K609" s="152"/>
      <c r="L609" s="152"/>
      <c r="M609" s="152"/>
      <c r="N609" s="152"/>
      <c r="O609" s="152"/>
      <c r="P609" s="152"/>
      <c r="Q609" s="152"/>
      <c r="R609" s="152"/>
      <c r="S609" s="152"/>
      <c r="T609" s="152"/>
      <c r="U609" s="152"/>
      <c r="V609" s="152"/>
      <c r="W609" s="152"/>
      <c r="X609" s="152"/>
      <c r="Y609" s="152"/>
      <c r="Z609" s="152"/>
    </row>
    <row r="610" ht="12.8" customHeight="1" spans="1:26">
      <c r="A610" s="152"/>
      <c r="B610" s="152"/>
      <c r="C610" s="152"/>
      <c r="D610" s="152"/>
      <c r="E610" s="152"/>
      <c r="F610" s="152"/>
      <c r="G610" s="152"/>
      <c r="H610" s="152"/>
      <c r="I610" s="152"/>
      <c r="J610" s="152"/>
      <c r="K610" s="152"/>
      <c r="L610" s="152"/>
      <c r="M610" s="152"/>
      <c r="N610" s="152"/>
      <c r="O610" s="152"/>
      <c r="P610" s="152"/>
      <c r="Q610" s="152"/>
      <c r="R610" s="152"/>
      <c r="S610" s="152"/>
      <c r="T610" s="152"/>
      <c r="U610" s="152"/>
      <c r="V610" s="152"/>
      <c r="W610" s="152"/>
      <c r="X610" s="152"/>
      <c r="Y610" s="152"/>
      <c r="Z610" s="152"/>
    </row>
    <row r="611" ht="12.8" customHeight="1" spans="1:26">
      <c r="A611" s="152"/>
      <c r="B611" s="152"/>
      <c r="C611" s="152"/>
      <c r="D611" s="152"/>
      <c r="E611" s="152"/>
      <c r="F611" s="152"/>
      <c r="G611" s="152"/>
      <c r="H611" s="152"/>
      <c r="I611" s="152"/>
      <c r="J611" s="152"/>
      <c r="K611" s="152"/>
      <c r="L611" s="152"/>
      <c r="M611" s="152"/>
      <c r="N611" s="152"/>
      <c r="O611" s="152"/>
      <c r="P611" s="152"/>
      <c r="Q611" s="152"/>
      <c r="R611" s="152"/>
      <c r="S611" s="152"/>
      <c r="T611" s="152"/>
      <c r="U611" s="152"/>
      <c r="V611" s="152"/>
      <c r="W611" s="152"/>
      <c r="X611" s="152"/>
      <c r="Y611" s="152"/>
      <c r="Z611" s="152"/>
    </row>
    <row r="612" ht="12.8" customHeight="1" spans="1:26">
      <c r="A612" s="152"/>
      <c r="B612" s="152"/>
      <c r="C612" s="152"/>
      <c r="D612" s="152"/>
      <c r="E612" s="152"/>
      <c r="F612" s="152"/>
      <c r="G612" s="152"/>
      <c r="H612" s="152"/>
      <c r="I612" s="152"/>
      <c r="J612" s="152"/>
      <c r="K612" s="152"/>
      <c r="L612" s="152"/>
      <c r="M612" s="152"/>
      <c r="N612" s="152"/>
      <c r="O612" s="152"/>
      <c r="P612" s="152"/>
      <c r="Q612" s="152"/>
      <c r="R612" s="152"/>
      <c r="S612" s="152"/>
      <c r="T612" s="152"/>
      <c r="U612" s="152"/>
      <c r="V612" s="152"/>
      <c r="W612" s="152"/>
      <c r="X612" s="152"/>
      <c r="Y612" s="152"/>
      <c r="Z612" s="152"/>
    </row>
    <row r="613" ht="12.8" customHeight="1" spans="1:26">
      <c r="A613" s="152"/>
      <c r="B613" s="152"/>
      <c r="C613" s="152"/>
      <c r="D613" s="152"/>
      <c r="E613" s="152"/>
      <c r="F613" s="152"/>
      <c r="G613" s="152"/>
      <c r="H613" s="152"/>
      <c r="I613" s="152"/>
      <c r="J613" s="152"/>
      <c r="K613" s="152"/>
      <c r="L613" s="152"/>
      <c r="M613" s="152"/>
      <c r="N613" s="152"/>
      <c r="O613" s="152"/>
      <c r="P613" s="152"/>
      <c r="Q613" s="152"/>
      <c r="R613" s="152"/>
      <c r="S613" s="152"/>
      <c r="T613" s="152"/>
      <c r="U613" s="152"/>
      <c r="V613" s="152"/>
      <c r="W613" s="152"/>
      <c r="X613" s="152"/>
      <c r="Y613" s="152"/>
      <c r="Z613" s="152"/>
    </row>
    <row r="614" ht="12.8" customHeight="1" spans="1:26">
      <c r="A614" s="152"/>
      <c r="B614" s="152"/>
      <c r="C614" s="152"/>
      <c r="D614" s="152"/>
      <c r="E614" s="152"/>
      <c r="F614" s="152"/>
      <c r="G614" s="152"/>
      <c r="H614" s="152"/>
      <c r="I614" s="152"/>
      <c r="J614" s="152"/>
      <c r="K614" s="152"/>
      <c r="L614" s="152"/>
      <c r="M614" s="152"/>
      <c r="N614" s="152"/>
      <c r="O614" s="152"/>
      <c r="P614" s="152"/>
      <c r="Q614" s="152"/>
      <c r="R614" s="152"/>
      <c r="S614" s="152"/>
      <c r="T614" s="152"/>
      <c r="U614" s="152"/>
      <c r="V614" s="152"/>
      <c r="W614" s="152"/>
      <c r="X614" s="152"/>
      <c r="Y614" s="152"/>
      <c r="Z614" s="152"/>
    </row>
    <row r="615" ht="12.8" customHeight="1" spans="1:26">
      <c r="A615" s="152"/>
      <c r="B615" s="152"/>
      <c r="C615" s="152"/>
      <c r="D615" s="152"/>
      <c r="E615" s="152"/>
      <c r="F615" s="152"/>
      <c r="G615" s="152"/>
      <c r="H615" s="152"/>
      <c r="I615" s="152"/>
      <c r="J615" s="152"/>
      <c r="K615" s="152"/>
      <c r="L615" s="152"/>
      <c r="M615" s="152"/>
      <c r="N615" s="152"/>
      <c r="O615" s="152"/>
      <c r="P615" s="152"/>
      <c r="Q615" s="152"/>
      <c r="R615" s="152"/>
      <c r="S615" s="152"/>
      <c r="T615" s="152"/>
      <c r="U615" s="152"/>
      <c r="V615" s="152"/>
      <c r="W615" s="152"/>
      <c r="X615" s="152"/>
      <c r="Y615" s="152"/>
      <c r="Z615" s="152"/>
    </row>
    <row r="616" ht="12.8" customHeight="1" spans="1:26">
      <c r="A616" s="152"/>
      <c r="B616" s="152"/>
      <c r="C616" s="152"/>
      <c r="D616" s="152"/>
      <c r="E616" s="152"/>
      <c r="F616" s="152"/>
      <c r="G616" s="152"/>
      <c r="H616" s="152"/>
      <c r="I616" s="152"/>
      <c r="J616" s="152"/>
      <c r="K616" s="152"/>
      <c r="L616" s="152"/>
      <c r="M616" s="152"/>
      <c r="N616" s="152"/>
      <c r="O616" s="152"/>
      <c r="P616" s="152"/>
      <c r="Q616" s="152"/>
      <c r="R616" s="152"/>
      <c r="S616" s="152"/>
      <c r="T616" s="152"/>
      <c r="U616" s="152"/>
      <c r="V616" s="152"/>
      <c r="W616" s="152"/>
      <c r="X616" s="152"/>
      <c r="Y616" s="152"/>
      <c r="Z616" s="152"/>
    </row>
    <row r="617" ht="12.8" customHeight="1" spans="1:26">
      <c r="A617" s="152"/>
      <c r="B617" s="152"/>
      <c r="C617" s="152"/>
      <c r="D617" s="152"/>
      <c r="E617" s="152"/>
      <c r="F617" s="152"/>
      <c r="G617" s="152"/>
      <c r="H617" s="152"/>
      <c r="I617" s="152"/>
      <c r="J617" s="152"/>
      <c r="K617" s="152"/>
      <c r="L617" s="152"/>
      <c r="M617" s="152"/>
      <c r="N617" s="152"/>
      <c r="O617" s="152"/>
      <c r="P617" s="152"/>
      <c r="Q617" s="152"/>
      <c r="R617" s="152"/>
      <c r="S617" s="152"/>
      <c r="T617" s="152"/>
      <c r="U617" s="152"/>
      <c r="V617" s="152"/>
      <c r="W617" s="152"/>
      <c r="X617" s="152"/>
      <c r="Y617" s="152"/>
      <c r="Z617" s="152"/>
    </row>
    <row r="618" ht="12.8" customHeight="1" spans="1:26">
      <c r="A618" s="152"/>
      <c r="B618" s="152"/>
      <c r="C618" s="152"/>
      <c r="D618" s="152"/>
      <c r="E618" s="152"/>
      <c r="F618" s="152"/>
      <c r="G618" s="152"/>
      <c r="H618" s="152"/>
      <c r="I618" s="152"/>
      <c r="J618" s="152"/>
      <c r="K618" s="152"/>
      <c r="L618" s="152"/>
      <c r="M618" s="152"/>
      <c r="N618" s="152"/>
      <c r="O618" s="152"/>
      <c r="P618" s="152"/>
      <c r="Q618" s="152"/>
      <c r="R618" s="152"/>
      <c r="S618" s="152"/>
      <c r="T618" s="152"/>
      <c r="U618" s="152"/>
      <c r="V618" s="152"/>
      <c r="W618" s="152"/>
      <c r="X618" s="152"/>
      <c r="Y618" s="152"/>
      <c r="Z618" s="152"/>
    </row>
    <row r="619" ht="12.8" customHeight="1" spans="1:26">
      <c r="A619" s="152"/>
      <c r="B619" s="152"/>
      <c r="C619" s="152"/>
      <c r="D619" s="152"/>
      <c r="E619" s="152"/>
      <c r="F619" s="152"/>
      <c r="G619" s="152"/>
      <c r="H619" s="152"/>
      <c r="I619" s="152"/>
      <c r="J619" s="152"/>
      <c r="K619" s="152"/>
      <c r="L619" s="152"/>
      <c r="M619" s="152"/>
      <c r="N619" s="152"/>
      <c r="O619" s="152"/>
      <c r="P619" s="152"/>
      <c r="Q619" s="152"/>
      <c r="R619" s="152"/>
      <c r="S619" s="152"/>
      <c r="T619" s="152"/>
      <c r="U619" s="152"/>
      <c r="V619" s="152"/>
      <c r="W619" s="152"/>
      <c r="X619" s="152"/>
      <c r="Y619" s="152"/>
      <c r="Z619" s="152"/>
    </row>
    <row r="620" ht="12.8" customHeight="1" spans="1:26">
      <c r="A620" s="152"/>
      <c r="B620" s="152"/>
      <c r="C620" s="152"/>
      <c r="D620" s="152"/>
      <c r="E620" s="152"/>
      <c r="F620" s="152"/>
      <c r="G620" s="152"/>
      <c r="H620" s="152"/>
      <c r="I620" s="152"/>
      <c r="J620" s="152"/>
      <c r="K620" s="152"/>
      <c r="L620" s="152"/>
      <c r="M620" s="152"/>
      <c r="N620" s="152"/>
      <c r="O620" s="152"/>
      <c r="P620" s="152"/>
      <c r="Q620" s="152"/>
      <c r="R620" s="152"/>
      <c r="S620" s="152"/>
      <c r="T620" s="152"/>
      <c r="U620" s="152"/>
      <c r="V620" s="152"/>
      <c r="W620" s="152"/>
      <c r="X620" s="152"/>
      <c r="Y620" s="152"/>
      <c r="Z620" s="152"/>
    </row>
    <row r="621" ht="12.8" customHeight="1" spans="1:26">
      <c r="A621" s="152"/>
      <c r="B621" s="152"/>
      <c r="C621" s="152"/>
      <c r="D621" s="152"/>
      <c r="E621" s="152"/>
      <c r="F621" s="152"/>
      <c r="G621" s="152"/>
      <c r="H621" s="152"/>
      <c r="I621" s="152"/>
      <c r="J621" s="152"/>
      <c r="K621" s="152"/>
      <c r="L621" s="152"/>
      <c r="M621" s="152"/>
      <c r="N621" s="152"/>
      <c r="O621" s="152"/>
      <c r="P621" s="152"/>
      <c r="Q621" s="152"/>
      <c r="R621" s="152"/>
      <c r="S621" s="152"/>
      <c r="T621" s="152"/>
      <c r="U621" s="152"/>
      <c r="V621" s="152"/>
      <c r="W621" s="152"/>
      <c r="X621" s="152"/>
      <c r="Y621" s="152"/>
      <c r="Z621" s="152"/>
    </row>
    <row r="622" ht="12.8" customHeight="1" spans="1:26">
      <c r="A622" s="152"/>
      <c r="B622" s="152"/>
      <c r="C622" s="152"/>
      <c r="D622" s="152"/>
      <c r="E622" s="152"/>
      <c r="F622" s="152"/>
      <c r="G622" s="152"/>
      <c r="H622" s="152"/>
      <c r="I622" s="152"/>
      <c r="J622" s="152"/>
      <c r="K622" s="152"/>
      <c r="L622" s="152"/>
      <c r="M622" s="152"/>
      <c r="N622" s="152"/>
      <c r="O622" s="152"/>
      <c r="P622" s="152"/>
      <c r="Q622" s="152"/>
      <c r="R622" s="152"/>
      <c r="S622" s="152"/>
      <c r="T622" s="152"/>
      <c r="U622" s="152"/>
      <c r="V622" s="152"/>
      <c r="W622" s="152"/>
      <c r="X622" s="152"/>
      <c r="Y622" s="152"/>
      <c r="Z622" s="152"/>
    </row>
    <row r="623" ht="12.8" customHeight="1" spans="1:26">
      <c r="A623" s="152"/>
      <c r="B623" s="152"/>
      <c r="C623" s="152"/>
      <c r="D623" s="152"/>
      <c r="E623" s="152"/>
      <c r="F623" s="152"/>
      <c r="G623" s="152"/>
      <c r="H623" s="152"/>
      <c r="I623" s="152"/>
      <c r="J623" s="152"/>
      <c r="K623" s="152"/>
      <c r="L623" s="152"/>
      <c r="M623" s="152"/>
      <c r="N623" s="152"/>
      <c r="O623" s="152"/>
      <c r="P623" s="152"/>
      <c r="Q623" s="152"/>
      <c r="R623" s="152"/>
      <c r="S623" s="152"/>
      <c r="T623" s="152"/>
      <c r="U623" s="152"/>
      <c r="V623" s="152"/>
      <c r="W623" s="152"/>
      <c r="X623" s="152"/>
      <c r="Y623" s="152"/>
      <c r="Z623" s="152"/>
    </row>
    <row r="624" ht="12.8" customHeight="1" spans="1:26">
      <c r="A624" s="152"/>
      <c r="B624" s="152"/>
      <c r="C624" s="152"/>
      <c r="D624" s="152"/>
      <c r="E624" s="152"/>
      <c r="F624" s="152"/>
      <c r="G624" s="152"/>
      <c r="H624" s="152"/>
      <c r="I624" s="152"/>
      <c r="J624" s="152"/>
      <c r="K624" s="152"/>
      <c r="L624" s="152"/>
      <c r="M624" s="152"/>
      <c r="N624" s="152"/>
      <c r="O624" s="152"/>
      <c r="P624" s="152"/>
      <c r="Q624" s="152"/>
      <c r="R624" s="152"/>
      <c r="S624" s="152"/>
      <c r="T624" s="152"/>
      <c r="U624" s="152"/>
      <c r="V624" s="152"/>
      <c r="W624" s="152"/>
      <c r="X624" s="152"/>
      <c r="Y624" s="152"/>
      <c r="Z624" s="152"/>
    </row>
    <row r="625" ht="12.8" customHeight="1" spans="1:26">
      <c r="A625" s="152"/>
      <c r="B625" s="152"/>
      <c r="C625" s="152"/>
      <c r="D625" s="152"/>
      <c r="E625" s="152"/>
      <c r="F625" s="152"/>
      <c r="G625" s="152"/>
      <c r="H625" s="152"/>
      <c r="I625" s="152"/>
      <c r="J625" s="152"/>
      <c r="K625" s="152"/>
      <c r="L625" s="152"/>
      <c r="M625" s="152"/>
      <c r="N625" s="152"/>
      <c r="O625" s="152"/>
      <c r="P625" s="152"/>
      <c r="Q625" s="152"/>
      <c r="R625" s="152"/>
      <c r="S625" s="152"/>
      <c r="T625" s="152"/>
      <c r="U625" s="152"/>
      <c r="V625" s="152"/>
      <c r="W625" s="152"/>
      <c r="X625" s="152"/>
      <c r="Y625" s="152"/>
      <c r="Z625" s="152"/>
    </row>
    <row r="626" ht="12.8" customHeight="1" spans="1:26">
      <c r="A626" s="152"/>
      <c r="B626" s="152"/>
      <c r="C626" s="152"/>
      <c r="D626" s="152"/>
      <c r="E626" s="152"/>
      <c r="F626" s="152"/>
      <c r="G626" s="152"/>
      <c r="H626" s="152"/>
      <c r="I626" s="152"/>
      <c r="J626" s="152"/>
      <c r="K626" s="152"/>
      <c r="L626" s="152"/>
      <c r="M626" s="152"/>
      <c r="N626" s="152"/>
      <c r="O626" s="152"/>
      <c r="P626" s="152"/>
      <c r="Q626" s="152"/>
      <c r="R626" s="152"/>
      <c r="S626" s="152"/>
      <c r="T626" s="152"/>
      <c r="U626" s="152"/>
      <c r="V626" s="152"/>
      <c r="W626" s="152"/>
      <c r="X626" s="152"/>
      <c r="Y626" s="152"/>
      <c r="Z626" s="152"/>
    </row>
    <row r="627" ht="12.8" customHeight="1" spans="1:26">
      <c r="A627" s="152"/>
      <c r="B627" s="152"/>
      <c r="C627" s="152"/>
      <c r="D627" s="152"/>
      <c r="E627" s="152"/>
      <c r="F627" s="152"/>
      <c r="G627" s="152"/>
      <c r="H627" s="152"/>
      <c r="I627" s="152"/>
      <c r="J627" s="152"/>
      <c r="K627" s="152"/>
      <c r="L627" s="152"/>
      <c r="M627" s="152"/>
      <c r="N627" s="152"/>
      <c r="O627" s="152"/>
      <c r="P627" s="152"/>
      <c r="Q627" s="152"/>
      <c r="R627" s="152"/>
      <c r="S627" s="152"/>
      <c r="T627" s="152"/>
      <c r="U627" s="152"/>
      <c r="V627" s="152"/>
      <c r="W627" s="152"/>
      <c r="X627" s="152"/>
      <c r="Y627" s="152"/>
      <c r="Z627" s="152"/>
    </row>
    <row r="628" ht="12.8" customHeight="1" spans="1:26">
      <c r="A628" s="152"/>
      <c r="B628" s="152"/>
      <c r="C628" s="152"/>
      <c r="D628" s="152"/>
      <c r="E628" s="152"/>
      <c r="F628" s="152"/>
      <c r="G628" s="152"/>
      <c r="H628" s="152"/>
      <c r="I628" s="152"/>
      <c r="J628" s="152"/>
      <c r="K628" s="152"/>
      <c r="L628" s="152"/>
      <c r="M628" s="152"/>
      <c r="N628" s="152"/>
      <c r="O628" s="152"/>
      <c r="P628" s="152"/>
      <c r="Q628" s="152"/>
      <c r="R628" s="152"/>
      <c r="S628" s="152"/>
      <c r="T628" s="152"/>
      <c r="U628" s="152"/>
      <c r="V628" s="152"/>
      <c r="W628" s="152"/>
      <c r="X628" s="152"/>
      <c r="Y628" s="152"/>
      <c r="Z628" s="152"/>
    </row>
    <row r="629" ht="12.8" customHeight="1" spans="1:26">
      <c r="A629" s="152"/>
      <c r="B629" s="152"/>
      <c r="C629" s="152"/>
      <c r="D629" s="152"/>
      <c r="E629" s="152"/>
      <c r="F629" s="152"/>
      <c r="G629" s="152"/>
      <c r="H629" s="152"/>
      <c r="I629" s="152"/>
      <c r="J629" s="152"/>
      <c r="K629" s="152"/>
      <c r="L629" s="152"/>
      <c r="M629" s="152"/>
      <c r="N629" s="152"/>
      <c r="O629" s="152"/>
      <c r="P629" s="152"/>
      <c r="Q629" s="152"/>
      <c r="R629" s="152"/>
      <c r="S629" s="152"/>
      <c r="T629" s="152"/>
      <c r="U629" s="152"/>
      <c r="V629" s="152"/>
      <c r="W629" s="152"/>
      <c r="X629" s="152"/>
      <c r="Y629" s="152"/>
      <c r="Z629" s="152"/>
    </row>
    <row r="630" ht="12.8" customHeight="1" spans="1:26">
      <c r="A630" s="152"/>
      <c r="B630" s="152"/>
      <c r="C630" s="152"/>
      <c r="D630" s="152"/>
      <c r="E630" s="152"/>
      <c r="F630" s="152"/>
      <c r="G630" s="152"/>
      <c r="H630" s="152"/>
      <c r="I630" s="152"/>
      <c r="J630" s="152"/>
      <c r="K630" s="152"/>
      <c r="L630" s="152"/>
      <c r="M630" s="152"/>
      <c r="N630" s="152"/>
      <c r="O630" s="152"/>
      <c r="P630" s="152"/>
      <c r="Q630" s="152"/>
      <c r="R630" s="152"/>
      <c r="S630" s="152"/>
      <c r="T630" s="152"/>
      <c r="U630" s="152"/>
      <c r="V630" s="152"/>
      <c r="W630" s="152"/>
      <c r="X630" s="152"/>
      <c r="Y630" s="152"/>
      <c r="Z630" s="152"/>
    </row>
    <row r="631" ht="12.8" customHeight="1" spans="1:26">
      <c r="A631" s="152"/>
      <c r="B631" s="152"/>
      <c r="C631" s="152"/>
      <c r="D631" s="152"/>
      <c r="E631" s="152"/>
      <c r="F631" s="152"/>
      <c r="G631" s="152"/>
      <c r="H631" s="152"/>
      <c r="I631" s="152"/>
      <c r="J631" s="152"/>
      <c r="K631" s="152"/>
      <c r="L631" s="152"/>
      <c r="M631" s="152"/>
      <c r="N631" s="152"/>
      <c r="O631" s="152"/>
      <c r="P631" s="152"/>
      <c r="Q631" s="152"/>
      <c r="R631" s="152"/>
      <c r="S631" s="152"/>
      <c r="T631" s="152"/>
      <c r="U631" s="152"/>
      <c r="V631" s="152"/>
      <c r="W631" s="152"/>
      <c r="X631" s="152"/>
      <c r="Y631" s="152"/>
      <c r="Z631" s="152"/>
    </row>
    <row r="632" ht="12.8" customHeight="1" spans="1:26">
      <c r="A632" s="152"/>
      <c r="B632" s="152"/>
      <c r="C632" s="152"/>
      <c r="D632" s="152"/>
      <c r="E632" s="152"/>
      <c r="F632" s="152"/>
      <c r="G632" s="152"/>
      <c r="H632" s="152"/>
      <c r="I632" s="152"/>
      <c r="J632" s="152"/>
      <c r="K632" s="152"/>
      <c r="L632" s="152"/>
      <c r="M632" s="152"/>
      <c r="N632" s="152"/>
      <c r="O632" s="152"/>
      <c r="P632" s="152"/>
      <c r="Q632" s="152"/>
      <c r="R632" s="152"/>
      <c r="S632" s="152"/>
      <c r="T632" s="152"/>
      <c r="U632" s="152"/>
      <c r="V632" s="152"/>
      <c r="W632" s="152"/>
      <c r="X632" s="152"/>
      <c r="Y632" s="152"/>
      <c r="Z632" s="152"/>
    </row>
    <row r="633" ht="12.8" customHeight="1" spans="1:26">
      <c r="A633" s="152"/>
      <c r="B633" s="152"/>
      <c r="C633" s="152"/>
      <c r="D633" s="152"/>
      <c r="E633" s="152"/>
      <c r="F633" s="152"/>
      <c r="G633" s="152"/>
      <c r="H633" s="152"/>
      <c r="I633" s="152"/>
      <c r="J633" s="152"/>
      <c r="K633" s="152"/>
      <c r="L633" s="152"/>
      <c r="M633" s="152"/>
      <c r="N633" s="152"/>
      <c r="O633" s="152"/>
      <c r="P633" s="152"/>
      <c r="Q633" s="152"/>
      <c r="R633" s="152"/>
      <c r="S633" s="152"/>
      <c r="T633" s="152"/>
      <c r="U633" s="152"/>
      <c r="V633" s="152"/>
      <c r="W633" s="152"/>
      <c r="X633" s="152"/>
      <c r="Y633" s="152"/>
      <c r="Z633" s="152"/>
    </row>
    <row r="634" ht="12.8" customHeight="1" spans="1:26">
      <c r="A634" s="152"/>
      <c r="B634" s="152"/>
      <c r="C634" s="152"/>
      <c r="D634" s="152"/>
      <c r="E634" s="152"/>
      <c r="F634" s="152"/>
      <c r="G634" s="152"/>
      <c r="H634" s="152"/>
      <c r="I634" s="152"/>
      <c r="J634" s="152"/>
      <c r="K634" s="152"/>
      <c r="L634" s="152"/>
      <c r="M634" s="152"/>
      <c r="N634" s="152"/>
      <c r="O634" s="152"/>
      <c r="P634" s="152"/>
      <c r="Q634" s="152"/>
      <c r="R634" s="152"/>
      <c r="S634" s="152"/>
      <c r="T634" s="152"/>
      <c r="U634" s="152"/>
      <c r="V634" s="152"/>
      <c r="W634" s="152"/>
      <c r="X634" s="152"/>
      <c r="Y634" s="152"/>
      <c r="Z634" s="152"/>
    </row>
    <row r="635" ht="12.8" customHeight="1" spans="1:26">
      <c r="A635" s="152"/>
      <c r="B635" s="152"/>
      <c r="C635" s="152"/>
      <c r="D635" s="152"/>
      <c r="E635" s="152"/>
      <c r="F635" s="152"/>
      <c r="G635" s="152"/>
      <c r="H635" s="152"/>
      <c r="I635" s="152"/>
      <c r="J635" s="152"/>
      <c r="K635" s="152"/>
      <c r="L635" s="152"/>
      <c r="M635" s="152"/>
      <c r="N635" s="152"/>
      <c r="O635" s="152"/>
      <c r="P635" s="152"/>
      <c r="Q635" s="152"/>
      <c r="R635" s="152"/>
      <c r="S635" s="152"/>
      <c r="T635" s="152"/>
      <c r="U635" s="152"/>
      <c r="V635" s="152"/>
      <c r="W635" s="152"/>
      <c r="X635" s="152"/>
      <c r="Y635" s="152"/>
      <c r="Z635" s="152"/>
    </row>
    <row r="636" ht="12.8" customHeight="1" spans="1:26">
      <c r="A636" s="152"/>
      <c r="B636" s="152"/>
      <c r="C636" s="152"/>
      <c r="D636" s="152"/>
      <c r="E636" s="152"/>
      <c r="F636" s="152"/>
      <c r="G636" s="152"/>
      <c r="H636" s="152"/>
      <c r="I636" s="152"/>
      <c r="J636" s="152"/>
      <c r="K636" s="152"/>
      <c r="L636" s="152"/>
      <c r="M636" s="152"/>
      <c r="N636" s="152"/>
      <c r="O636" s="152"/>
      <c r="P636" s="152"/>
      <c r="Q636" s="152"/>
      <c r="R636" s="152"/>
      <c r="S636" s="152"/>
      <c r="T636" s="152"/>
      <c r="U636" s="152"/>
      <c r="V636" s="152"/>
      <c r="W636" s="152"/>
      <c r="X636" s="152"/>
      <c r="Y636" s="152"/>
      <c r="Z636" s="152"/>
    </row>
    <row r="637" ht="12.8" customHeight="1" spans="1:26">
      <c r="A637" s="152"/>
      <c r="B637" s="152"/>
      <c r="C637" s="152"/>
      <c r="D637" s="152"/>
      <c r="E637" s="152"/>
      <c r="F637" s="152"/>
      <c r="G637" s="152"/>
      <c r="H637" s="152"/>
      <c r="I637" s="152"/>
      <c r="J637" s="152"/>
      <c r="K637" s="152"/>
      <c r="L637" s="152"/>
      <c r="M637" s="152"/>
      <c r="N637" s="152"/>
      <c r="O637" s="152"/>
      <c r="P637" s="152"/>
      <c r="Q637" s="152"/>
      <c r="R637" s="152"/>
      <c r="S637" s="152"/>
      <c r="T637" s="152"/>
      <c r="U637" s="152"/>
      <c r="V637" s="152"/>
      <c r="W637" s="152"/>
      <c r="X637" s="152"/>
      <c r="Y637" s="152"/>
      <c r="Z637" s="152"/>
    </row>
    <row r="638" ht="12.8" customHeight="1" spans="1:26">
      <c r="A638" s="152"/>
      <c r="B638" s="152"/>
      <c r="C638" s="152"/>
      <c r="D638" s="152"/>
      <c r="E638" s="152"/>
      <c r="F638" s="152"/>
      <c r="G638" s="152"/>
      <c r="H638" s="152"/>
      <c r="I638" s="152"/>
      <c r="J638" s="152"/>
      <c r="K638" s="152"/>
      <c r="L638" s="152"/>
      <c r="M638" s="152"/>
      <c r="N638" s="152"/>
      <c r="O638" s="152"/>
      <c r="P638" s="152"/>
      <c r="Q638" s="152"/>
      <c r="R638" s="152"/>
      <c r="S638" s="152"/>
      <c r="T638" s="152"/>
      <c r="U638" s="152"/>
      <c r="V638" s="152"/>
      <c r="W638" s="152"/>
      <c r="X638" s="152"/>
      <c r="Y638" s="152"/>
      <c r="Z638" s="152"/>
    </row>
    <row r="639" ht="12.8" customHeight="1" spans="1:26">
      <c r="A639" s="152"/>
      <c r="B639" s="152"/>
      <c r="C639" s="152"/>
      <c r="D639" s="152"/>
      <c r="E639" s="152"/>
      <c r="F639" s="152"/>
      <c r="G639" s="152"/>
      <c r="H639" s="152"/>
      <c r="I639" s="152"/>
      <c r="J639" s="152"/>
      <c r="K639" s="152"/>
      <c r="L639" s="152"/>
      <c r="M639" s="152"/>
      <c r="N639" s="152"/>
      <c r="O639" s="152"/>
      <c r="P639" s="152"/>
      <c r="Q639" s="152"/>
      <c r="R639" s="152"/>
      <c r="S639" s="152"/>
      <c r="T639" s="152"/>
      <c r="U639" s="152"/>
      <c r="V639" s="152"/>
      <c r="W639" s="152"/>
      <c r="X639" s="152"/>
      <c r="Y639" s="152"/>
      <c r="Z639" s="152"/>
    </row>
    <row r="640" ht="12.8" customHeight="1" spans="1:26">
      <c r="A640" s="152"/>
      <c r="B640" s="152"/>
      <c r="C640" s="152"/>
      <c r="D640" s="152"/>
      <c r="E640" s="152"/>
      <c r="F640" s="152"/>
      <c r="G640" s="152"/>
      <c r="H640" s="152"/>
      <c r="I640" s="152"/>
      <c r="J640" s="152"/>
      <c r="K640" s="152"/>
      <c r="L640" s="152"/>
      <c r="M640" s="152"/>
      <c r="N640" s="152"/>
      <c r="O640" s="152"/>
      <c r="P640" s="152"/>
      <c r="Q640" s="152"/>
      <c r="R640" s="152"/>
      <c r="S640" s="152"/>
      <c r="T640" s="152"/>
      <c r="U640" s="152"/>
      <c r="V640" s="152"/>
      <c r="W640" s="152"/>
      <c r="X640" s="152"/>
      <c r="Y640" s="152"/>
      <c r="Z640" s="152"/>
    </row>
    <row r="641" ht="12.8" customHeight="1" spans="1:26">
      <c r="A641" s="152"/>
      <c r="B641" s="152"/>
      <c r="C641" s="152"/>
      <c r="D641" s="152"/>
      <c r="E641" s="152"/>
      <c r="F641" s="152"/>
      <c r="G641" s="152"/>
      <c r="H641" s="152"/>
      <c r="I641" s="152"/>
      <c r="J641" s="152"/>
      <c r="K641" s="152"/>
      <c r="L641" s="152"/>
      <c r="M641" s="152"/>
      <c r="N641" s="152"/>
      <c r="O641" s="152"/>
      <c r="P641" s="152"/>
      <c r="Q641" s="152"/>
      <c r="R641" s="152"/>
      <c r="S641" s="152"/>
      <c r="T641" s="152"/>
      <c r="U641" s="152"/>
      <c r="V641" s="152"/>
      <c r="W641" s="152"/>
      <c r="X641" s="152"/>
      <c r="Y641" s="152"/>
      <c r="Z641" s="152"/>
    </row>
    <row r="642" ht="12.8" customHeight="1" spans="1:26">
      <c r="A642" s="152"/>
      <c r="B642" s="152"/>
      <c r="C642" s="152"/>
      <c r="D642" s="152"/>
      <c r="E642" s="152"/>
      <c r="F642" s="152"/>
      <c r="G642" s="152"/>
      <c r="H642" s="152"/>
      <c r="I642" s="152"/>
      <c r="J642" s="152"/>
      <c r="K642" s="152"/>
      <c r="L642" s="152"/>
      <c r="M642" s="152"/>
      <c r="N642" s="152"/>
      <c r="O642" s="152"/>
      <c r="P642" s="152"/>
      <c r="Q642" s="152"/>
      <c r="R642" s="152"/>
      <c r="S642" s="152"/>
      <c r="T642" s="152"/>
      <c r="U642" s="152"/>
      <c r="V642" s="152"/>
      <c r="W642" s="152"/>
      <c r="X642" s="152"/>
      <c r="Y642" s="152"/>
      <c r="Z642" s="152"/>
    </row>
    <row r="643" ht="12.8" customHeight="1" spans="1:26">
      <c r="A643" s="152"/>
      <c r="B643" s="152"/>
      <c r="C643" s="152"/>
      <c r="D643" s="152"/>
      <c r="E643" s="152"/>
      <c r="F643" s="152"/>
      <c r="G643" s="152"/>
      <c r="H643" s="152"/>
      <c r="I643" s="152"/>
      <c r="J643" s="152"/>
      <c r="K643" s="152"/>
      <c r="L643" s="152"/>
      <c r="M643" s="152"/>
      <c r="N643" s="152"/>
      <c r="O643" s="152"/>
      <c r="P643" s="152"/>
      <c r="Q643" s="152"/>
      <c r="R643" s="152"/>
      <c r="S643" s="152"/>
      <c r="T643" s="152"/>
      <c r="U643" s="152"/>
      <c r="V643" s="152"/>
      <c r="W643" s="152"/>
      <c r="X643" s="152"/>
      <c r="Y643" s="152"/>
      <c r="Z643" s="152"/>
    </row>
    <row r="644" ht="12.8" customHeight="1" spans="1:26">
      <c r="A644" s="152"/>
      <c r="B644" s="152"/>
      <c r="C644" s="152"/>
      <c r="D644" s="152"/>
      <c r="E644" s="152"/>
      <c r="F644" s="152"/>
      <c r="G644" s="152"/>
      <c r="H644" s="152"/>
      <c r="I644" s="152"/>
      <c r="J644" s="152"/>
      <c r="K644" s="152"/>
      <c r="L644" s="152"/>
      <c r="M644" s="152"/>
      <c r="N644" s="152"/>
      <c r="O644" s="152"/>
      <c r="P644" s="152"/>
      <c r="Q644" s="152"/>
      <c r="R644" s="152"/>
      <c r="S644" s="152"/>
      <c r="T644" s="152"/>
      <c r="U644" s="152"/>
      <c r="V644" s="152"/>
      <c r="W644" s="152"/>
      <c r="X644" s="152"/>
      <c r="Y644" s="152"/>
      <c r="Z644" s="152"/>
    </row>
    <row r="645" ht="12.8" customHeight="1" spans="1:26">
      <c r="A645" s="152"/>
      <c r="B645" s="152"/>
      <c r="C645" s="152"/>
      <c r="D645" s="152"/>
      <c r="E645" s="152"/>
      <c r="F645" s="152"/>
      <c r="G645" s="152"/>
      <c r="H645" s="152"/>
      <c r="I645" s="152"/>
      <c r="J645" s="152"/>
      <c r="K645" s="152"/>
      <c r="L645" s="152"/>
      <c r="M645" s="152"/>
      <c r="N645" s="152"/>
      <c r="O645" s="152"/>
      <c r="P645" s="152"/>
      <c r="Q645" s="152"/>
      <c r="R645" s="152"/>
      <c r="S645" s="152"/>
      <c r="T645" s="152"/>
      <c r="U645" s="152"/>
      <c r="V645" s="152"/>
      <c r="W645" s="152"/>
      <c r="X645" s="152"/>
      <c r="Y645" s="152"/>
      <c r="Z645" s="152"/>
    </row>
    <row r="646" ht="12.8" customHeight="1" spans="1:26">
      <c r="A646" s="152"/>
      <c r="B646" s="152"/>
      <c r="C646" s="152"/>
      <c r="D646" s="152"/>
      <c r="E646" s="152"/>
      <c r="F646" s="152"/>
      <c r="G646" s="152"/>
      <c r="H646" s="152"/>
      <c r="I646" s="152"/>
      <c r="J646" s="152"/>
      <c r="K646" s="152"/>
      <c r="L646" s="152"/>
      <c r="M646" s="152"/>
      <c r="N646" s="152"/>
      <c r="O646" s="152"/>
      <c r="P646" s="152"/>
      <c r="Q646" s="152"/>
      <c r="R646" s="152"/>
      <c r="S646" s="152"/>
      <c r="T646" s="152"/>
      <c r="U646" s="152"/>
      <c r="V646" s="152"/>
      <c r="W646" s="152"/>
      <c r="X646" s="152"/>
      <c r="Y646" s="152"/>
      <c r="Z646" s="152"/>
    </row>
    <row r="647" ht="12.8" customHeight="1" spans="1:26">
      <c r="A647" s="152"/>
      <c r="B647" s="152"/>
      <c r="C647" s="152"/>
      <c r="D647" s="152"/>
      <c r="E647" s="152"/>
      <c r="F647" s="152"/>
      <c r="G647" s="152"/>
      <c r="H647" s="152"/>
      <c r="I647" s="152"/>
      <c r="J647" s="152"/>
      <c r="K647" s="152"/>
      <c r="L647" s="152"/>
      <c r="M647" s="152"/>
      <c r="N647" s="152"/>
      <c r="O647" s="152"/>
      <c r="P647" s="152"/>
      <c r="Q647" s="152"/>
      <c r="R647" s="152"/>
      <c r="S647" s="152"/>
      <c r="T647" s="152"/>
      <c r="U647" s="152"/>
      <c r="V647" s="152"/>
      <c r="W647" s="152"/>
      <c r="X647" s="152"/>
      <c r="Y647" s="152"/>
      <c r="Z647" s="152"/>
    </row>
    <row r="648" ht="12.8" customHeight="1" spans="1:26">
      <c r="A648" s="152"/>
      <c r="B648" s="152"/>
      <c r="C648" s="152"/>
      <c r="D648" s="152"/>
      <c r="E648" s="152"/>
      <c r="F648" s="152"/>
      <c r="G648" s="152"/>
      <c r="H648" s="152"/>
      <c r="I648" s="152"/>
      <c r="J648" s="152"/>
      <c r="K648" s="152"/>
      <c r="L648" s="152"/>
      <c r="M648" s="152"/>
      <c r="N648" s="152"/>
      <c r="O648" s="152"/>
      <c r="P648" s="152"/>
      <c r="Q648" s="152"/>
      <c r="R648" s="152"/>
      <c r="S648" s="152"/>
      <c r="T648" s="152"/>
      <c r="U648" s="152"/>
      <c r="V648" s="152"/>
      <c r="W648" s="152"/>
      <c r="X648" s="152"/>
      <c r="Y648" s="152"/>
      <c r="Z648" s="152"/>
    </row>
    <row r="649" ht="12.8" customHeight="1" spans="1:26">
      <c r="A649" s="152"/>
      <c r="B649" s="152"/>
      <c r="C649" s="152"/>
      <c r="D649" s="152"/>
      <c r="E649" s="152"/>
      <c r="F649" s="152"/>
      <c r="G649" s="152"/>
      <c r="H649" s="152"/>
      <c r="I649" s="152"/>
      <c r="J649" s="152"/>
      <c r="K649" s="152"/>
      <c r="L649" s="152"/>
      <c r="M649" s="152"/>
      <c r="N649" s="152"/>
      <c r="O649" s="152"/>
      <c r="P649" s="152"/>
      <c r="Q649" s="152"/>
      <c r="R649" s="152"/>
      <c r="S649" s="152"/>
      <c r="T649" s="152"/>
      <c r="U649" s="152"/>
      <c r="V649" s="152"/>
      <c r="W649" s="152"/>
      <c r="X649" s="152"/>
      <c r="Y649" s="152"/>
      <c r="Z649" s="152"/>
    </row>
    <row r="650" ht="12.8" customHeight="1" spans="1:26">
      <c r="A650" s="152"/>
      <c r="B650" s="152"/>
      <c r="C650" s="152"/>
      <c r="D650" s="152"/>
      <c r="E650" s="152"/>
      <c r="F650" s="152"/>
      <c r="G650" s="152"/>
      <c r="H650" s="152"/>
      <c r="I650" s="152"/>
      <c r="J650" s="152"/>
      <c r="K650" s="152"/>
      <c r="L650" s="152"/>
      <c r="M650" s="152"/>
      <c r="N650" s="152"/>
      <c r="O650" s="152"/>
      <c r="P650" s="152"/>
      <c r="Q650" s="152"/>
      <c r="R650" s="152"/>
      <c r="S650" s="152"/>
      <c r="T650" s="152"/>
      <c r="U650" s="152"/>
      <c r="V650" s="152"/>
      <c r="W650" s="152"/>
      <c r="X650" s="152"/>
      <c r="Y650" s="152"/>
      <c r="Z650" s="152"/>
    </row>
    <row r="651" ht="12.8" customHeight="1" spans="1:26">
      <c r="A651" s="152"/>
      <c r="B651" s="152"/>
      <c r="C651" s="152"/>
      <c r="D651" s="152"/>
      <c r="E651" s="152"/>
      <c r="F651" s="152"/>
      <c r="G651" s="152"/>
      <c r="H651" s="152"/>
      <c r="I651" s="152"/>
      <c r="J651" s="152"/>
      <c r="K651" s="152"/>
      <c r="L651" s="152"/>
      <c r="M651" s="152"/>
      <c r="N651" s="152"/>
      <c r="O651" s="152"/>
      <c r="P651" s="152"/>
      <c r="Q651" s="152"/>
      <c r="R651" s="152"/>
      <c r="S651" s="152"/>
      <c r="T651" s="152"/>
      <c r="U651" s="152"/>
      <c r="V651" s="152"/>
      <c r="W651" s="152"/>
      <c r="X651" s="152"/>
      <c r="Y651" s="152"/>
      <c r="Z651" s="152"/>
    </row>
    <row r="652" ht="12.8" customHeight="1" spans="1:26">
      <c r="A652" s="152"/>
      <c r="B652" s="152"/>
      <c r="C652" s="152"/>
      <c r="D652" s="152"/>
      <c r="E652" s="152"/>
      <c r="F652" s="152"/>
      <c r="G652" s="152"/>
      <c r="H652" s="152"/>
      <c r="I652" s="152"/>
      <c r="J652" s="152"/>
      <c r="K652" s="152"/>
      <c r="L652" s="152"/>
      <c r="M652" s="152"/>
      <c r="N652" s="152"/>
      <c r="O652" s="152"/>
      <c r="P652" s="152"/>
      <c r="Q652" s="152"/>
      <c r="R652" s="152"/>
      <c r="S652" s="152"/>
      <c r="T652" s="152"/>
      <c r="U652" s="152"/>
      <c r="V652" s="152"/>
      <c r="W652" s="152"/>
      <c r="X652" s="152"/>
      <c r="Y652" s="152"/>
      <c r="Z652" s="152"/>
    </row>
    <row r="653" ht="12.8" customHeight="1" spans="1:26">
      <c r="A653" s="152"/>
      <c r="B653" s="152"/>
      <c r="C653" s="152"/>
      <c r="D653" s="152"/>
      <c r="E653" s="152"/>
      <c r="F653" s="152"/>
      <c r="G653" s="152"/>
      <c r="H653" s="152"/>
      <c r="I653" s="152"/>
      <c r="J653" s="152"/>
      <c r="K653" s="152"/>
      <c r="L653" s="152"/>
      <c r="M653" s="152"/>
      <c r="N653" s="152"/>
      <c r="O653" s="152"/>
      <c r="P653" s="152"/>
      <c r="Q653" s="152"/>
      <c r="R653" s="152"/>
      <c r="S653" s="152"/>
      <c r="T653" s="152"/>
      <c r="U653" s="152"/>
      <c r="V653" s="152"/>
      <c r="W653" s="152"/>
      <c r="X653" s="152"/>
      <c r="Y653" s="152"/>
      <c r="Z653" s="152"/>
    </row>
    <row r="654" ht="12.8" customHeight="1" spans="1:26">
      <c r="A654" s="152"/>
      <c r="B654" s="152"/>
      <c r="C654" s="152"/>
      <c r="D654" s="152"/>
      <c r="E654" s="152"/>
      <c r="F654" s="152"/>
      <c r="G654" s="152"/>
      <c r="H654" s="152"/>
      <c r="I654" s="152"/>
      <c r="J654" s="152"/>
      <c r="K654" s="152"/>
      <c r="L654" s="152"/>
      <c r="M654" s="152"/>
      <c r="N654" s="152"/>
      <c r="O654" s="152"/>
      <c r="P654" s="152"/>
      <c r="Q654" s="152"/>
      <c r="R654" s="152"/>
      <c r="S654" s="152"/>
      <c r="T654" s="152"/>
      <c r="U654" s="152"/>
      <c r="V654" s="152"/>
      <c r="W654" s="152"/>
      <c r="X654" s="152"/>
      <c r="Y654" s="152"/>
      <c r="Z654" s="152"/>
    </row>
    <row r="655" ht="12.8" customHeight="1" spans="1:26">
      <c r="A655" s="152"/>
      <c r="B655" s="152"/>
      <c r="C655" s="152"/>
      <c r="D655" s="152"/>
      <c r="E655" s="152"/>
      <c r="F655" s="152"/>
      <c r="G655" s="152"/>
      <c r="H655" s="152"/>
      <c r="I655" s="152"/>
      <c r="J655" s="152"/>
      <c r="K655" s="152"/>
      <c r="L655" s="152"/>
      <c r="M655" s="152"/>
      <c r="N655" s="152"/>
      <c r="O655" s="152"/>
      <c r="P655" s="152"/>
      <c r="Q655" s="152"/>
      <c r="R655" s="152"/>
      <c r="S655" s="152"/>
      <c r="T655" s="152"/>
      <c r="U655" s="152"/>
      <c r="V655" s="152"/>
      <c r="W655" s="152"/>
      <c r="X655" s="152"/>
      <c r="Y655" s="152"/>
      <c r="Z655" s="152"/>
    </row>
    <row r="656" ht="12.8" customHeight="1" spans="1:26">
      <c r="A656" s="152"/>
      <c r="B656" s="152"/>
      <c r="C656" s="152"/>
      <c r="D656" s="152"/>
      <c r="E656" s="152"/>
      <c r="F656" s="152"/>
      <c r="G656" s="152"/>
      <c r="H656" s="152"/>
      <c r="I656" s="152"/>
      <c r="J656" s="152"/>
      <c r="K656" s="152"/>
      <c r="L656" s="152"/>
      <c r="M656" s="152"/>
      <c r="N656" s="152"/>
      <c r="O656" s="152"/>
      <c r="P656" s="152"/>
      <c r="Q656" s="152"/>
      <c r="R656" s="152"/>
      <c r="S656" s="152"/>
      <c r="T656" s="152"/>
      <c r="U656" s="152"/>
      <c r="V656" s="152"/>
      <c r="W656" s="152"/>
      <c r="X656" s="152"/>
      <c r="Y656" s="152"/>
      <c r="Z656" s="152"/>
    </row>
    <row r="657" ht="12.8" customHeight="1" spans="1:26">
      <c r="A657" s="152"/>
      <c r="B657" s="152"/>
      <c r="C657" s="152"/>
      <c r="D657" s="152"/>
      <c r="E657" s="152"/>
      <c r="F657" s="152"/>
      <c r="G657" s="152"/>
      <c r="H657" s="152"/>
      <c r="I657" s="152"/>
      <c r="J657" s="152"/>
      <c r="K657" s="152"/>
      <c r="L657" s="152"/>
      <c r="M657" s="152"/>
      <c r="N657" s="152"/>
      <c r="O657" s="152"/>
      <c r="P657" s="152"/>
      <c r="Q657" s="152"/>
      <c r="R657" s="152"/>
      <c r="S657" s="152"/>
      <c r="T657" s="152"/>
      <c r="U657" s="152"/>
      <c r="V657" s="152"/>
      <c r="W657" s="152"/>
      <c r="X657" s="152"/>
      <c r="Y657" s="152"/>
      <c r="Z657" s="152"/>
    </row>
    <row r="658" ht="12.8" customHeight="1" spans="1:26">
      <c r="A658" s="152"/>
      <c r="B658" s="152"/>
      <c r="C658" s="152"/>
      <c r="D658" s="152"/>
      <c r="E658" s="152"/>
      <c r="F658" s="152"/>
      <c r="G658" s="152"/>
      <c r="H658" s="152"/>
      <c r="I658" s="152"/>
      <c r="J658" s="152"/>
      <c r="K658" s="152"/>
      <c r="L658" s="152"/>
      <c r="M658" s="152"/>
      <c r="N658" s="152"/>
      <c r="O658" s="152"/>
      <c r="P658" s="152"/>
      <c r="Q658" s="152"/>
      <c r="R658" s="152"/>
      <c r="S658" s="152"/>
      <c r="T658" s="152"/>
      <c r="U658" s="152"/>
      <c r="V658" s="152"/>
      <c r="W658" s="152"/>
      <c r="X658" s="152"/>
      <c r="Y658" s="152"/>
      <c r="Z658" s="152"/>
    </row>
    <row r="659" ht="12.8" customHeight="1" spans="1:26">
      <c r="A659" s="152"/>
      <c r="B659" s="152"/>
      <c r="C659" s="152"/>
      <c r="D659" s="152"/>
      <c r="E659" s="152"/>
      <c r="F659" s="152"/>
      <c r="G659" s="152"/>
      <c r="H659" s="152"/>
      <c r="I659" s="152"/>
      <c r="J659" s="152"/>
      <c r="K659" s="152"/>
      <c r="L659" s="152"/>
      <c r="M659" s="152"/>
      <c r="N659" s="152"/>
      <c r="O659" s="152"/>
      <c r="P659" s="152"/>
      <c r="Q659" s="152"/>
      <c r="R659" s="152"/>
      <c r="S659" s="152"/>
      <c r="T659" s="152"/>
      <c r="U659" s="152"/>
      <c r="V659" s="152"/>
      <c r="W659" s="152"/>
      <c r="X659" s="152"/>
      <c r="Y659" s="152"/>
      <c r="Z659" s="152"/>
    </row>
    <row r="660" ht="12.8" customHeight="1" spans="1:26">
      <c r="A660" s="152"/>
      <c r="B660" s="152"/>
      <c r="C660" s="152"/>
      <c r="D660" s="152"/>
      <c r="E660" s="152"/>
      <c r="F660" s="152"/>
      <c r="G660" s="152"/>
      <c r="H660" s="152"/>
      <c r="I660" s="152"/>
      <c r="J660" s="152"/>
      <c r="K660" s="152"/>
      <c r="L660" s="152"/>
      <c r="M660" s="152"/>
      <c r="N660" s="152"/>
      <c r="O660" s="152"/>
      <c r="P660" s="152"/>
      <c r="Q660" s="152"/>
      <c r="R660" s="152"/>
      <c r="S660" s="152"/>
      <c r="T660" s="152"/>
      <c r="U660" s="152"/>
      <c r="V660" s="152"/>
      <c r="W660" s="152"/>
      <c r="X660" s="152"/>
      <c r="Y660" s="152"/>
      <c r="Z660" s="152"/>
    </row>
    <row r="661" ht="12.8" customHeight="1" spans="1:26">
      <c r="A661" s="152"/>
      <c r="B661" s="152"/>
      <c r="C661" s="152"/>
      <c r="D661" s="152"/>
      <c r="E661" s="152"/>
      <c r="F661" s="152"/>
      <c r="G661" s="152"/>
      <c r="H661" s="152"/>
      <c r="I661" s="152"/>
      <c r="J661" s="152"/>
      <c r="K661" s="152"/>
      <c r="L661" s="152"/>
      <c r="M661" s="152"/>
      <c r="N661" s="152"/>
      <c r="O661" s="152"/>
      <c r="P661" s="152"/>
      <c r="Q661" s="152"/>
      <c r="R661" s="152"/>
      <c r="S661" s="152"/>
      <c r="T661" s="152"/>
      <c r="U661" s="152"/>
      <c r="V661" s="152"/>
      <c r="W661" s="152"/>
      <c r="X661" s="152"/>
      <c r="Y661" s="152"/>
      <c r="Z661" s="152"/>
    </row>
    <row r="662" ht="12.8" customHeight="1" spans="1:26">
      <c r="A662" s="152"/>
      <c r="B662" s="152"/>
      <c r="C662" s="152"/>
      <c r="D662" s="152"/>
      <c r="E662" s="152"/>
      <c r="F662" s="152"/>
      <c r="G662" s="152"/>
      <c r="H662" s="152"/>
      <c r="I662" s="152"/>
      <c r="J662" s="152"/>
      <c r="K662" s="152"/>
      <c r="L662" s="152"/>
      <c r="M662" s="152"/>
      <c r="N662" s="152"/>
      <c r="O662" s="152"/>
      <c r="P662" s="152"/>
      <c r="Q662" s="152"/>
      <c r="R662" s="152"/>
      <c r="S662" s="152"/>
      <c r="T662" s="152"/>
      <c r="U662" s="152"/>
      <c r="V662" s="152"/>
      <c r="W662" s="152"/>
      <c r="X662" s="152"/>
      <c r="Y662" s="152"/>
      <c r="Z662" s="152"/>
    </row>
    <row r="663" ht="12.8" customHeight="1" spans="1:26">
      <c r="A663" s="152"/>
      <c r="B663" s="152"/>
      <c r="C663" s="152"/>
      <c r="D663" s="152"/>
      <c r="E663" s="152"/>
      <c r="F663" s="152"/>
      <c r="G663" s="152"/>
      <c r="H663" s="152"/>
      <c r="I663" s="152"/>
      <c r="J663" s="152"/>
      <c r="K663" s="152"/>
      <c r="L663" s="152"/>
      <c r="M663" s="152"/>
      <c r="N663" s="152"/>
      <c r="O663" s="152"/>
      <c r="P663" s="152"/>
      <c r="Q663" s="152"/>
      <c r="R663" s="152"/>
      <c r="S663" s="152"/>
      <c r="T663" s="152"/>
      <c r="U663" s="152"/>
      <c r="V663" s="152"/>
      <c r="W663" s="152"/>
      <c r="X663" s="152"/>
      <c r="Y663" s="152"/>
      <c r="Z663" s="152"/>
    </row>
    <row r="664" ht="12.8" customHeight="1" spans="1:26">
      <c r="A664" s="152"/>
      <c r="B664" s="152"/>
      <c r="C664" s="152"/>
      <c r="D664" s="152"/>
      <c r="E664" s="152"/>
      <c r="F664" s="152"/>
      <c r="G664" s="152"/>
      <c r="H664" s="152"/>
      <c r="I664" s="152"/>
      <c r="J664" s="152"/>
      <c r="K664" s="152"/>
      <c r="L664" s="152"/>
      <c r="M664" s="152"/>
      <c r="N664" s="152"/>
      <c r="O664" s="152"/>
      <c r="P664" s="152"/>
      <c r="Q664" s="152"/>
      <c r="R664" s="152"/>
      <c r="S664" s="152"/>
      <c r="T664" s="152"/>
      <c r="U664" s="152"/>
      <c r="V664" s="152"/>
      <c r="W664" s="152"/>
      <c r="X664" s="152"/>
      <c r="Y664" s="152"/>
      <c r="Z664" s="152"/>
    </row>
    <row r="665" ht="12.8" customHeight="1" spans="1:26">
      <c r="A665" s="152"/>
      <c r="B665" s="152"/>
      <c r="C665" s="152"/>
      <c r="D665" s="152"/>
      <c r="E665" s="152"/>
      <c r="F665" s="152"/>
      <c r="G665" s="152"/>
      <c r="H665" s="152"/>
      <c r="I665" s="152"/>
      <c r="J665" s="152"/>
      <c r="K665" s="152"/>
      <c r="L665" s="152"/>
      <c r="M665" s="152"/>
      <c r="N665" s="152"/>
      <c r="O665" s="152"/>
      <c r="P665" s="152"/>
      <c r="Q665" s="152"/>
      <c r="R665" s="152"/>
      <c r="S665" s="152"/>
      <c r="T665" s="152"/>
      <c r="U665" s="152"/>
      <c r="V665" s="152"/>
      <c r="W665" s="152"/>
      <c r="X665" s="152"/>
      <c r="Y665" s="152"/>
      <c r="Z665" s="152"/>
    </row>
    <row r="666" ht="12.8" customHeight="1" spans="1:26">
      <c r="A666" s="152"/>
      <c r="B666" s="152"/>
      <c r="C666" s="152"/>
      <c r="D666" s="152"/>
      <c r="E666" s="152"/>
      <c r="F666" s="152"/>
      <c r="G666" s="152"/>
      <c r="H666" s="152"/>
      <c r="I666" s="152"/>
      <c r="J666" s="152"/>
      <c r="K666" s="152"/>
      <c r="L666" s="152"/>
      <c r="M666" s="152"/>
      <c r="N666" s="152"/>
      <c r="O666" s="152"/>
      <c r="P666" s="152"/>
      <c r="Q666" s="152"/>
      <c r="R666" s="152"/>
      <c r="S666" s="152"/>
      <c r="T666" s="152"/>
      <c r="U666" s="152"/>
      <c r="V666" s="152"/>
      <c r="W666" s="152"/>
      <c r="X666" s="152"/>
      <c r="Y666" s="152"/>
      <c r="Z666" s="152"/>
    </row>
    <row r="667" ht="12.8" customHeight="1" spans="1:26">
      <c r="A667" s="152"/>
      <c r="B667" s="152"/>
      <c r="C667" s="152"/>
      <c r="D667" s="152"/>
      <c r="E667" s="152"/>
      <c r="F667" s="152"/>
      <c r="G667" s="152"/>
      <c r="H667" s="152"/>
      <c r="I667" s="152"/>
      <c r="J667" s="152"/>
      <c r="K667" s="152"/>
      <c r="L667" s="152"/>
      <c r="M667" s="152"/>
      <c r="N667" s="152"/>
      <c r="O667" s="152"/>
      <c r="P667" s="152"/>
      <c r="Q667" s="152"/>
      <c r="R667" s="152"/>
      <c r="S667" s="152"/>
      <c r="T667" s="152"/>
      <c r="U667" s="152"/>
      <c r="V667" s="152"/>
      <c r="W667" s="152"/>
      <c r="X667" s="152"/>
      <c r="Y667" s="152"/>
      <c r="Z667" s="152"/>
    </row>
    <row r="668" ht="12.8" customHeight="1" spans="1:26">
      <c r="A668" s="152"/>
      <c r="B668" s="152"/>
      <c r="C668" s="152"/>
      <c r="D668" s="152"/>
      <c r="E668" s="152"/>
      <c r="F668" s="152"/>
      <c r="G668" s="152"/>
      <c r="H668" s="152"/>
      <c r="I668" s="152"/>
      <c r="J668" s="152"/>
      <c r="K668" s="152"/>
      <c r="L668" s="152"/>
      <c r="M668" s="152"/>
      <c r="N668" s="152"/>
      <c r="O668" s="152"/>
      <c r="P668" s="152"/>
      <c r="Q668" s="152"/>
      <c r="R668" s="152"/>
      <c r="S668" s="152"/>
      <c r="T668" s="152"/>
      <c r="U668" s="152"/>
      <c r="V668" s="152"/>
      <c r="W668" s="152"/>
      <c r="X668" s="152"/>
      <c r="Y668" s="152"/>
      <c r="Z668" s="152"/>
    </row>
    <row r="669" ht="12.8" customHeight="1" spans="1:26">
      <c r="A669" s="152"/>
      <c r="B669" s="152"/>
      <c r="C669" s="152"/>
      <c r="D669" s="152"/>
      <c r="E669" s="152"/>
      <c r="F669" s="152"/>
      <c r="G669" s="152"/>
      <c r="H669" s="152"/>
      <c r="I669" s="152"/>
      <c r="J669" s="152"/>
      <c r="K669" s="152"/>
      <c r="L669" s="152"/>
      <c r="M669" s="152"/>
      <c r="N669" s="152"/>
      <c r="O669" s="152"/>
      <c r="P669" s="152"/>
      <c r="Q669" s="152"/>
      <c r="R669" s="152"/>
      <c r="S669" s="152"/>
      <c r="T669" s="152"/>
      <c r="U669" s="152"/>
      <c r="V669" s="152"/>
      <c r="W669" s="152"/>
      <c r="X669" s="152"/>
      <c r="Y669" s="152"/>
      <c r="Z669" s="152"/>
    </row>
    <row r="670" ht="12.8" customHeight="1" spans="1:26">
      <c r="A670" s="152"/>
      <c r="B670" s="152"/>
      <c r="C670" s="152"/>
      <c r="D670" s="152"/>
      <c r="E670" s="152"/>
      <c r="F670" s="152"/>
      <c r="G670" s="152"/>
      <c r="H670" s="152"/>
      <c r="I670" s="152"/>
      <c r="J670" s="152"/>
      <c r="K670" s="152"/>
      <c r="L670" s="152"/>
      <c r="M670" s="152"/>
      <c r="N670" s="152"/>
      <c r="O670" s="152"/>
      <c r="P670" s="152"/>
      <c r="Q670" s="152"/>
      <c r="R670" s="152"/>
      <c r="S670" s="152"/>
      <c r="T670" s="152"/>
      <c r="U670" s="152"/>
      <c r="V670" s="152"/>
      <c r="W670" s="152"/>
      <c r="X670" s="152"/>
      <c r="Y670" s="152"/>
      <c r="Z670" s="152"/>
    </row>
    <row r="671" ht="12.8" customHeight="1" spans="1:26">
      <c r="A671" s="152"/>
      <c r="B671" s="152"/>
      <c r="C671" s="152"/>
      <c r="D671" s="152"/>
      <c r="E671" s="152"/>
      <c r="F671" s="152"/>
      <c r="G671" s="152"/>
      <c r="H671" s="152"/>
      <c r="I671" s="152"/>
      <c r="J671" s="152"/>
      <c r="K671" s="152"/>
      <c r="L671" s="152"/>
      <c r="M671" s="152"/>
      <c r="N671" s="152"/>
      <c r="O671" s="152"/>
      <c r="P671" s="152"/>
      <c r="Q671" s="152"/>
      <c r="R671" s="152"/>
      <c r="S671" s="152"/>
      <c r="T671" s="152"/>
      <c r="U671" s="152"/>
      <c r="V671" s="152"/>
      <c r="W671" s="152"/>
      <c r="X671" s="152"/>
      <c r="Y671" s="152"/>
      <c r="Z671" s="152"/>
    </row>
    <row r="672" ht="12.8" customHeight="1" spans="1:26">
      <c r="A672" s="152"/>
      <c r="B672" s="152"/>
      <c r="C672" s="152"/>
      <c r="D672" s="152"/>
      <c r="E672" s="152"/>
      <c r="F672" s="152"/>
      <c r="G672" s="152"/>
      <c r="H672" s="152"/>
      <c r="I672" s="152"/>
      <c r="J672" s="152"/>
      <c r="K672" s="152"/>
      <c r="L672" s="152"/>
      <c r="M672" s="152"/>
      <c r="N672" s="152"/>
      <c r="O672" s="152"/>
      <c r="P672" s="152"/>
      <c r="Q672" s="152"/>
      <c r="R672" s="152"/>
      <c r="S672" s="152"/>
      <c r="T672" s="152"/>
      <c r="U672" s="152"/>
      <c r="V672" s="152"/>
      <c r="W672" s="152"/>
      <c r="X672" s="152"/>
      <c r="Y672" s="152"/>
      <c r="Z672" s="152"/>
    </row>
    <row r="673" ht="12.8" customHeight="1" spans="1:26">
      <c r="A673" s="152"/>
      <c r="B673" s="152"/>
      <c r="C673" s="152"/>
      <c r="D673" s="152"/>
      <c r="E673" s="152"/>
      <c r="F673" s="152"/>
      <c r="G673" s="152"/>
      <c r="H673" s="152"/>
      <c r="I673" s="152"/>
      <c r="J673" s="152"/>
      <c r="K673" s="152"/>
      <c r="L673" s="152"/>
      <c r="M673" s="152"/>
      <c r="N673" s="152"/>
      <c r="O673" s="152"/>
      <c r="P673" s="152"/>
      <c r="Q673" s="152"/>
      <c r="R673" s="152"/>
      <c r="S673" s="152"/>
      <c r="T673" s="152"/>
      <c r="U673" s="152"/>
      <c r="V673" s="152"/>
      <c r="W673" s="152"/>
      <c r="X673" s="152"/>
      <c r="Y673" s="152"/>
      <c r="Z673" s="152"/>
    </row>
    <row r="674" ht="12.8" customHeight="1" spans="1:26">
      <c r="A674" s="152"/>
      <c r="B674" s="152"/>
      <c r="C674" s="152"/>
      <c r="D674" s="152"/>
      <c r="E674" s="152"/>
      <c r="F674" s="152"/>
      <c r="G674" s="152"/>
      <c r="H674" s="152"/>
      <c r="I674" s="152"/>
      <c r="J674" s="152"/>
      <c r="K674" s="152"/>
      <c r="L674" s="152"/>
      <c r="M674" s="152"/>
      <c r="N674" s="152"/>
      <c r="O674" s="152"/>
      <c r="P674" s="152"/>
      <c r="Q674" s="152"/>
      <c r="R674" s="152"/>
      <c r="S674" s="152"/>
      <c r="T674" s="152"/>
      <c r="U674" s="152"/>
      <c r="V674" s="152"/>
      <c r="W674" s="152"/>
      <c r="X674" s="152"/>
      <c r="Y674" s="152"/>
      <c r="Z674" s="152"/>
    </row>
    <row r="675" ht="12.8" customHeight="1" spans="1:26">
      <c r="A675" s="152"/>
      <c r="B675" s="152"/>
      <c r="C675" s="152"/>
      <c r="D675" s="152"/>
      <c r="E675" s="152"/>
      <c r="F675" s="152"/>
      <c r="G675" s="152"/>
      <c r="H675" s="152"/>
      <c r="I675" s="152"/>
      <c r="J675" s="152"/>
      <c r="K675" s="152"/>
      <c r="L675" s="152"/>
      <c r="M675" s="152"/>
      <c r="N675" s="152"/>
      <c r="O675" s="152"/>
      <c r="P675" s="152"/>
      <c r="Q675" s="152"/>
      <c r="R675" s="152"/>
      <c r="S675" s="152"/>
      <c r="T675" s="152"/>
      <c r="U675" s="152"/>
      <c r="V675" s="152"/>
      <c r="W675" s="152"/>
      <c r="X675" s="152"/>
      <c r="Y675" s="152"/>
      <c r="Z675" s="152"/>
    </row>
    <row r="676" ht="12.8" customHeight="1" spans="1:26">
      <c r="A676" s="152"/>
      <c r="B676" s="152"/>
      <c r="C676" s="152"/>
      <c r="D676" s="152"/>
      <c r="E676" s="152"/>
      <c r="F676" s="152"/>
      <c r="G676" s="152"/>
      <c r="H676" s="152"/>
      <c r="I676" s="152"/>
      <c r="J676" s="152"/>
      <c r="K676" s="152"/>
      <c r="L676" s="152"/>
      <c r="M676" s="152"/>
      <c r="N676" s="152"/>
      <c r="O676" s="152"/>
      <c r="P676" s="152"/>
      <c r="Q676" s="152"/>
      <c r="R676" s="152"/>
      <c r="S676" s="152"/>
      <c r="T676" s="152"/>
      <c r="U676" s="152"/>
      <c r="V676" s="152"/>
      <c r="W676" s="152"/>
      <c r="X676" s="152"/>
      <c r="Y676" s="152"/>
      <c r="Z676" s="152"/>
    </row>
    <row r="677" ht="12.8" customHeight="1" spans="1:26">
      <c r="A677" s="152"/>
      <c r="B677" s="152"/>
      <c r="C677" s="152"/>
      <c r="D677" s="152"/>
      <c r="E677" s="152"/>
      <c r="F677" s="152"/>
      <c r="G677" s="152"/>
      <c r="H677" s="152"/>
      <c r="I677" s="152"/>
      <c r="J677" s="152"/>
      <c r="K677" s="152"/>
      <c r="L677" s="152"/>
      <c r="M677" s="152"/>
      <c r="N677" s="152"/>
      <c r="O677" s="152"/>
      <c r="P677" s="152"/>
      <c r="Q677" s="152"/>
      <c r="R677" s="152"/>
      <c r="S677" s="152"/>
      <c r="T677" s="152"/>
      <c r="U677" s="152"/>
      <c r="V677" s="152"/>
      <c r="W677" s="152"/>
      <c r="X677" s="152"/>
      <c r="Y677" s="152"/>
      <c r="Z677" s="152"/>
    </row>
    <row r="678" ht="12.8" customHeight="1" spans="1:26">
      <c r="A678" s="152"/>
      <c r="B678" s="152"/>
      <c r="C678" s="152"/>
      <c r="D678" s="152"/>
      <c r="E678" s="152"/>
      <c r="F678" s="152"/>
      <c r="G678" s="152"/>
      <c r="H678" s="152"/>
      <c r="I678" s="152"/>
      <c r="J678" s="152"/>
      <c r="K678" s="152"/>
      <c r="L678" s="152"/>
      <c r="M678" s="152"/>
      <c r="N678" s="152"/>
      <c r="O678" s="152"/>
      <c r="P678" s="152"/>
      <c r="Q678" s="152"/>
      <c r="R678" s="152"/>
      <c r="S678" s="152"/>
      <c r="T678" s="152"/>
      <c r="U678" s="152"/>
      <c r="V678" s="152"/>
      <c r="W678" s="152"/>
      <c r="X678" s="152"/>
      <c r="Y678" s="152"/>
      <c r="Z678" s="152"/>
    </row>
    <row r="679" ht="12.8" customHeight="1" spans="1:26">
      <c r="A679" s="152"/>
      <c r="B679" s="152"/>
      <c r="C679" s="152"/>
      <c r="D679" s="152"/>
      <c r="E679" s="152"/>
      <c r="F679" s="152"/>
      <c r="G679" s="152"/>
      <c r="H679" s="152"/>
      <c r="I679" s="152"/>
      <c r="J679" s="152"/>
      <c r="K679" s="152"/>
      <c r="L679" s="152"/>
      <c r="M679" s="152"/>
      <c r="N679" s="152"/>
      <c r="O679" s="152"/>
      <c r="P679" s="152"/>
      <c r="Q679" s="152"/>
      <c r="R679" s="152"/>
      <c r="S679" s="152"/>
      <c r="T679" s="152"/>
      <c r="U679" s="152"/>
      <c r="V679" s="152"/>
      <c r="W679" s="152"/>
      <c r="X679" s="152"/>
      <c r="Y679" s="152"/>
      <c r="Z679" s="152"/>
    </row>
    <row r="680" ht="12.8" customHeight="1" spans="1:26">
      <c r="A680" s="152"/>
      <c r="B680" s="152"/>
      <c r="C680" s="152"/>
      <c r="D680" s="152"/>
      <c r="E680" s="152"/>
      <c r="F680" s="152"/>
      <c r="G680" s="152"/>
      <c r="H680" s="152"/>
      <c r="I680" s="152"/>
      <c r="J680" s="152"/>
      <c r="K680" s="152"/>
      <c r="L680" s="152"/>
      <c r="M680" s="152"/>
      <c r="N680" s="152"/>
      <c r="O680" s="152"/>
      <c r="P680" s="152"/>
      <c r="Q680" s="152"/>
      <c r="R680" s="152"/>
      <c r="S680" s="152"/>
      <c r="T680" s="152"/>
      <c r="U680" s="152"/>
      <c r="V680" s="152"/>
      <c r="W680" s="152"/>
      <c r="X680" s="152"/>
      <c r="Y680" s="152"/>
      <c r="Z680" s="152"/>
    </row>
    <row r="681" ht="12.8" customHeight="1" spans="1:26">
      <c r="A681" s="152"/>
      <c r="B681" s="152"/>
      <c r="C681" s="152"/>
      <c r="D681" s="152"/>
      <c r="E681" s="152"/>
      <c r="F681" s="152"/>
      <c r="G681" s="152"/>
      <c r="H681" s="152"/>
      <c r="I681" s="152"/>
      <c r="J681" s="152"/>
      <c r="K681" s="152"/>
      <c r="L681" s="152"/>
      <c r="M681" s="152"/>
      <c r="N681" s="152"/>
      <c r="O681" s="152"/>
      <c r="P681" s="152"/>
      <c r="Q681" s="152"/>
      <c r="R681" s="152"/>
      <c r="S681" s="152"/>
      <c r="T681" s="152"/>
      <c r="U681" s="152"/>
      <c r="V681" s="152"/>
      <c r="W681" s="152"/>
      <c r="X681" s="152"/>
      <c r="Y681" s="152"/>
      <c r="Z681" s="152"/>
    </row>
    <row r="682" ht="12.8" customHeight="1" spans="1:26">
      <c r="A682" s="152"/>
      <c r="B682" s="152"/>
      <c r="C682" s="152"/>
      <c r="D682" s="152"/>
      <c r="E682" s="152"/>
      <c r="F682" s="152"/>
      <c r="G682" s="152"/>
      <c r="H682" s="152"/>
      <c r="I682" s="152"/>
      <c r="J682" s="152"/>
      <c r="K682" s="152"/>
      <c r="L682" s="152"/>
      <c r="M682" s="152"/>
      <c r="N682" s="152"/>
      <c r="O682" s="152"/>
      <c r="P682" s="152"/>
      <c r="Q682" s="152"/>
      <c r="R682" s="152"/>
      <c r="S682" s="152"/>
      <c r="T682" s="152"/>
      <c r="U682" s="152"/>
      <c r="V682" s="152"/>
      <c r="W682" s="152"/>
      <c r="X682" s="152"/>
      <c r="Y682" s="152"/>
      <c r="Z682" s="152"/>
    </row>
    <row r="683" ht="12.8" customHeight="1" spans="1:26">
      <c r="A683" s="152"/>
      <c r="B683" s="152"/>
      <c r="C683" s="152"/>
      <c r="D683" s="152"/>
      <c r="E683" s="152"/>
      <c r="F683" s="152"/>
      <c r="G683" s="152"/>
      <c r="H683" s="152"/>
      <c r="I683" s="152"/>
      <c r="J683" s="152"/>
      <c r="K683" s="152"/>
      <c r="L683" s="152"/>
      <c r="M683" s="152"/>
      <c r="N683" s="152"/>
      <c r="O683" s="152"/>
      <c r="P683" s="152"/>
      <c r="Q683" s="152"/>
      <c r="R683" s="152"/>
      <c r="S683" s="152"/>
      <c r="T683" s="152"/>
      <c r="U683" s="152"/>
      <c r="V683" s="152"/>
      <c r="W683" s="152"/>
      <c r="X683" s="152"/>
      <c r="Y683" s="152"/>
      <c r="Z683" s="152"/>
    </row>
    <row r="684" ht="12.8" customHeight="1" spans="1:26">
      <c r="A684" s="152"/>
      <c r="B684" s="152"/>
      <c r="C684" s="152"/>
      <c r="D684" s="152"/>
      <c r="E684" s="152"/>
      <c r="F684" s="152"/>
      <c r="G684" s="152"/>
      <c r="H684" s="152"/>
      <c r="I684" s="152"/>
      <c r="J684" s="152"/>
      <c r="K684" s="152"/>
      <c r="L684" s="152"/>
      <c r="M684" s="152"/>
      <c r="N684" s="152"/>
      <c r="O684" s="152"/>
      <c r="P684" s="152"/>
      <c r="Q684" s="152"/>
      <c r="R684" s="152"/>
      <c r="S684" s="152"/>
      <c r="T684" s="152"/>
      <c r="U684" s="152"/>
      <c r="V684" s="152"/>
      <c r="W684" s="152"/>
      <c r="X684" s="152"/>
      <c r="Y684" s="152"/>
      <c r="Z684" s="152"/>
    </row>
    <row r="685" ht="12.8" customHeight="1" spans="1:26">
      <c r="A685" s="152"/>
      <c r="B685" s="152"/>
      <c r="C685" s="152"/>
      <c r="D685" s="152"/>
      <c r="E685" s="152"/>
      <c r="F685" s="152"/>
      <c r="G685" s="152"/>
      <c r="H685" s="152"/>
      <c r="I685" s="152"/>
      <c r="J685" s="152"/>
      <c r="K685" s="152"/>
      <c r="L685" s="152"/>
      <c r="M685" s="152"/>
      <c r="N685" s="152"/>
      <c r="O685" s="152"/>
      <c r="P685" s="152"/>
      <c r="Q685" s="152"/>
      <c r="R685" s="152"/>
      <c r="S685" s="152"/>
      <c r="T685" s="152"/>
      <c r="U685" s="152"/>
      <c r="V685" s="152"/>
      <c r="W685" s="152"/>
      <c r="X685" s="152"/>
      <c r="Y685" s="152"/>
      <c r="Z685" s="152"/>
    </row>
    <row r="686" ht="12.8" customHeight="1" spans="1:26">
      <c r="A686" s="152"/>
      <c r="B686" s="152"/>
      <c r="C686" s="152"/>
      <c r="D686" s="152"/>
      <c r="E686" s="152"/>
      <c r="F686" s="152"/>
      <c r="G686" s="152"/>
      <c r="H686" s="152"/>
      <c r="I686" s="152"/>
      <c r="J686" s="152"/>
      <c r="K686" s="152"/>
      <c r="L686" s="152"/>
      <c r="M686" s="152"/>
      <c r="N686" s="152"/>
      <c r="O686" s="152"/>
      <c r="P686" s="152"/>
      <c r="Q686" s="152"/>
      <c r="R686" s="152"/>
      <c r="S686" s="152"/>
      <c r="T686" s="152"/>
      <c r="U686" s="152"/>
      <c r="V686" s="152"/>
      <c r="W686" s="152"/>
      <c r="X686" s="152"/>
      <c r="Y686" s="152"/>
      <c r="Z686" s="152"/>
    </row>
    <row r="687" ht="12.8" customHeight="1" spans="1:26">
      <c r="A687" s="152"/>
      <c r="B687" s="152"/>
      <c r="C687" s="152"/>
      <c r="D687" s="152"/>
      <c r="E687" s="152"/>
      <c r="F687" s="152"/>
      <c r="G687" s="152"/>
      <c r="H687" s="152"/>
      <c r="I687" s="152"/>
      <c r="J687" s="152"/>
      <c r="K687" s="152"/>
      <c r="L687" s="152"/>
      <c r="M687" s="152"/>
      <c r="N687" s="152"/>
      <c r="O687" s="152"/>
      <c r="P687" s="152"/>
      <c r="Q687" s="152"/>
      <c r="R687" s="152"/>
      <c r="S687" s="152"/>
      <c r="T687" s="152"/>
      <c r="U687" s="152"/>
      <c r="V687" s="152"/>
      <c r="W687" s="152"/>
      <c r="X687" s="152"/>
      <c r="Y687" s="152"/>
      <c r="Z687" s="152"/>
    </row>
    <row r="688" ht="12.8" customHeight="1" spans="1:26">
      <c r="A688" s="152"/>
      <c r="B688" s="152"/>
      <c r="C688" s="152"/>
      <c r="D688" s="152"/>
      <c r="E688" s="152"/>
      <c r="F688" s="152"/>
      <c r="G688" s="152"/>
      <c r="H688" s="152"/>
      <c r="I688" s="152"/>
      <c r="J688" s="152"/>
      <c r="K688" s="152"/>
      <c r="L688" s="152"/>
      <c r="M688" s="152"/>
      <c r="N688" s="152"/>
      <c r="O688" s="152"/>
      <c r="P688" s="152"/>
      <c r="Q688" s="152"/>
      <c r="R688" s="152"/>
      <c r="S688" s="152"/>
      <c r="T688" s="152"/>
      <c r="U688" s="152"/>
      <c r="V688" s="152"/>
      <c r="W688" s="152"/>
      <c r="X688" s="152"/>
      <c r="Y688" s="152"/>
      <c r="Z688" s="152"/>
    </row>
    <row r="689" ht="12.8" customHeight="1" spans="1:26">
      <c r="A689" s="152"/>
      <c r="B689" s="152"/>
      <c r="C689" s="152"/>
      <c r="D689" s="152"/>
      <c r="E689" s="152"/>
      <c r="F689" s="152"/>
      <c r="G689" s="152"/>
      <c r="H689" s="152"/>
      <c r="I689" s="152"/>
      <c r="J689" s="152"/>
      <c r="K689" s="152"/>
      <c r="L689" s="152"/>
      <c r="M689" s="152"/>
      <c r="N689" s="152"/>
      <c r="O689" s="152"/>
      <c r="P689" s="152"/>
      <c r="Q689" s="152"/>
      <c r="R689" s="152"/>
      <c r="S689" s="152"/>
      <c r="T689" s="152"/>
      <c r="U689" s="152"/>
      <c r="V689" s="152"/>
      <c r="W689" s="152"/>
      <c r="X689" s="152"/>
      <c r="Y689" s="152"/>
      <c r="Z689" s="152"/>
    </row>
    <row r="690" ht="12.8" customHeight="1" spans="1:26">
      <c r="A690" s="152"/>
      <c r="B690" s="152"/>
      <c r="C690" s="152"/>
      <c r="D690" s="152"/>
      <c r="E690" s="152"/>
      <c r="F690" s="152"/>
      <c r="G690" s="152"/>
      <c r="H690" s="152"/>
      <c r="I690" s="152"/>
      <c r="J690" s="152"/>
      <c r="K690" s="152"/>
      <c r="L690" s="152"/>
      <c r="M690" s="152"/>
      <c r="N690" s="152"/>
      <c r="O690" s="152"/>
      <c r="P690" s="152"/>
      <c r="Q690" s="152"/>
      <c r="R690" s="152"/>
      <c r="S690" s="152"/>
      <c r="T690" s="152"/>
      <c r="U690" s="152"/>
      <c r="V690" s="152"/>
      <c r="W690" s="152"/>
      <c r="X690" s="152"/>
      <c r="Y690" s="152"/>
      <c r="Z690" s="152"/>
    </row>
    <row r="691" ht="12.8" customHeight="1" spans="1:26">
      <c r="A691" s="152"/>
      <c r="B691" s="152"/>
      <c r="C691" s="152"/>
      <c r="D691" s="152"/>
      <c r="E691" s="152"/>
      <c r="F691" s="152"/>
      <c r="G691" s="152"/>
      <c r="H691" s="152"/>
      <c r="I691" s="152"/>
      <c r="J691" s="152"/>
      <c r="K691" s="152"/>
      <c r="L691" s="152"/>
      <c r="M691" s="152"/>
      <c r="N691" s="152"/>
      <c r="O691" s="152"/>
      <c r="P691" s="152"/>
      <c r="Q691" s="152"/>
      <c r="R691" s="152"/>
      <c r="S691" s="152"/>
      <c r="T691" s="152"/>
      <c r="U691" s="152"/>
      <c r="V691" s="152"/>
      <c r="W691" s="152"/>
      <c r="X691" s="152"/>
      <c r="Y691" s="152"/>
      <c r="Z691" s="152"/>
    </row>
    <row r="692" ht="12.8" customHeight="1" spans="1:26">
      <c r="A692" s="152"/>
      <c r="B692" s="152"/>
      <c r="C692" s="152"/>
      <c r="D692" s="152"/>
      <c r="E692" s="152"/>
      <c r="F692" s="152"/>
      <c r="G692" s="152"/>
      <c r="H692" s="152"/>
      <c r="I692" s="152"/>
      <c r="J692" s="152"/>
      <c r="K692" s="152"/>
      <c r="L692" s="152"/>
      <c r="M692" s="152"/>
      <c r="N692" s="152"/>
      <c r="O692" s="152"/>
      <c r="P692" s="152"/>
      <c r="Q692" s="152"/>
      <c r="R692" s="152"/>
      <c r="S692" s="152"/>
      <c r="T692" s="152"/>
      <c r="U692" s="152"/>
      <c r="V692" s="152"/>
      <c r="W692" s="152"/>
      <c r="X692" s="152"/>
      <c r="Y692" s="152"/>
      <c r="Z692" s="152"/>
    </row>
    <row r="693" ht="12.8" customHeight="1" spans="1:26">
      <c r="A693" s="152"/>
      <c r="B693" s="152"/>
      <c r="C693" s="152"/>
      <c r="D693" s="152"/>
      <c r="E693" s="152"/>
      <c r="F693" s="152"/>
      <c r="G693" s="152"/>
      <c r="H693" s="152"/>
      <c r="I693" s="152"/>
      <c r="J693" s="152"/>
      <c r="K693" s="152"/>
      <c r="L693" s="152"/>
      <c r="M693" s="152"/>
      <c r="N693" s="152"/>
      <c r="O693" s="152"/>
      <c r="P693" s="152"/>
      <c r="Q693" s="152"/>
      <c r="R693" s="152"/>
      <c r="S693" s="152"/>
      <c r="T693" s="152"/>
      <c r="U693" s="152"/>
      <c r="V693" s="152"/>
      <c r="W693" s="152"/>
      <c r="X693" s="152"/>
      <c r="Y693" s="152"/>
      <c r="Z693" s="152"/>
    </row>
    <row r="694" ht="12.8" customHeight="1" spans="1:26">
      <c r="A694" s="152"/>
      <c r="B694" s="152"/>
      <c r="C694" s="152"/>
      <c r="D694" s="152"/>
      <c r="E694" s="152"/>
      <c r="F694" s="152"/>
      <c r="G694" s="152"/>
      <c r="H694" s="152"/>
      <c r="I694" s="152"/>
      <c r="J694" s="152"/>
      <c r="K694" s="152"/>
      <c r="L694" s="152"/>
      <c r="M694" s="152"/>
      <c r="N694" s="152"/>
      <c r="O694" s="152"/>
      <c r="P694" s="152"/>
      <c r="Q694" s="152"/>
      <c r="R694" s="152"/>
      <c r="S694" s="152"/>
      <c r="T694" s="152"/>
      <c r="U694" s="152"/>
      <c r="V694" s="152"/>
      <c r="W694" s="152"/>
      <c r="X694" s="152"/>
      <c r="Y694" s="152"/>
      <c r="Z694" s="152"/>
    </row>
    <row r="695" ht="12.8" customHeight="1" spans="1:26">
      <c r="A695" s="152"/>
      <c r="B695" s="152"/>
      <c r="C695" s="152"/>
      <c r="D695" s="152"/>
      <c r="E695" s="152"/>
      <c r="F695" s="152"/>
      <c r="G695" s="152"/>
      <c r="H695" s="152"/>
      <c r="I695" s="152"/>
      <c r="J695" s="152"/>
      <c r="K695" s="152"/>
      <c r="L695" s="152"/>
      <c r="M695" s="152"/>
      <c r="N695" s="152"/>
      <c r="O695" s="152"/>
      <c r="P695" s="152"/>
      <c r="Q695" s="152"/>
      <c r="R695" s="152"/>
      <c r="S695" s="152"/>
      <c r="T695" s="152"/>
      <c r="U695" s="152"/>
      <c r="V695" s="152"/>
      <c r="W695" s="152"/>
      <c r="X695" s="152"/>
      <c r="Y695" s="152"/>
      <c r="Z695" s="152"/>
    </row>
    <row r="696" ht="12.8" customHeight="1" spans="1:26">
      <c r="A696" s="152"/>
      <c r="B696" s="152"/>
      <c r="C696" s="152"/>
      <c r="D696" s="152"/>
      <c r="E696" s="152"/>
      <c r="F696" s="152"/>
      <c r="G696" s="152"/>
      <c r="H696" s="152"/>
      <c r="I696" s="152"/>
      <c r="J696" s="152"/>
      <c r="K696" s="152"/>
      <c r="L696" s="152"/>
      <c r="M696" s="152"/>
      <c r="N696" s="152"/>
      <c r="O696" s="152"/>
      <c r="P696" s="152"/>
      <c r="Q696" s="152"/>
      <c r="R696" s="152"/>
      <c r="S696" s="152"/>
      <c r="T696" s="152"/>
      <c r="U696" s="152"/>
      <c r="V696" s="152"/>
      <c r="W696" s="152"/>
      <c r="X696" s="152"/>
      <c r="Y696" s="152"/>
      <c r="Z696" s="152"/>
    </row>
    <row r="697" ht="12.8" customHeight="1" spans="1:26">
      <c r="A697" s="152"/>
      <c r="B697" s="152"/>
      <c r="C697" s="152"/>
      <c r="D697" s="152"/>
      <c r="E697" s="152"/>
      <c r="F697" s="152"/>
      <c r="G697" s="152"/>
      <c r="H697" s="152"/>
      <c r="I697" s="152"/>
      <c r="J697" s="152"/>
      <c r="K697" s="152"/>
      <c r="L697" s="152"/>
      <c r="M697" s="152"/>
      <c r="N697" s="152"/>
      <c r="O697" s="152"/>
      <c r="P697" s="152"/>
      <c r="Q697" s="152"/>
      <c r="R697" s="152"/>
      <c r="S697" s="152"/>
      <c r="T697" s="152"/>
      <c r="U697" s="152"/>
      <c r="V697" s="152"/>
      <c r="W697" s="152"/>
      <c r="X697" s="152"/>
      <c r="Y697" s="152"/>
      <c r="Z697" s="152"/>
    </row>
    <row r="698" ht="12.8" customHeight="1" spans="1:26">
      <c r="A698" s="152"/>
      <c r="B698" s="152"/>
      <c r="C698" s="152"/>
      <c r="D698" s="152"/>
      <c r="E698" s="152"/>
      <c r="F698" s="152"/>
      <c r="G698" s="152"/>
      <c r="H698" s="152"/>
      <c r="I698" s="152"/>
      <c r="J698" s="152"/>
      <c r="K698" s="152"/>
      <c r="L698" s="152"/>
      <c r="M698" s="152"/>
      <c r="N698" s="152"/>
      <c r="O698" s="152"/>
      <c r="P698" s="152"/>
      <c r="Q698" s="152"/>
      <c r="R698" s="152"/>
      <c r="S698" s="152"/>
      <c r="T698" s="152"/>
      <c r="U698" s="152"/>
      <c r="V698" s="152"/>
      <c r="W698" s="152"/>
      <c r="X698" s="152"/>
      <c r="Y698" s="152"/>
      <c r="Z698" s="152"/>
    </row>
    <row r="699" ht="12.8" customHeight="1" spans="1:26">
      <c r="A699" s="152"/>
      <c r="B699" s="152"/>
      <c r="C699" s="152"/>
      <c r="D699" s="152"/>
      <c r="E699" s="152"/>
      <c r="F699" s="152"/>
      <c r="G699" s="152"/>
      <c r="H699" s="152"/>
      <c r="I699" s="152"/>
      <c r="J699" s="152"/>
      <c r="K699" s="152"/>
      <c r="L699" s="152"/>
      <c r="M699" s="152"/>
      <c r="N699" s="152"/>
      <c r="O699" s="152"/>
      <c r="P699" s="152"/>
      <c r="Q699" s="152"/>
      <c r="R699" s="152"/>
      <c r="S699" s="152"/>
      <c r="T699" s="152"/>
      <c r="U699" s="152"/>
      <c r="V699" s="152"/>
      <c r="W699" s="152"/>
      <c r="X699" s="152"/>
      <c r="Y699" s="152"/>
      <c r="Z699" s="152"/>
    </row>
    <row r="700" ht="12.8" customHeight="1" spans="1:26">
      <c r="A700" s="152"/>
      <c r="B700" s="152"/>
      <c r="C700" s="152"/>
      <c r="D700" s="152"/>
      <c r="E700" s="152"/>
      <c r="F700" s="152"/>
      <c r="G700" s="152"/>
      <c r="H700" s="152"/>
      <c r="I700" s="152"/>
      <c r="J700" s="152"/>
      <c r="K700" s="152"/>
      <c r="L700" s="152"/>
      <c r="M700" s="152"/>
      <c r="N700" s="152"/>
      <c r="O700" s="152"/>
      <c r="P700" s="152"/>
      <c r="Q700" s="152"/>
      <c r="R700" s="152"/>
      <c r="S700" s="152"/>
      <c r="T700" s="152"/>
      <c r="U700" s="152"/>
      <c r="V700" s="152"/>
      <c r="W700" s="152"/>
      <c r="X700" s="152"/>
      <c r="Y700" s="152"/>
      <c r="Z700" s="152"/>
    </row>
    <row r="701" ht="12.8" customHeight="1" spans="1:26">
      <c r="A701" s="152"/>
      <c r="B701" s="152"/>
      <c r="C701" s="152"/>
      <c r="D701" s="152"/>
      <c r="E701" s="152"/>
      <c r="F701" s="152"/>
      <c r="G701" s="152"/>
      <c r="H701" s="152"/>
      <c r="I701" s="152"/>
      <c r="J701" s="152"/>
      <c r="K701" s="152"/>
      <c r="L701" s="152"/>
      <c r="M701" s="152"/>
      <c r="N701" s="152"/>
      <c r="O701" s="152"/>
      <c r="P701" s="152"/>
      <c r="Q701" s="152"/>
      <c r="R701" s="152"/>
      <c r="S701" s="152"/>
      <c r="T701" s="152"/>
      <c r="U701" s="152"/>
      <c r="V701" s="152"/>
      <c r="W701" s="152"/>
      <c r="X701" s="152"/>
      <c r="Y701" s="152"/>
      <c r="Z701" s="152"/>
    </row>
    <row r="702" ht="12.8" customHeight="1" spans="1:26">
      <c r="A702" s="152"/>
      <c r="B702" s="152"/>
      <c r="C702" s="152"/>
      <c r="D702" s="152"/>
      <c r="E702" s="152"/>
      <c r="F702" s="152"/>
      <c r="G702" s="152"/>
      <c r="H702" s="152"/>
      <c r="I702" s="152"/>
      <c r="J702" s="152"/>
      <c r="K702" s="152"/>
      <c r="L702" s="152"/>
      <c r="M702" s="152"/>
      <c r="N702" s="152"/>
      <c r="O702" s="152"/>
      <c r="P702" s="152"/>
      <c r="Q702" s="152"/>
      <c r="R702" s="152"/>
      <c r="S702" s="152"/>
      <c r="T702" s="152"/>
      <c r="U702" s="152"/>
      <c r="V702" s="152"/>
      <c r="W702" s="152"/>
      <c r="X702" s="152"/>
      <c r="Y702" s="152"/>
      <c r="Z702" s="152"/>
    </row>
    <row r="703" ht="12.8" customHeight="1" spans="1:26">
      <c r="A703" s="152"/>
      <c r="B703" s="152"/>
      <c r="C703" s="152"/>
      <c r="D703" s="152"/>
      <c r="E703" s="152"/>
      <c r="F703" s="152"/>
      <c r="G703" s="152"/>
      <c r="H703" s="152"/>
      <c r="I703" s="152"/>
      <c r="J703" s="152"/>
      <c r="K703" s="152"/>
      <c r="L703" s="152"/>
      <c r="M703" s="152"/>
      <c r="N703" s="152"/>
      <c r="O703" s="152"/>
      <c r="P703" s="152"/>
      <c r="Q703" s="152"/>
      <c r="R703" s="152"/>
      <c r="S703" s="152"/>
      <c r="T703" s="152"/>
      <c r="U703" s="152"/>
      <c r="V703" s="152"/>
      <c r="W703" s="152"/>
      <c r="X703" s="152"/>
      <c r="Y703" s="152"/>
      <c r="Z703" s="152"/>
    </row>
    <row r="704" ht="12.8" customHeight="1" spans="1:26">
      <c r="A704" s="152"/>
      <c r="B704" s="152"/>
      <c r="C704" s="152"/>
      <c r="D704" s="152"/>
      <c r="E704" s="152"/>
      <c r="F704" s="152"/>
      <c r="G704" s="152"/>
      <c r="H704" s="152"/>
      <c r="I704" s="152"/>
      <c r="J704" s="152"/>
      <c r="K704" s="152"/>
      <c r="L704" s="152"/>
      <c r="M704" s="152"/>
      <c r="N704" s="152"/>
      <c r="O704" s="152"/>
      <c r="P704" s="152"/>
      <c r="Q704" s="152"/>
      <c r="R704" s="152"/>
      <c r="S704" s="152"/>
      <c r="T704" s="152"/>
      <c r="U704" s="152"/>
      <c r="V704" s="152"/>
      <c r="W704" s="152"/>
      <c r="X704" s="152"/>
      <c r="Y704" s="152"/>
      <c r="Z704" s="152"/>
    </row>
    <row r="705" ht="12.8" customHeight="1" spans="1:26">
      <c r="A705" s="152"/>
      <c r="B705" s="152"/>
      <c r="C705" s="152"/>
      <c r="D705" s="152"/>
      <c r="E705" s="152"/>
      <c r="F705" s="152"/>
      <c r="G705" s="152"/>
      <c r="H705" s="152"/>
      <c r="I705" s="152"/>
      <c r="J705" s="152"/>
      <c r="K705" s="152"/>
      <c r="L705" s="152"/>
      <c r="M705" s="152"/>
      <c r="N705" s="152"/>
      <c r="O705" s="152"/>
      <c r="P705" s="152"/>
      <c r="Q705" s="152"/>
      <c r="R705" s="152"/>
      <c r="S705" s="152"/>
      <c r="T705" s="152"/>
      <c r="U705" s="152"/>
      <c r="V705" s="152"/>
      <c r="W705" s="152"/>
      <c r="X705" s="152"/>
      <c r="Y705" s="152"/>
      <c r="Z705" s="152"/>
    </row>
    <row r="706" ht="12.8" customHeight="1" spans="1:26">
      <c r="A706" s="152"/>
      <c r="B706" s="152"/>
      <c r="C706" s="152"/>
      <c r="D706" s="152"/>
      <c r="E706" s="152"/>
      <c r="F706" s="152"/>
      <c r="G706" s="152"/>
      <c r="H706" s="152"/>
      <c r="I706" s="152"/>
      <c r="J706" s="152"/>
      <c r="K706" s="152"/>
      <c r="L706" s="152"/>
      <c r="M706" s="152"/>
      <c r="N706" s="152"/>
      <c r="O706" s="152"/>
      <c r="P706" s="152"/>
      <c r="Q706" s="152"/>
      <c r="R706" s="152"/>
      <c r="S706" s="152"/>
      <c r="T706" s="152"/>
      <c r="U706" s="152"/>
      <c r="V706" s="152"/>
      <c r="W706" s="152"/>
      <c r="X706" s="152"/>
      <c r="Y706" s="152"/>
      <c r="Z706" s="152"/>
    </row>
    <row r="707" ht="12.8" customHeight="1" spans="1:26">
      <c r="A707" s="152"/>
      <c r="B707" s="152"/>
      <c r="C707" s="152"/>
      <c r="D707" s="152"/>
      <c r="E707" s="152"/>
      <c r="F707" s="152"/>
      <c r="G707" s="152"/>
      <c r="H707" s="152"/>
      <c r="I707" s="152"/>
      <c r="J707" s="152"/>
      <c r="K707" s="152"/>
      <c r="L707" s="152"/>
      <c r="M707" s="152"/>
      <c r="N707" s="152"/>
      <c r="O707" s="152"/>
      <c r="P707" s="152"/>
      <c r="Q707" s="152"/>
      <c r="R707" s="152"/>
      <c r="S707" s="152"/>
      <c r="T707" s="152"/>
      <c r="U707" s="152"/>
      <c r="V707" s="152"/>
      <c r="W707" s="152"/>
      <c r="X707" s="152"/>
      <c r="Y707" s="152"/>
      <c r="Z707" s="152"/>
    </row>
    <row r="708" ht="12.8" customHeight="1" spans="1:26">
      <c r="A708" s="152"/>
      <c r="B708" s="152"/>
      <c r="C708" s="152"/>
      <c r="D708" s="152"/>
      <c r="E708" s="152"/>
      <c r="F708" s="152"/>
      <c r="G708" s="152"/>
      <c r="H708" s="152"/>
      <c r="I708" s="152"/>
      <c r="J708" s="152"/>
      <c r="K708" s="152"/>
      <c r="L708" s="152"/>
      <c r="M708" s="152"/>
      <c r="N708" s="152"/>
      <c r="O708" s="152"/>
      <c r="P708" s="152"/>
      <c r="Q708" s="152"/>
      <c r="R708" s="152"/>
      <c r="S708" s="152"/>
      <c r="T708" s="152"/>
      <c r="U708" s="152"/>
      <c r="V708" s="152"/>
      <c r="W708" s="152"/>
      <c r="X708" s="152"/>
      <c r="Y708" s="152"/>
      <c r="Z708" s="152"/>
    </row>
    <row r="709" ht="12.8" customHeight="1" spans="1:26">
      <c r="A709" s="152"/>
      <c r="B709" s="152"/>
      <c r="C709" s="152"/>
      <c r="D709" s="152"/>
      <c r="E709" s="152"/>
      <c r="F709" s="152"/>
      <c r="G709" s="152"/>
      <c r="H709" s="152"/>
      <c r="I709" s="152"/>
      <c r="J709" s="152"/>
      <c r="K709" s="152"/>
      <c r="L709" s="152"/>
      <c r="M709" s="152"/>
      <c r="N709" s="152"/>
      <c r="O709" s="152"/>
      <c r="P709" s="152"/>
      <c r="Q709" s="152"/>
      <c r="R709" s="152"/>
      <c r="S709" s="152"/>
      <c r="T709" s="152"/>
      <c r="U709" s="152"/>
      <c r="V709" s="152"/>
      <c r="W709" s="152"/>
      <c r="X709" s="152"/>
      <c r="Y709" s="152"/>
      <c r="Z709" s="152"/>
    </row>
    <row r="710" ht="12.8" customHeight="1" spans="1:26">
      <c r="A710" s="152"/>
      <c r="B710" s="152"/>
      <c r="C710" s="152"/>
      <c r="D710" s="152"/>
      <c r="E710" s="152"/>
      <c r="F710" s="152"/>
      <c r="G710" s="152"/>
      <c r="H710" s="152"/>
      <c r="I710" s="152"/>
      <c r="J710" s="152"/>
      <c r="K710" s="152"/>
      <c r="L710" s="152"/>
      <c r="M710" s="152"/>
      <c r="N710" s="152"/>
      <c r="O710" s="152"/>
      <c r="P710" s="152"/>
      <c r="Q710" s="152"/>
      <c r="R710" s="152"/>
      <c r="S710" s="152"/>
      <c r="T710" s="152"/>
      <c r="U710" s="152"/>
      <c r="V710" s="152"/>
      <c r="W710" s="152"/>
      <c r="X710" s="152"/>
      <c r="Y710" s="152"/>
      <c r="Z710" s="152"/>
    </row>
    <row r="711" ht="12.8" customHeight="1" spans="1:26">
      <c r="A711" s="152"/>
      <c r="B711" s="152"/>
      <c r="C711" s="152"/>
      <c r="D711" s="152"/>
      <c r="E711" s="152"/>
      <c r="F711" s="152"/>
      <c r="G711" s="152"/>
      <c r="H711" s="152"/>
      <c r="I711" s="152"/>
      <c r="J711" s="152"/>
      <c r="K711" s="152"/>
      <c r="L711" s="152"/>
      <c r="M711" s="152"/>
      <c r="N711" s="152"/>
      <c r="O711" s="152"/>
      <c r="P711" s="152"/>
      <c r="Q711" s="152"/>
      <c r="R711" s="152"/>
      <c r="S711" s="152"/>
      <c r="T711" s="152"/>
      <c r="U711" s="152"/>
      <c r="V711" s="152"/>
      <c r="W711" s="152"/>
      <c r="X711" s="152"/>
      <c r="Y711" s="152"/>
      <c r="Z711" s="152"/>
    </row>
    <row r="712" ht="12.8" customHeight="1" spans="1:26">
      <c r="A712" s="152"/>
      <c r="B712" s="152"/>
      <c r="C712" s="152"/>
      <c r="D712" s="152"/>
      <c r="E712" s="152"/>
      <c r="F712" s="152"/>
      <c r="G712" s="152"/>
      <c r="H712" s="152"/>
      <c r="I712" s="152"/>
      <c r="J712" s="152"/>
      <c r="K712" s="152"/>
      <c r="L712" s="152"/>
      <c r="M712" s="152"/>
      <c r="N712" s="152"/>
      <c r="O712" s="152"/>
      <c r="P712" s="152"/>
      <c r="Q712" s="152"/>
      <c r="R712" s="152"/>
      <c r="S712" s="152"/>
      <c r="T712" s="152"/>
      <c r="U712" s="152"/>
      <c r="V712" s="152"/>
      <c r="W712" s="152"/>
      <c r="X712" s="152"/>
      <c r="Y712" s="152"/>
      <c r="Z712" s="152"/>
    </row>
    <row r="713" ht="12.8" customHeight="1" spans="1:26">
      <c r="A713" s="152"/>
      <c r="B713" s="152"/>
      <c r="C713" s="152"/>
      <c r="D713" s="152"/>
      <c r="E713" s="152"/>
      <c r="F713" s="152"/>
      <c r="G713" s="152"/>
      <c r="H713" s="152"/>
      <c r="I713" s="152"/>
      <c r="J713" s="152"/>
      <c r="K713" s="152"/>
      <c r="L713" s="152"/>
      <c r="M713" s="152"/>
      <c r="N713" s="152"/>
      <c r="O713" s="152"/>
      <c r="P713" s="152"/>
      <c r="Q713" s="152"/>
      <c r="R713" s="152"/>
      <c r="S713" s="152"/>
      <c r="T713" s="152"/>
      <c r="U713" s="152"/>
      <c r="V713" s="152"/>
      <c r="W713" s="152"/>
      <c r="X713" s="152"/>
      <c r="Y713" s="152"/>
      <c r="Z713" s="152"/>
    </row>
    <row r="714" ht="12.8" customHeight="1" spans="1:26">
      <c r="A714" s="152"/>
      <c r="B714" s="152"/>
      <c r="C714" s="152"/>
      <c r="D714" s="152"/>
      <c r="E714" s="152"/>
      <c r="F714" s="152"/>
      <c r="G714" s="152"/>
      <c r="H714" s="152"/>
      <c r="I714" s="152"/>
      <c r="J714" s="152"/>
      <c r="K714" s="152"/>
      <c r="L714" s="152"/>
      <c r="M714" s="152"/>
      <c r="N714" s="152"/>
      <c r="O714" s="152"/>
      <c r="P714" s="152"/>
      <c r="Q714" s="152"/>
      <c r="R714" s="152"/>
      <c r="S714" s="152"/>
      <c r="T714" s="152"/>
      <c r="U714" s="152"/>
      <c r="V714" s="152"/>
      <c r="W714" s="152"/>
      <c r="X714" s="152"/>
      <c r="Y714" s="152"/>
      <c r="Z714" s="152"/>
    </row>
    <row r="715" ht="12.8" customHeight="1" spans="1:26">
      <c r="A715" s="152"/>
      <c r="B715" s="152"/>
      <c r="C715" s="152"/>
      <c r="D715" s="152"/>
      <c r="E715" s="152"/>
      <c r="F715" s="152"/>
      <c r="G715" s="152"/>
      <c r="H715" s="152"/>
      <c r="I715" s="152"/>
      <c r="J715" s="152"/>
      <c r="K715" s="152"/>
      <c r="L715" s="152"/>
      <c r="M715" s="152"/>
      <c r="N715" s="152"/>
      <c r="O715" s="152"/>
      <c r="P715" s="152"/>
      <c r="Q715" s="152"/>
      <c r="R715" s="152"/>
      <c r="S715" s="152"/>
      <c r="T715" s="152"/>
      <c r="U715" s="152"/>
      <c r="V715" s="152"/>
      <c r="W715" s="152"/>
      <c r="X715" s="152"/>
      <c r="Y715" s="152"/>
      <c r="Z715" s="152"/>
    </row>
    <row r="716" ht="12.8" customHeight="1" spans="1:26">
      <c r="A716" s="152"/>
      <c r="B716" s="152"/>
      <c r="C716" s="152"/>
      <c r="D716" s="152"/>
      <c r="E716" s="152"/>
      <c r="F716" s="152"/>
      <c r="G716" s="152"/>
      <c r="H716" s="152"/>
      <c r="I716" s="152"/>
      <c r="J716" s="152"/>
      <c r="K716" s="152"/>
      <c r="L716" s="152"/>
      <c r="M716" s="152"/>
      <c r="N716" s="152"/>
      <c r="O716" s="152"/>
      <c r="P716" s="152"/>
      <c r="Q716" s="152"/>
      <c r="R716" s="152"/>
      <c r="S716" s="152"/>
      <c r="T716" s="152"/>
      <c r="U716" s="152"/>
      <c r="V716" s="152"/>
      <c r="W716" s="152"/>
      <c r="X716" s="152"/>
      <c r="Y716" s="152"/>
      <c r="Z716" s="152"/>
    </row>
    <row r="717" ht="12.8" customHeight="1" spans="1:26">
      <c r="A717" s="152"/>
      <c r="B717" s="152"/>
      <c r="C717" s="152"/>
      <c r="D717" s="152"/>
      <c r="E717" s="152"/>
      <c r="F717" s="152"/>
      <c r="G717" s="152"/>
      <c r="H717" s="152"/>
      <c r="I717" s="152"/>
      <c r="J717" s="152"/>
      <c r="K717" s="152"/>
      <c r="L717" s="152"/>
      <c r="M717" s="152"/>
      <c r="N717" s="152"/>
      <c r="O717" s="152"/>
      <c r="P717" s="152"/>
      <c r="Q717" s="152"/>
      <c r="R717" s="152"/>
      <c r="S717" s="152"/>
      <c r="T717" s="152"/>
      <c r="U717" s="152"/>
      <c r="V717" s="152"/>
      <c r="W717" s="152"/>
      <c r="X717" s="152"/>
      <c r="Y717" s="152"/>
      <c r="Z717" s="152"/>
    </row>
    <row r="718" ht="12.8" customHeight="1" spans="1:26">
      <c r="A718" s="152"/>
      <c r="B718" s="152"/>
      <c r="C718" s="152"/>
      <c r="D718" s="152"/>
      <c r="E718" s="152"/>
      <c r="F718" s="152"/>
      <c r="G718" s="152"/>
      <c r="H718" s="152"/>
      <c r="I718" s="152"/>
      <c r="J718" s="152"/>
      <c r="K718" s="152"/>
      <c r="L718" s="152"/>
      <c r="M718" s="152"/>
      <c r="N718" s="152"/>
      <c r="O718" s="152"/>
      <c r="P718" s="152"/>
      <c r="Q718" s="152"/>
      <c r="R718" s="152"/>
      <c r="S718" s="152"/>
      <c r="T718" s="152"/>
      <c r="U718" s="152"/>
      <c r="V718" s="152"/>
      <c r="W718" s="152"/>
      <c r="X718" s="152"/>
      <c r="Y718" s="152"/>
      <c r="Z718" s="152"/>
    </row>
    <row r="719" ht="12.8" customHeight="1" spans="1:26">
      <c r="A719" s="152"/>
      <c r="B719" s="152"/>
      <c r="C719" s="152"/>
      <c r="D719" s="152"/>
      <c r="E719" s="152"/>
      <c r="F719" s="152"/>
      <c r="G719" s="152"/>
      <c r="H719" s="152"/>
      <c r="I719" s="152"/>
      <c r="J719" s="152"/>
      <c r="K719" s="152"/>
      <c r="L719" s="152"/>
      <c r="M719" s="152"/>
      <c r="N719" s="152"/>
      <c r="O719" s="152"/>
      <c r="P719" s="152"/>
      <c r="Q719" s="152"/>
      <c r="R719" s="152"/>
      <c r="S719" s="152"/>
      <c r="T719" s="152"/>
      <c r="U719" s="152"/>
      <c r="V719" s="152"/>
      <c r="W719" s="152"/>
      <c r="X719" s="152"/>
      <c r="Y719" s="152"/>
      <c r="Z719" s="152"/>
    </row>
    <row r="720" ht="12.8" customHeight="1" spans="1:26">
      <c r="A720" s="152"/>
      <c r="B720" s="152"/>
      <c r="C720" s="152"/>
      <c r="D720" s="152"/>
      <c r="E720" s="152"/>
      <c r="F720" s="152"/>
      <c r="G720" s="152"/>
      <c r="H720" s="152"/>
      <c r="I720" s="152"/>
      <c r="J720" s="152"/>
      <c r="K720" s="152"/>
      <c r="L720" s="152"/>
      <c r="M720" s="152"/>
      <c r="N720" s="152"/>
      <c r="O720" s="152"/>
      <c r="P720" s="152"/>
      <c r="Q720" s="152"/>
      <c r="R720" s="152"/>
      <c r="S720" s="152"/>
      <c r="T720" s="152"/>
      <c r="U720" s="152"/>
      <c r="V720" s="152"/>
      <c r="W720" s="152"/>
      <c r="X720" s="152"/>
      <c r="Y720" s="152"/>
      <c r="Z720" s="152"/>
    </row>
    <row r="721" ht="12.8" customHeight="1" spans="1:26">
      <c r="A721" s="152"/>
      <c r="B721" s="152"/>
      <c r="C721" s="152"/>
      <c r="D721" s="152"/>
      <c r="E721" s="152"/>
      <c r="F721" s="152"/>
      <c r="G721" s="152"/>
      <c r="H721" s="152"/>
      <c r="I721" s="152"/>
      <c r="J721" s="152"/>
      <c r="K721" s="152"/>
      <c r="L721" s="152"/>
      <c r="M721" s="152"/>
      <c r="N721" s="152"/>
      <c r="O721" s="152"/>
      <c r="P721" s="152"/>
      <c r="Q721" s="152"/>
      <c r="R721" s="152"/>
      <c r="S721" s="152"/>
      <c r="T721" s="152"/>
      <c r="U721" s="152"/>
      <c r="V721" s="152"/>
      <c r="W721" s="152"/>
      <c r="X721" s="152"/>
      <c r="Y721" s="152"/>
      <c r="Z721" s="152"/>
    </row>
    <row r="722" ht="12.8" customHeight="1" spans="1:26">
      <c r="A722" s="152"/>
      <c r="B722" s="152"/>
      <c r="C722" s="152"/>
      <c r="D722" s="152"/>
      <c r="E722" s="152"/>
      <c r="F722" s="152"/>
      <c r="G722" s="152"/>
      <c r="H722" s="152"/>
      <c r="I722" s="152"/>
      <c r="J722" s="152"/>
      <c r="K722" s="152"/>
      <c r="L722" s="152"/>
      <c r="M722" s="152"/>
      <c r="N722" s="152"/>
      <c r="O722" s="152"/>
      <c r="P722" s="152"/>
      <c r="Q722" s="152"/>
      <c r="R722" s="152"/>
      <c r="S722" s="152"/>
      <c r="T722" s="152"/>
      <c r="U722" s="152"/>
      <c r="V722" s="152"/>
      <c r="W722" s="152"/>
      <c r="X722" s="152"/>
      <c r="Y722" s="152"/>
      <c r="Z722" s="152"/>
    </row>
    <row r="723" ht="12.8" customHeight="1" spans="1:26">
      <c r="A723" s="152"/>
      <c r="B723" s="152"/>
      <c r="C723" s="152"/>
      <c r="D723" s="152"/>
      <c r="E723" s="152"/>
      <c r="F723" s="152"/>
      <c r="G723" s="152"/>
      <c r="H723" s="152"/>
      <c r="I723" s="152"/>
      <c r="J723" s="152"/>
      <c r="K723" s="152"/>
      <c r="L723" s="152"/>
      <c r="M723" s="152"/>
      <c r="N723" s="152"/>
      <c r="O723" s="152"/>
      <c r="P723" s="152"/>
      <c r="Q723" s="152"/>
      <c r="R723" s="152"/>
      <c r="S723" s="152"/>
      <c r="T723" s="152"/>
      <c r="U723" s="152"/>
      <c r="V723" s="152"/>
      <c r="W723" s="152"/>
      <c r="X723" s="152"/>
      <c r="Y723" s="152"/>
      <c r="Z723" s="152"/>
    </row>
    <row r="724" ht="12.8" customHeight="1" spans="1:26">
      <c r="A724" s="152"/>
      <c r="B724" s="152"/>
      <c r="C724" s="152"/>
      <c r="D724" s="152"/>
      <c r="E724" s="152"/>
      <c r="F724" s="152"/>
      <c r="G724" s="152"/>
      <c r="H724" s="152"/>
      <c r="I724" s="152"/>
      <c r="J724" s="152"/>
      <c r="K724" s="152"/>
      <c r="L724" s="152"/>
      <c r="M724" s="152"/>
      <c r="N724" s="152"/>
      <c r="O724" s="152"/>
      <c r="P724" s="152"/>
      <c r="Q724" s="152"/>
      <c r="R724" s="152"/>
      <c r="S724" s="152"/>
      <c r="T724" s="152"/>
      <c r="U724" s="152"/>
      <c r="V724" s="152"/>
      <c r="W724" s="152"/>
      <c r="X724" s="152"/>
      <c r="Y724" s="152"/>
      <c r="Z724" s="152"/>
    </row>
    <row r="725" ht="12.8" customHeight="1" spans="1:26">
      <c r="A725" s="152"/>
      <c r="B725" s="152"/>
      <c r="C725" s="152"/>
      <c r="D725" s="152"/>
      <c r="E725" s="152"/>
      <c r="F725" s="152"/>
      <c r="G725" s="152"/>
      <c r="H725" s="152"/>
      <c r="I725" s="152"/>
      <c r="J725" s="152"/>
      <c r="K725" s="152"/>
      <c r="L725" s="152"/>
      <c r="M725" s="152"/>
      <c r="N725" s="152"/>
      <c r="O725" s="152"/>
      <c r="P725" s="152"/>
      <c r="Q725" s="152"/>
      <c r="R725" s="152"/>
      <c r="S725" s="152"/>
      <c r="T725" s="152"/>
      <c r="U725" s="152"/>
      <c r="V725" s="152"/>
      <c r="W725" s="152"/>
      <c r="X725" s="152"/>
      <c r="Y725" s="152"/>
      <c r="Z725" s="152"/>
    </row>
    <row r="726" ht="12.8" customHeight="1" spans="1:26">
      <c r="A726" s="152"/>
      <c r="B726" s="152"/>
      <c r="C726" s="152"/>
      <c r="D726" s="152"/>
      <c r="E726" s="152"/>
      <c r="F726" s="152"/>
      <c r="G726" s="152"/>
      <c r="H726" s="152"/>
      <c r="I726" s="152"/>
      <c r="J726" s="152"/>
      <c r="K726" s="152"/>
      <c r="L726" s="152"/>
      <c r="M726" s="152"/>
      <c r="N726" s="152"/>
      <c r="O726" s="152"/>
      <c r="P726" s="152"/>
      <c r="Q726" s="152"/>
      <c r="R726" s="152"/>
      <c r="S726" s="152"/>
      <c r="T726" s="152"/>
      <c r="U726" s="152"/>
      <c r="V726" s="152"/>
      <c r="W726" s="152"/>
      <c r="X726" s="152"/>
      <c r="Y726" s="152"/>
      <c r="Z726" s="152"/>
    </row>
    <row r="727" ht="12.8" customHeight="1" spans="1:26">
      <c r="A727" s="152"/>
      <c r="B727" s="152"/>
      <c r="C727" s="152"/>
      <c r="D727" s="152"/>
      <c r="E727" s="152"/>
      <c r="F727" s="152"/>
      <c r="G727" s="152"/>
      <c r="H727" s="152"/>
      <c r="I727" s="152"/>
      <c r="J727" s="152"/>
      <c r="K727" s="152"/>
      <c r="L727" s="152"/>
      <c r="M727" s="152"/>
      <c r="N727" s="152"/>
      <c r="O727" s="152"/>
      <c r="P727" s="152"/>
      <c r="Q727" s="152"/>
      <c r="R727" s="152"/>
      <c r="S727" s="152"/>
      <c r="T727" s="152"/>
      <c r="U727" s="152"/>
      <c r="V727" s="152"/>
      <c r="W727" s="152"/>
      <c r="X727" s="152"/>
      <c r="Y727" s="152"/>
      <c r="Z727" s="152"/>
    </row>
    <row r="728" ht="12.8" customHeight="1" spans="1:26">
      <c r="A728" s="152"/>
      <c r="B728" s="152"/>
      <c r="C728" s="152"/>
      <c r="D728" s="152"/>
      <c r="E728" s="152"/>
      <c r="F728" s="152"/>
      <c r="G728" s="152"/>
      <c r="H728" s="152"/>
      <c r="I728" s="152"/>
      <c r="J728" s="152"/>
      <c r="K728" s="152"/>
      <c r="L728" s="152"/>
      <c r="M728" s="152"/>
      <c r="N728" s="152"/>
      <c r="O728" s="152"/>
      <c r="P728" s="152"/>
      <c r="Q728" s="152"/>
      <c r="R728" s="152"/>
      <c r="S728" s="152"/>
      <c r="T728" s="152"/>
      <c r="U728" s="152"/>
      <c r="V728" s="152"/>
      <c r="W728" s="152"/>
      <c r="X728" s="152"/>
      <c r="Y728" s="152"/>
      <c r="Z728" s="152"/>
    </row>
    <row r="729" ht="12.8" customHeight="1" spans="1:26">
      <c r="A729" s="152"/>
      <c r="B729" s="152"/>
      <c r="C729" s="152"/>
      <c r="D729" s="152"/>
      <c r="E729" s="152"/>
      <c r="F729" s="152"/>
      <c r="G729" s="152"/>
      <c r="H729" s="152"/>
      <c r="I729" s="152"/>
      <c r="J729" s="152"/>
      <c r="K729" s="152"/>
      <c r="L729" s="152"/>
      <c r="M729" s="152"/>
      <c r="N729" s="152"/>
      <c r="O729" s="152"/>
      <c r="P729" s="152"/>
      <c r="Q729" s="152"/>
      <c r="R729" s="152"/>
      <c r="S729" s="152"/>
      <c r="T729" s="152"/>
      <c r="U729" s="152"/>
      <c r="V729" s="152"/>
      <c r="W729" s="152"/>
      <c r="X729" s="152"/>
      <c r="Y729" s="152"/>
      <c r="Z729" s="152"/>
    </row>
    <row r="730" ht="12.8" customHeight="1" spans="1:26">
      <c r="A730" s="152"/>
      <c r="B730" s="152"/>
      <c r="C730" s="152"/>
      <c r="D730" s="152"/>
      <c r="E730" s="152"/>
      <c r="F730" s="152"/>
      <c r="G730" s="152"/>
      <c r="H730" s="152"/>
      <c r="I730" s="152"/>
      <c r="J730" s="152"/>
      <c r="K730" s="152"/>
      <c r="L730" s="152"/>
      <c r="M730" s="152"/>
      <c r="N730" s="152"/>
      <c r="O730" s="152"/>
      <c r="P730" s="152"/>
      <c r="Q730" s="152"/>
      <c r="R730" s="152"/>
      <c r="S730" s="152"/>
      <c r="T730" s="152"/>
      <c r="U730" s="152"/>
      <c r="V730" s="152"/>
      <c r="W730" s="152"/>
      <c r="X730" s="152"/>
      <c r="Y730" s="152"/>
      <c r="Z730" s="152"/>
    </row>
    <row r="731" ht="12.8" customHeight="1" spans="1:26">
      <c r="A731" s="152"/>
      <c r="B731" s="152"/>
      <c r="C731" s="152"/>
      <c r="D731" s="152"/>
      <c r="E731" s="152"/>
      <c r="F731" s="152"/>
      <c r="G731" s="152"/>
      <c r="H731" s="152"/>
      <c r="I731" s="152"/>
      <c r="J731" s="152"/>
      <c r="K731" s="152"/>
      <c r="L731" s="152"/>
      <c r="M731" s="152"/>
      <c r="N731" s="152"/>
      <c r="O731" s="152"/>
      <c r="P731" s="152"/>
      <c r="Q731" s="152"/>
      <c r="R731" s="152"/>
      <c r="S731" s="152"/>
      <c r="T731" s="152"/>
      <c r="U731" s="152"/>
      <c r="V731" s="152"/>
      <c r="W731" s="152"/>
      <c r="X731" s="152"/>
      <c r="Y731" s="152"/>
      <c r="Z731" s="152"/>
    </row>
    <row r="732" ht="12.8" customHeight="1" spans="1:26">
      <c r="A732" s="152"/>
      <c r="B732" s="152"/>
      <c r="C732" s="152"/>
      <c r="D732" s="152"/>
      <c r="E732" s="152"/>
      <c r="F732" s="152"/>
      <c r="G732" s="152"/>
      <c r="H732" s="152"/>
      <c r="I732" s="152"/>
      <c r="J732" s="152"/>
      <c r="K732" s="152"/>
      <c r="L732" s="152"/>
      <c r="M732" s="152"/>
      <c r="N732" s="152"/>
      <c r="O732" s="152"/>
      <c r="P732" s="152"/>
      <c r="Q732" s="152"/>
      <c r="R732" s="152"/>
      <c r="S732" s="152"/>
      <c r="T732" s="152"/>
      <c r="U732" s="152"/>
      <c r="V732" s="152"/>
      <c r="W732" s="152"/>
      <c r="X732" s="152"/>
      <c r="Y732" s="152"/>
      <c r="Z732" s="152"/>
    </row>
    <row r="733" ht="12.8" customHeight="1" spans="1:26">
      <c r="A733" s="152"/>
      <c r="B733" s="152"/>
      <c r="C733" s="152"/>
      <c r="D733" s="152"/>
      <c r="E733" s="152"/>
      <c r="F733" s="152"/>
      <c r="G733" s="152"/>
      <c r="H733" s="152"/>
      <c r="I733" s="152"/>
      <c r="J733" s="152"/>
      <c r="K733" s="152"/>
      <c r="L733" s="152"/>
      <c r="M733" s="152"/>
      <c r="N733" s="152"/>
      <c r="O733" s="152"/>
      <c r="P733" s="152"/>
      <c r="Q733" s="152"/>
      <c r="R733" s="152"/>
      <c r="S733" s="152"/>
      <c r="T733" s="152"/>
      <c r="U733" s="152"/>
      <c r="V733" s="152"/>
      <c r="W733" s="152"/>
      <c r="X733" s="152"/>
      <c r="Y733" s="152"/>
      <c r="Z733" s="152"/>
    </row>
    <row r="734" ht="12.8" customHeight="1" spans="1:26">
      <c r="A734" s="152"/>
      <c r="B734" s="152"/>
      <c r="C734" s="152"/>
      <c r="D734" s="152"/>
      <c r="E734" s="152"/>
      <c r="F734" s="152"/>
      <c r="G734" s="152"/>
      <c r="H734" s="152"/>
      <c r="I734" s="152"/>
      <c r="J734" s="152"/>
      <c r="K734" s="152"/>
      <c r="L734" s="152"/>
      <c r="M734" s="152"/>
      <c r="N734" s="152"/>
      <c r="O734" s="152"/>
      <c r="P734" s="152"/>
      <c r="Q734" s="152"/>
      <c r="R734" s="152"/>
      <c r="S734" s="152"/>
      <c r="T734" s="152"/>
      <c r="U734" s="152"/>
      <c r="V734" s="152"/>
      <c r="W734" s="152"/>
      <c r="X734" s="152"/>
      <c r="Y734" s="152"/>
      <c r="Z734" s="152"/>
    </row>
    <row r="735" ht="12.8" customHeight="1" spans="1:26">
      <c r="A735" s="152"/>
      <c r="B735" s="152"/>
      <c r="C735" s="152"/>
      <c r="D735" s="152"/>
      <c r="E735" s="152"/>
      <c r="F735" s="152"/>
      <c r="G735" s="152"/>
      <c r="H735" s="152"/>
      <c r="I735" s="152"/>
      <c r="J735" s="152"/>
      <c r="K735" s="152"/>
      <c r="L735" s="152"/>
      <c r="M735" s="152"/>
      <c r="N735" s="152"/>
      <c r="O735" s="152"/>
      <c r="P735" s="152"/>
      <c r="Q735" s="152"/>
      <c r="R735" s="152"/>
      <c r="S735" s="152"/>
      <c r="T735" s="152"/>
      <c r="U735" s="152"/>
      <c r="V735" s="152"/>
      <c r="W735" s="152"/>
      <c r="X735" s="152"/>
      <c r="Y735" s="152"/>
      <c r="Z735" s="152"/>
    </row>
    <row r="736" ht="12.8" customHeight="1" spans="1:26">
      <c r="A736" s="152"/>
      <c r="B736" s="152"/>
      <c r="C736" s="152"/>
      <c r="D736" s="152"/>
      <c r="E736" s="152"/>
      <c r="F736" s="152"/>
      <c r="G736" s="152"/>
      <c r="H736" s="152"/>
      <c r="I736" s="152"/>
      <c r="J736" s="152"/>
      <c r="K736" s="152"/>
      <c r="L736" s="152"/>
      <c r="M736" s="152"/>
      <c r="N736" s="152"/>
      <c r="O736" s="152"/>
      <c r="P736" s="152"/>
      <c r="Q736" s="152"/>
      <c r="R736" s="152"/>
      <c r="S736" s="152"/>
      <c r="T736" s="152"/>
      <c r="U736" s="152"/>
      <c r="V736" s="152"/>
      <c r="W736" s="152"/>
      <c r="X736" s="152"/>
      <c r="Y736" s="152"/>
      <c r="Z736" s="152"/>
    </row>
    <row r="737" ht="12.8" customHeight="1" spans="1:26">
      <c r="A737" s="152"/>
      <c r="B737" s="152"/>
      <c r="C737" s="152"/>
      <c r="D737" s="152"/>
      <c r="E737" s="152"/>
      <c r="F737" s="152"/>
      <c r="G737" s="152"/>
      <c r="H737" s="152"/>
      <c r="I737" s="152"/>
      <c r="J737" s="152"/>
      <c r="K737" s="152"/>
      <c r="L737" s="152"/>
      <c r="M737" s="152"/>
      <c r="N737" s="152"/>
      <c r="O737" s="152"/>
      <c r="P737" s="152"/>
      <c r="Q737" s="152"/>
      <c r="R737" s="152"/>
      <c r="S737" s="152"/>
      <c r="T737" s="152"/>
      <c r="U737" s="152"/>
      <c r="V737" s="152"/>
      <c r="W737" s="152"/>
      <c r="X737" s="152"/>
      <c r="Y737" s="152"/>
      <c r="Z737" s="152"/>
    </row>
    <row r="738" ht="12.8" customHeight="1" spans="1:26">
      <c r="A738" s="152"/>
      <c r="B738" s="152"/>
      <c r="C738" s="152"/>
      <c r="D738" s="152"/>
      <c r="E738" s="152"/>
      <c r="F738" s="152"/>
      <c r="G738" s="152"/>
      <c r="H738" s="152"/>
      <c r="I738" s="152"/>
      <c r="J738" s="152"/>
      <c r="K738" s="152"/>
      <c r="L738" s="152"/>
      <c r="M738" s="152"/>
      <c r="N738" s="152"/>
      <c r="O738" s="152"/>
      <c r="P738" s="152"/>
      <c r="Q738" s="152"/>
      <c r="R738" s="152"/>
      <c r="S738" s="152"/>
      <c r="T738" s="152"/>
      <c r="U738" s="152"/>
      <c r="V738" s="152"/>
      <c r="W738" s="152"/>
      <c r="X738" s="152"/>
      <c r="Y738" s="152"/>
      <c r="Z738" s="152"/>
    </row>
    <row r="739" ht="12.8" customHeight="1" spans="1:26">
      <c r="A739" s="152"/>
      <c r="B739" s="152"/>
      <c r="C739" s="152"/>
      <c r="D739" s="152"/>
      <c r="E739" s="152"/>
      <c r="F739" s="152"/>
      <c r="G739" s="152"/>
      <c r="H739" s="152"/>
      <c r="I739" s="152"/>
      <c r="J739" s="152"/>
      <c r="K739" s="152"/>
      <c r="L739" s="152"/>
      <c r="M739" s="152"/>
      <c r="N739" s="152"/>
      <c r="O739" s="152"/>
      <c r="P739" s="152"/>
      <c r="Q739" s="152"/>
      <c r="R739" s="152"/>
      <c r="S739" s="152"/>
      <c r="T739" s="152"/>
      <c r="U739" s="152"/>
      <c r="V739" s="152"/>
      <c r="W739" s="152"/>
      <c r="X739" s="152"/>
      <c r="Y739" s="152"/>
      <c r="Z739" s="152"/>
    </row>
    <row r="740" ht="12.8" customHeight="1" spans="1:26">
      <c r="A740" s="152"/>
      <c r="B740" s="152"/>
      <c r="C740" s="152"/>
      <c r="D740" s="152"/>
      <c r="E740" s="152"/>
      <c r="F740" s="152"/>
      <c r="G740" s="152"/>
      <c r="H740" s="152"/>
      <c r="I740" s="152"/>
      <c r="J740" s="152"/>
      <c r="K740" s="152"/>
      <c r="L740" s="152"/>
      <c r="M740" s="152"/>
      <c r="N740" s="152"/>
      <c r="O740" s="152"/>
      <c r="P740" s="152"/>
      <c r="Q740" s="152"/>
      <c r="R740" s="152"/>
      <c r="S740" s="152"/>
      <c r="T740" s="152"/>
      <c r="U740" s="152"/>
      <c r="V740" s="152"/>
      <c r="W740" s="152"/>
      <c r="X740" s="152"/>
      <c r="Y740" s="152"/>
      <c r="Z740" s="152"/>
    </row>
    <row r="741" ht="12.8" customHeight="1" spans="1:26">
      <c r="A741" s="152"/>
      <c r="B741" s="152"/>
      <c r="C741" s="152"/>
      <c r="D741" s="152"/>
      <c r="E741" s="152"/>
      <c r="F741" s="152"/>
      <c r="G741" s="152"/>
      <c r="H741" s="152"/>
      <c r="I741" s="152"/>
      <c r="J741" s="152"/>
      <c r="K741" s="152"/>
      <c r="L741" s="152"/>
      <c r="M741" s="152"/>
      <c r="N741" s="152"/>
      <c r="O741" s="152"/>
      <c r="P741" s="152"/>
      <c r="Q741" s="152"/>
      <c r="R741" s="152"/>
      <c r="S741" s="152"/>
      <c r="T741" s="152"/>
      <c r="U741" s="152"/>
      <c r="V741" s="152"/>
      <c r="W741" s="152"/>
      <c r="X741" s="152"/>
      <c r="Y741" s="152"/>
      <c r="Z741" s="152"/>
    </row>
    <row r="742" ht="12.8" customHeight="1" spans="1:26">
      <c r="A742" s="152"/>
      <c r="B742" s="152"/>
      <c r="C742" s="152"/>
      <c r="D742" s="152"/>
      <c r="E742" s="152"/>
      <c r="F742" s="152"/>
      <c r="G742" s="152"/>
      <c r="H742" s="152"/>
      <c r="I742" s="152"/>
      <c r="J742" s="152"/>
      <c r="K742" s="152"/>
      <c r="L742" s="152"/>
      <c r="M742" s="152"/>
      <c r="N742" s="152"/>
      <c r="O742" s="152"/>
      <c r="P742" s="152"/>
      <c r="Q742" s="152"/>
      <c r="R742" s="152"/>
      <c r="S742" s="152"/>
      <c r="T742" s="152"/>
      <c r="U742" s="152"/>
      <c r="V742" s="152"/>
      <c r="W742" s="152"/>
      <c r="X742" s="152"/>
      <c r="Y742" s="152"/>
      <c r="Z742" s="152"/>
    </row>
    <row r="743" ht="12.8" customHeight="1" spans="1:26">
      <c r="A743" s="152"/>
      <c r="B743" s="152"/>
      <c r="C743" s="152"/>
      <c r="D743" s="152"/>
      <c r="E743" s="152"/>
      <c r="F743" s="152"/>
      <c r="G743" s="152"/>
      <c r="H743" s="152"/>
      <c r="I743" s="152"/>
      <c r="J743" s="152"/>
      <c r="K743" s="152"/>
      <c r="L743" s="152"/>
      <c r="M743" s="152"/>
      <c r="N743" s="152"/>
      <c r="O743" s="152"/>
      <c r="P743" s="152"/>
      <c r="Q743" s="152"/>
      <c r="R743" s="152"/>
      <c r="S743" s="152"/>
      <c r="T743" s="152"/>
      <c r="U743" s="152"/>
      <c r="V743" s="152"/>
      <c r="W743" s="152"/>
      <c r="X743" s="152"/>
      <c r="Y743" s="152"/>
      <c r="Z743" s="152"/>
    </row>
    <row r="744" ht="12.8" customHeight="1" spans="1:26">
      <c r="A744" s="152"/>
      <c r="B744" s="152"/>
      <c r="C744" s="152"/>
      <c r="D744" s="152"/>
      <c r="E744" s="152"/>
      <c r="F744" s="152"/>
      <c r="G744" s="152"/>
      <c r="H744" s="152"/>
      <c r="I744" s="152"/>
      <c r="J744" s="152"/>
      <c r="K744" s="152"/>
      <c r="L744" s="152"/>
      <c r="M744" s="152"/>
      <c r="N744" s="152"/>
      <c r="O744" s="152"/>
      <c r="P744" s="152"/>
      <c r="Q744" s="152"/>
      <c r="R744" s="152"/>
      <c r="S744" s="152"/>
      <c r="T744" s="152"/>
      <c r="U744" s="152"/>
      <c r="V744" s="152"/>
      <c r="W744" s="152"/>
      <c r="X744" s="152"/>
      <c r="Y744" s="152"/>
      <c r="Z744" s="152"/>
    </row>
    <row r="745" ht="12.8" customHeight="1" spans="1:26">
      <c r="A745" s="152"/>
      <c r="B745" s="152"/>
      <c r="C745" s="152"/>
      <c r="D745" s="152"/>
      <c r="E745" s="152"/>
      <c r="F745" s="152"/>
      <c r="G745" s="152"/>
      <c r="H745" s="152"/>
      <c r="I745" s="152"/>
      <c r="J745" s="152"/>
      <c r="K745" s="152"/>
      <c r="L745" s="152"/>
      <c r="M745" s="152"/>
      <c r="N745" s="152"/>
      <c r="O745" s="152"/>
      <c r="P745" s="152"/>
      <c r="Q745" s="152"/>
      <c r="R745" s="152"/>
      <c r="S745" s="152"/>
      <c r="T745" s="152"/>
      <c r="U745" s="152"/>
      <c r="V745" s="152"/>
      <c r="W745" s="152"/>
      <c r="X745" s="152"/>
      <c r="Y745" s="152"/>
      <c r="Z745" s="152"/>
    </row>
    <row r="746" ht="12.8" customHeight="1" spans="1:26">
      <c r="A746" s="152"/>
      <c r="B746" s="152"/>
      <c r="C746" s="152"/>
      <c r="D746" s="152"/>
      <c r="E746" s="152"/>
      <c r="F746" s="152"/>
      <c r="G746" s="152"/>
      <c r="H746" s="152"/>
      <c r="I746" s="152"/>
      <c r="J746" s="152"/>
      <c r="K746" s="152"/>
      <c r="L746" s="152"/>
      <c r="M746" s="152"/>
      <c r="N746" s="152"/>
      <c r="O746" s="152"/>
      <c r="P746" s="152"/>
      <c r="Q746" s="152"/>
      <c r="R746" s="152"/>
      <c r="S746" s="152"/>
      <c r="T746" s="152"/>
      <c r="U746" s="152"/>
      <c r="V746" s="152"/>
      <c r="W746" s="152"/>
      <c r="X746" s="152"/>
      <c r="Y746" s="152"/>
      <c r="Z746" s="152"/>
    </row>
    <row r="747" ht="12.8" customHeight="1" spans="1:26">
      <c r="A747" s="152"/>
      <c r="B747" s="152"/>
      <c r="C747" s="152"/>
      <c r="D747" s="152"/>
      <c r="E747" s="152"/>
      <c r="F747" s="152"/>
      <c r="G747" s="152"/>
      <c r="H747" s="152"/>
      <c r="I747" s="152"/>
      <c r="J747" s="152"/>
      <c r="K747" s="152"/>
      <c r="L747" s="152"/>
      <c r="M747" s="152"/>
      <c r="N747" s="152"/>
      <c r="O747" s="152"/>
      <c r="P747" s="152"/>
      <c r="Q747" s="152"/>
      <c r="R747" s="152"/>
      <c r="S747" s="152"/>
      <c r="T747" s="152"/>
      <c r="U747" s="152"/>
      <c r="V747" s="152"/>
      <c r="W747" s="152"/>
      <c r="X747" s="152"/>
      <c r="Y747" s="152"/>
      <c r="Z747" s="152"/>
    </row>
    <row r="748" ht="12.8" customHeight="1" spans="1:26">
      <c r="A748" s="152"/>
      <c r="B748" s="152"/>
      <c r="C748" s="152"/>
      <c r="D748" s="152"/>
      <c r="E748" s="152"/>
      <c r="F748" s="152"/>
      <c r="G748" s="152"/>
      <c r="H748" s="152"/>
      <c r="I748" s="152"/>
      <c r="J748" s="152"/>
      <c r="K748" s="152"/>
      <c r="L748" s="152"/>
      <c r="M748" s="152"/>
      <c r="N748" s="152"/>
      <c r="O748" s="152"/>
      <c r="P748" s="152"/>
      <c r="Q748" s="152"/>
      <c r="R748" s="152"/>
      <c r="S748" s="152"/>
      <c r="T748" s="152"/>
      <c r="U748" s="152"/>
      <c r="V748" s="152"/>
      <c r="W748" s="152"/>
      <c r="X748" s="152"/>
      <c r="Y748" s="152"/>
      <c r="Z748" s="152"/>
    </row>
    <row r="749" ht="12.8" customHeight="1" spans="1:26">
      <c r="A749" s="152"/>
      <c r="B749" s="152"/>
      <c r="C749" s="152"/>
      <c r="D749" s="152"/>
      <c r="E749" s="152"/>
      <c r="F749" s="152"/>
      <c r="G749" s="152"/>
      <c r="H749" s="152"/>
      <c r="I749" s="152"/>
      <c r="J749" s="152"/>
      <c r="K749" s="152"/>
      <c r="L749" s="152"/>
      <c r="M749" s="152"/>
      <c r="N749" s="152"/>
      <c r="O749" s="152"/>
      <c r="P749" s="152"/>
      <c r="Q749" s="152"/>
      <c r="R749" s="152"/>
      <c r="S749" s="152"/>
      <c r="T749" s="152"/>
      <c r="U749" s="152"/>
      <c r="V749" s="152"/>
      <c r="W749" s="152"/>
      <c r="X749" s="152"/>
      <c r="Y749" s="152"/>
      <c r="Z749" s="152"/>
    </row>
    <row r="750" ht="12.8" customHeight="1" spans="1:26">
      <c r="A750" s="152"/>
      <c r="B750" s="152"/>
      <c r="C750" s="152"/>
      <c r="D750" s="152"/>
      <c r="E750" s="152"/>
      <c r="F750" s="152"/>
      <c r="G750" s="152"/>
      <c r="H750" s="152"/>
      <c r="I750" s="152"/>
      <c r="J750" s="152"/>
      <c r="K750" s="152"/>
      <c r="L750" s="152"/>
      <c r="M750" s="152"/>
      <c r="N750" s="152"/>
      <c r="O750" s="152"/>
      <c r="P750" s="152"/>
      <c r="Q750" s="152"/>
      <c r="R750" s="152"/>
      <c r="S750" s="152"/>
      <c r="T750" s="152"/>
      <c r="U750" s="152"/>
      <c r="V750" s="152"/>
      <c r="W750" s="152"/>
      <c r="X750" s="152"/>
      <c r="Y750" s="152"/>
      <c r="Z750" s="152"/>
    </row>
    <row r="751" ht="12.8" customHeight="1" spans="1:26">
      <c r="A751" s="152"/>
      <c r="B751" s="152"/>
      <c r="C751" s="152"/>
      <c r="D751" s="152"/>
      <c r="E751" s="152"/>
      <c r="F751" s="152"/>
      <c r="G751" s="152"/>
      <c r="H751" s="152"/>
      <c r="I751" s="152"/>
      <c r="J751" s="152"/>
      <c r="K751" s="152"/>
      <c r="L751" s="152"/>
      <c r="M751" s="152"/>
      <c r="N751" s="152"/>
      <c r="O751" s="152"/>
      <c r="P751" s="152"/>
      <c r="Q751" s="152"/>
      <c r="R751" s="152"/>
      <c r="S751" s="152"/>
      <c r="T751" s="152"/>
      <c r="U751" s="152"/>
      <c r="V751" s="152"/>
      <c r="W751" s="152"/>
      <c r="X751" s="152"/>
      <c r="Y751" s="152"/>
      <c r="Z751" s="152"/>
    </row>
    <row r="752" ht="12.8" customHeight="1" spans="1:26">
      <c r="A752" s="152"/>
      <c r="B752" s="152"/>
      <c r="C752" s="152"/>
      <c r="D752" s="152"/>
      <c r="E752" s="152"/>
      <c r="F752" s="152"/>
      <c r="G752" s="152"/>
      <c r="H752" s="152"/>
      <c r="I752" s="152"/>
      <c r="J752" s="152"/>
      <c r="K752" s="152"/>
      <c r="L752" s="152"/>
      <c r="M752" s="152"/>
      <c r="N752" s="152"/>
      <c r="O752" s="152"/>
      <c r="P752" s="152"/>
      <c r="Q752" s="152"/>
      <c r="R752" s="152"/>
      <c r="S752" s="152"/>
      <c r="T752" s="152"/>
      <c r="U752" s="152"/>
      <c r="V752" s="152"/>
      <c r="W752" s="152"/>
      <c r="X752" s="152"/>
      <c r="Y752" s="152"/>
      <c r="Z752" s="152"/>
    </row>
    <row r="753" ht="12.8" customHeight="1" spans="1:26">
      <c r="A753" s="152"/>
      <c r="B753" s="152"/>
      <c r="C753" s="152"/>
      <c r="D753" s="152"/>
      <c r="E753" s="152"/>
      <c r="F753" s="152"/>
      <c r="G753" s="152"/>
      <c r="H753" s="152"/>
      <c r="I753" s="152"/>
      <c r="J753" s="152"/>
      <c r="K753" s="152"/>
      <c r="L753" s="152"/>
      <c r="M753" s="152"/>
      <c r="N753" s="152"/>
      <c r="O753" s="152"/>
      <c r="P753" s="152"/>
      <c r="Q753" s="152"/>
      <c r="R753" s="152"/>
      <c r="S753" s="152"/>
      <c r="T753" s="152"/>
      <c r="U753" s="152"/>
      <c r="V753" s="152"/>
      <c r="W753" s="152"/>
      <c r="X753" s="152"/>
      <c r="Y753" s="152"/>
      <c r="Z753" s="152"/>
    </row>
    <row r="754" ht="12.8" customHeight="1" spans="1:26">
      <c r="A754" s="152"/>
      <c r="B754" s="152"/>
      <c r="C754" s="152"/>
      <c r="D754" s="152"/>
      <c r="E754" s="152"/>
      <c r="F754" s="152"/>
      <c r="G754" s="152"/>
      <c r="H754" s="152"/>
      <c r="I754" s="152"/>
      <c r="J754" s="152"/>
      <c r="K754" s="152"/>
      <c r="L754" s="152"/>
      <c r="M754" s="152"/>
      <c r="N754" s="152"/>
      <c r="O754" s="152"/>
      <c r="P754" s="152"/>
      <c r="Q754" s="152"/>
      <c r="R754" s="152"/>
      <c r="S754" s="152"/>
      <c r="T754" s="152"/>
      <c r="U754" s="152"/>
      <c r="V754" s="152"/>
      <c r="W754" s="152"/>
      <c r="X754" s="152"/>
      <c r="Y754" s="152"/>
      <c r="Z754" s="152"/>
    </row>
    <row r="755" ht="12.8" customHeight="1" spans="1:26">
      <c r="A755" s="152"/>
      <c r="B755" s="152"/>
      <c r="C755" s="152"/>
      <c r="D755" s="152"/>
      <c r="E755" s="152"/>
      <c r="F755" s="152"/>
      <c r="G755" s="152"/>
      <c r="H755" s="152"/>
      <c r="I755" s="152"/>
      <c r="J755" s="152"/>
      <c r="K755" s="152"/>
      <c r="L755" s="152"/>
      <c r="M755" s="152"/>
      <c r="N755" s="152"/>
      <c r="O755" s="152"/>
      <c r="P755" s="152"/>
      <c r="Q755" s="152"/>
      <c r="R755" s="152"/>
      <c r="S755" s="152"/>
      <c r="T755" s="152"/>
      <c r="U755" s="152"/>
      <c r="V755" s="152"/>
      <c r="W755" s="152"/>
      <c r="X755" s="152"/>
      <c r="Y755" s="152"/>
      <c r="Z755" s="152"/>
    </row>
    <row r="756" ht="12.8" customHeight="1" spans="1:26">
      <c r="A756" s="152"/>
      <c r="B756" s="152"/>
      <c r="C756" s="152"/>
      <c r="D756" s="152"/>
      <c r="E756" s="152"/>
      <c r="F756" s="152"/>
      <c r="G756" s="152"/>
      <c r="H756" s="152"/>
      <c r="I756" s="152"/>
      <c r="J756" s="152"/>
      <c r="K756" s="152"/>
      <c r="L756" s="152"/>
      <c r="M756" s="152"/>
      <c r="N756" s="152"/>
      <c r="O756" s="152"/>
      <c r="P756" s="152"/>
      <c r="Q756" s="152"/>
      <c r="R756" s="152"/>
      <c r="S756" s="152"/>
      <c r="T756" s="152"/>
      <c r="U756" s="152"/>
      <c r="V756" s="152"/>
      <c r="W756" s="152"/>
      <c r="X756" s="152"/>
      <c r="Y756" s="152"/>
      <c r="Z756" s="152"/>
    </row>
    <row r="757" ht="12.8" customHeight="1" spans="1:26">
      <c r="A757" s="152"/>
      <c r="B757" s="152"/>
      <c r="C757" s="152"/>
      <c r="D757" s="152"/>
      <c r="E757" s="152"/>
      <c r="F757" s="152"/>
      <c r="G757" s="152"/>
      <c r="H757" s="152"/>
      <c r="I757" s="152"/>
      <c r="J757" s="152"/>
      <c r="K757" s="152"/>
      <c r="L757" s="152"/>
      <c r="M757" s="152"/>
      <c r="N757" s="152"/>
      <c r="O757" s="152"/>
      <c r="P757" s="152"/>
      <c r="Q757" s="152"/>
      <c r="R757" s="152"/>
      <c r="S757" s="152"/>
      <c r="T757" s="152"/>
      <c r="U757" s="152"/>
      <c r="V757" s="152"/>
      <c r="W757" s="152"/>
      <c r="X757" s="152"/>
      <c r="Y757" s="152"/>
      <c r="Z757" s="152"/>
    </row>
    <row r="758" ht="12.8" customHeight="1" spans="1:26">
      <c r="A758" s="152"/>
      <c r="B758" s="152"/>
      <c r="C758" s="152"/>
      <c r="D758" s="152"/>
      <c r="E758" s="152"/>
      <c r="F758" s="152"/>
      <c r="G758" s="152"/>
      <c r="H758" s="152"/>
      <c r="I758" s="152"/>
      <c r="J758" s="152"/>
      <c r="K758" s="152"/>
      <c r="L758" s="152"/>
      <c r="M758" s="152"/>
      <c r="N758" s="152"/>
      <c r="O758" s="152"/>
      <c r="P758" s="152"/>
      <c r="Q758" s="152"/>
      <c r="R758" s="152"/>
      <c r="S758" s="152"/>
      <c r="T758" s="152"/>
      <c r="U758" s="152"/>
      <c r="V758" s="152"/>
      <c r="W758" s="152"/>
      <c r="X758" s="152"/>
      <c r="Y758" s="152"/>
      <c r="Z758" s="152"/>
    </row>
    <row r="759" ht="12.8" customHeight="1" spans="1:26">
      <c r="A759" s="152"/>
      <c r="B759" s="152"/>
      <c r="C759" s="152"/>
      <c r="D759" s="152"/>
      <c r="E759" s="152"/>
      <c r="F759" s="152"/>
      <c r="G759" s="152"/>
      <c r="H759" s="152"/>
      <c r="I759" s="152"/>
      <c r="J759" s="152"/>
      <c r="K759" s="152"/>
      <c r="L759" s="152"/>
      <c r="M759" s="152"/>
      <c r="N759" s="152"/>
      <c r="O759" s="152"/>
      <c r="P759" s="152"/>
      <c r="Q759" s="152"/>
      <c r="R759" s="152"/>
      <c r="S759" s="152"/>
      <c r="T759" s="152"/>
      <c r="U759" s="152"/>
      <c r="V759" s="152"/>
      <c r="W759" s="152"/>
      <c r="X759" s="152"/>
      <c r="Y759" s="152"/>
      <c r="Z759" s="152"/>
    </row>
    <row r="760" ht="12.8" customHeight="1" spans="1:26">
      <c r="A760" s="152"/>
      <c r="B760" s="152"/>
      <c r="C760" s="152"/>
      <c r="D760" s="152"/>
      <c r="E760" s="152"/>
      <c r="F760" s="152"/>
      <c r="G760" s="152"/>
      <c r="H760" s="152"/>
      <c r="I760" s="152"/>
      <c r="J760" s="152"/>
      <c r="K760" s="152"/>
      <c r="L760" s="152"/>
      <c r="M760" s="152"/>
      <c r="N760" s="152"/>
      <c r="O760" s="152"/>
      <c r="P760" s="152"/>
      <c r="Q760" s="152"/>
      <c r="R760" s="152"/>
      <c r="S760" s="152"/>
      <c r="T760" s="152"/>
      <c r="U760" s="152"/>
      <c r="V760" s="152"/>
      <c r="W760" s="152"/>
      <c r="X760" s="152"/>
      <c r="Y760" s="152"/>
      <c r="Z760" s="152"/>
    </row>
    <row r="761" ht="12.8" customHeight="1" spans="1:26">
      <c r="A761" s="152"/>
      <c r="B761" s="152"/>
      <c r="C761" s="152"/>
      <c r="D761" s="152"/>
      <c r="E761" s="152"/>
      <c r="F761" s="152"/>
      <c r="G761" s="152"/>
      <c r="H761" s="152"/>
      <c r="I761" s="152"/>
      <c r="J761" s="152"/>
      <c r="K761" s="152"/>
      <c r="L761" s="152"/>
      <c r="M761" s="152"/>
      <c r="N761" s="152"/>
      <c r="O761" s="152"/>
      <c r="P761" s="152"/>
      <c r="Q761" s="152"/>
      <c r="R761" s="152"/>
      <c r="S761" s="152"/>
      <c r="T761" s="152"/>
      <c r="U761" s="152"/>
      <c r="V761" s="152"/>
      <c r="W761" s="152"/>
      <c r="X761" s="152"/>
      <c r="Y761" s="152"/>
      <c r="Z761" s="152"/>
    </row>
    <row r="762" ht="12.8" customHeight="1" spans="1:26">
      <c r="A762" s="152"/>
      <c r="B762" s="152"/>
      <c r="C762" s="152"/>
      <c r="D762" s="152"/>
      <c r="E762" s="152"/>
      <c r="F762" s="152"/>
      <c r="G762" s="152"/>
      <c r="H762" s="152"/>
      <c r="I762" s="152"/>
      <c r="J762" s="152"/>
      <c r="K762" s="152"/>
      <c r="L762" s="152"/>
      <c r="M762" s="152"/>
      <c r="N762" s="152"/>
      <c r="O762" s="152"/>
      <c r="P762" s="152"/>
      <c r="Q762" s="152"/>
      <c r="R762" s="152"/>
      <c r="S762" s="152"/>
      <c r="T762" s="152"/>
      <c r="U762" s="152"/>
      <c r="V762" s="152"/>
      <c r="W762" s="152"/>
      <c r="X762" s="152"/>
      <c r="Y762" s="152"/>
      <c r="Z762" s="152"/>
    </row>
    <row r="763" ht="12.8" customHeight="1" spans="1:26">
      <c r="A763" s="152"/>
      <c r="B763" s="152"/>
      <c r="C763" s="152"/>
      <c r="D763" s="152"/>
      <c r="E763" s="152"/>
      <c r="F763" s="152"/>
      <c r="G763" s="152"/>
      <c r="H763" s="152"/>
      <c r="I763" s="152"/>
      <c r="J763" s="152"/>
      <c r="K763" s="152"/>
      <c r="L763" s="152"/>
      <c r="M763" s="152"/>
      <c r="N763" s="152"/>
      <c r="O763" s="152"/>
      <c r="P763" s="152"/>
      <c r="Q763" s="152"/>
      <c r="R763" s="152"/>
      <c r="S763" s="152"/>
      <c r="T763" s="152"/>
      <c r="U763" s="152"/>
      <c r="V763" s="152"/>
      <c r="W763" s="152"/>
      <c r="X763" s="152"/>
      <c r="Y763" s="152"/>
      <c r="Z763" s="152"/>
    </row>
    <row r="764" ht="12.8" customHeight="1" spans="1:26">
      <c r="A764" s="152"/>
      <c r="B764" s="152"/>
      <c r="C764" s="152"/>
      <c r="D764" s="152"/>
      <c r="E764" s="152"/>
      <c r="F764" s="152"/>
      <c r="G764" s="152"/>
      <c r="H764" s="152"/>
      <c r="I764" s="152"/>
      <c r="J764" s="152"/>
      <c r="K764" s="152"/>
      <c r="L764" s="152"/>
      <c r="M764" s="152"/>
      <c r="N764" s="152"/>
      <c r="O764" s="152"/>
      <c r="P764" s="152"/>
      <c r="Q764" s="152"/>
      <c r="R764" s="152"/>
      <c r="S764" s="152"/>
      <c r="T764" s="152"/>
      <c r="U764" s="152"/>
      <c r="V764" s="152"/>
      <c r="W764" s="152"/>
      <c r="X764" s="152"/>
      <c r="Y764" s="152"/>
      <c r="Z764" s="152"/>
    </row>
    <row r="765" ht="12.8" customHeight="1" spans="1:26">
      <c r="A765" s="152"/>
      <c r="B765" s="152"/>
      <c r="C765" s="152"/>
      <c r="D765" s="152"/>
      <c r="E765" s="152"/>
      <c r="F765" s="152"/>
      <c r="G765" s="152"/>
      <c r="H765" s="152"/>
      <c r="I765" s="152"/>
      <c r="J765" s="152"/>
      <c r="K765" s="152"/>
      <c r="L765" s="152"/>
      <c r="M765" s="152"/>
      <c r="N765" s="152"/>
      <c r="O765" s="152"/>
      <c r="P765" s="152"/>
      <c r="Q765" s="152"/>
      <c r="R765" s="152"/>
      <c r="S765" s="152"/>
      <c r="T765" s="152"/>
      <c r="U765" s="152"/>
      <c r="V765" s="152"/>
      <c r="W765" s="152"/>
      <c r="X765" s="152"/>
      <c r="Y765" s="152"/>
      <c r="Z765" s="152"/>
    </row>
    <row r="766" ht="12.8" customHeight="1" spans="1:26">
      <c r="A766" s="152"/>
      <c r="B766" s="152"/>
      <c r="C766" s="152"/>
      <c r="D766" s="152"/>
      <c r="E766" s="152"/>
      <c r="F766" s="152"/>
      <c r="G766" s="152"/>
      <c r="H766" s="152"/>
      <c r="I766" s="152"/>
      <c r="J766" s="152"/>
      <c r="K766" s="152"/>
      <c r="L766" s="152"/>
      <c r="M766" s="152"/>
      <c r="N766" s="152"/>
      <c r="O766" s="152"/>
      <c r="P766" s="152"/>
      <c r="Q766" s="152"/>
      <c r="R766" s="152"/>
      <c r="S766" s="152"/>
      <c r="T766" s="152"/>
      <c r="U766" s="152"/>
      <c r="V766" s="152"/>
      <c r="W766" s="152"/>
      <c r="X766" s="152"/>
      <c r="Y766" s="152"/>
      <c r="Z766" s="152"/>
    </row>
    <row r="767" ht="12.8" customHeight="1" spans="1:26">
      <c r="A767" s="152"/>
      <c r="B767" s="152"/>
      <c r="C767" s="152"/>
      <c r="D767" s="152"/>
      <c r="E767" s="152"/>
      <c r="F767" s="152"/>
      <c r="G767" s="152"/>
      <c r="H767" s="152"/>
      <c r="I767" s="152"/>
      <c r="J767" s="152"/>
      <c r="K767" s="152"/>
      <c r="L767" s="152"/>
      <c r="M767" s="152"/>
      <c r="N767" s="152"/>
      <c r="O767" s="152"/>
      <c r="P767" s="152"/>
      <c r="Q767" s="152"/>
      <c r="R767" s="152"/>
      <c r="S767" s="152"/>
      <c r="T767" s="152"/>
      <c r="U767" s="152"/>
      <c r="V767" s="152"/>
      <c r="W767" s="152"/>
      <c r="X767" s="152"/>
      <c r="Y767" s="152"/>
      <c r="Z767" s="152"/>
    </row>
    <row r="768" ht="12.8" customHeight="1" spans="1:26">
      <c r="A768" s="152"/>
      <c r="B768" s="152"/>
      <c r="C768" s="152"/>
      <c r="D768" s="152"/>
      <c r="E768" s="152"/>
      <c r="F768" s="152"/>
      <c r="G768" s="152"/>
      <c r="H768" s="152"/>
      <c r="I768" s="152"/>
      <c r="J768" s="152"/>
      <c r="K768" s="152"/>
      <c r="L768" s="152"/>
      <c r="M768" s="152"/>
      <c r="N768" s="152"/>
      <c r="O768" s="152"/>
      <c r="P768" s="152"/>
      <c r="Q768" s="152"/>
      <c r="R768" s="152"/>
      <c r="S768" s="152"/>
      <c r="T768" s="152"/>
      <c r="U768" s="152"/>
      <c r="V768" s="152"/>
      <c r="W768" s="152"/>
      <c r="X768" s="152"/>
      <c r="Y768" s="152"/>
      <c r="Z768" s="152"/>
    </row>
    <row r="769" ht="12.8" customHeight="1" spans="1:26">
      <c r="A769" s="152"/>
      <c r="B769" s="152"/>
      <c r="C769" s="152"/>
      <c r="D769" s="152"/>
      <c r="E769" s="152"/>
      <c r="F769" s="152"/>
      <c r="G769" s="152"/>
      <c r="H769" s="152"/>
      <c r="I769" s="152"/>
      <c r="J769" s="152"/>
      <c r="K769" s="152"/>
      <c r="L769" s="152"/>
      <c r="M769" s="152"/>
      <c r="N769" s="152"/>
      <c r="O769" s="152"/>
      <c r="P769" s="152"/>
      <c r="Q769" s="152"/>
      <c r="R769" s="152"/>
      <c r="S769" s="152"/>
      <c r="T769" s="152"/>
      <c r="U769" s="152"/>
      <c r="V769" s="152"/>
      <c r="W769" s="152"/>
      <c r="X769" s="152"/>
      <c r="Y769" s="152"/>
      <c r="Z769" s="152"/>
    </row>
    <row r="770" ht="12.8" customHeight="1" spans="1:26">
      <c r="A770" s="152"/>
      <c r="B770" s="152"/>
      <c r="C770" s="152"/>
      <c r="D770" s="152"/>
      <c r="E770" s="152"/>
      <c r="F770" s="152"/>
      <c r="G770" s="152"/>
      <c r="H770" s="152"/>
      <c r="I770" s="152"/>
      <c r="J770" s="152"/>
      <c r="K770" s="152"/>
      <c r="L770" s="152"/>
      <c r="M770" s="152"/>
      <c r="N770" s="152"/>
      <c r="O770" s="152"/>
      <c r="P770" s="152"/>
      <c r="Q770" s="152"/>
      <c r="R770" s="152"/>
      <c r="S770" s="152"/>
      <c r="T770" s="152"/>
      <c r="U770" s="152"/>
      <c r="V770" s="152"/>
      <c r="W770" s="152"/>
      <c r="X770" s="152"/>
      <c r="Y770" s="152"/>
      <c r="Z770" s="152"/>
    </row>
    <row r="771" ht="12.8" customHeight="1" spans="1:26">
      <c r="A771" s="152"/>
      <c r="B771" s="152"/>
      <c r="C771" s="152"/>
      <c r="D771" s="152"/>
      <c r="E771" s="152"/>
      <c r="F771" s="152"/>
      <c r="G771" s="152"/>
      <c r="H771" s="152"/>
      <c r="I771" s="152"/>
      <c r="J771" s="152"/>
      <c r="K771" s="152"/>
      <c r="L771" s="152"/>
      <c r="M771" s="152"/>
      <c r="N771" s="152"/>
      <c r="O771" s="152"/>
      <c r="P771" s="152"/>
      <c r="Q771" s="152"/>
      <c r="R771" s="152"/>
      <c r="S771" s="152"/>
      <c r="T771" s="152"/>
      <c r="U771" s="152"/>
      <c r="V771" s="152"/>
      <c r="W771" s="152"/>
      <c r="X771" s="152"/>
      <c r="Y771" s="152"/>
      <c r="Z771" s="152"/>
    </row>
    <row r="772" ht="12.8" customHeight="1" spans="1:26">
      <c r="A772" s="152"/>
      <c r="B772" s="152"/>
      <c r="C772" s="152"/>
      <c r="D772" s="152"/>
      <c r="E772" s="152"/>
      <c r="F772" s="152"/>
      <c r="G772" s="152"/>
      <c r="H772" s="152"/>
      <c r="I772" s="152"/>
      <c r="J772" s="152"/>
      <c r="K772" s="152"/>
      <c r="L772" s="152"/>
      <c r="M772" s="152"/>
      <c r="N772" s="152"/>
      <c r="O772" s="152"/>
      <c r="P772" s="152"/>
      <c r="Q772" s="152"/>
      <c r="R772" s="152"/>
      <c r="S772" s="152"/>
      <c r="T772" s="152"/>
      <c r="U772" s="152"/>
      <c r="V772" s="152"/>
      <c r="W772" s="152"/>
      <c r="X772" s="152"/>
      <c r="Y772" s="152"/>
      <c r="Z772" s="152"/>
    </row>
    <row r="773" ht="12.8" customHeight="1" spans="1:26">
      <c r="A773" s="152"/>
      <c r="B773" s="152"/>
      <c r="C773" s="152"/>
      <c r="D773" s="152"/>
      <c r="E773" s="152"/>
      <c r="F773" s="152"/>
      <c r="G773" s="152"/>
      <c r="H773" s="152"/>
      <c r="I773" s="152"/>
      <c r="J773" s="152"/>
      <c r="K773" s="152"/>
      <c r="L773" s="152"/>
      <c r="M773" s="152"/>
      <c r="N773" s="152"/>
      <c r="O773" s="152"/>
      <c r="P773" s="152"/>
      <c r="Q773" s="152"/>
      <c r="R773" s="152"/>
      <c r="S773" s="152"/>
      <c r="T773" s="152"/>
      <c r="U773" s="152"/>
      <c r="V773" s="152"/>
      <c r="W773" s="152"/>
      <c r="X773" s="152"/>
      <c r="Y773" s="152"/>
      <c r="Z773" s="152"/>
    </row>
    <row r="774" ht="12.8" customHeight="1" spans="1:26">
      <c r="A774" s="152"/>
      <c r="B774" s="152"/>
      <c r="C774" s="152"/>
      <c r="D774" s="152"/>
      <c r="E774" s="152"/>
      <c r="F774" s="152"/>
      <c r="G774" s="152"/>
      <c r="H774" s="152"/>
      <c r="I774" s="152"/>
      <c r="J774" s="152"/>
      <c r="K774" s="152"/>
      <c r="L774" s="152"/>
      <c r="M774" s="152"/>
      <c r="N774" s="152"/>
      <c r="O774" s="152"/>
      <c r="P774" s="152"/>
      <c r="Q774" s="152"/>
      <c r="R774" s="152"/>
      <c r="S774" s="152"/>
      <c r="T774" s="152"/>
      <c r="U774" s="152"/>
      <c r="V774" s="152"/>
      <c r="W774" s="152"/>
      <c r="X774" s="152"/>
      <c r="Y774" s="152"/>
      <c r="Z774" s="152"/>
    </row>
    <row r="775" ht="12.8" customHeight="1" spans="1:26">
      <c r="A775" s="152"/>
      <c r="B775" s="152"/>
      <c r="C775" s="152"/>
      <c r="D775" s="152"/>
      <c r="E775" s="152"/>
      <c r="F775" s="152"/>
      <c r="G775" s="152"/>
      <c r="H775" s="152"/>
      <c r="I775" s="152"/>
      <c r="J775" s="152"/>
      <c r="K775" s="152"/>
      <c r="L775" s="152"/>
      <c r="M775" s="152"/>
      <c r="N775" s="152"/>
      <c r="O775" s="152"/>
      <c r="P775" s="152"/>
      <c r="Q775" s="152"/>
      <c r="R775" s="152"/>
      <c r="S775" s="152"/>
      <c r="T775" s="152"/>
      <c r="U775" s="152"/>
      <c r="V775" s="152"/>
      <c r="W775" s="152"/>
      <c r="X775" s="152"/>
      <c r="Y775" s="152"/>
      <c r="Z775" s="152"/>
    </row>
    <row r="776" ht="12.8" customHeight="1" spans="1:26">
      <c r="A776" s="152"/>
      <c r="B776" s="152"/>
      <c r="C776" s="152"/>
      <c r="D776" s="152"/>
      <c r="E776" s="152"/>
      <c r="F776" s="152"/>
      <c r="G776" s="152"/>
      <c r="H776" s="152"/>
      <c r="I776" s="152"/>
      <c r="J776" s="152"/>
      <c r="K776" s="152"/>
      <c r="L776" s="152"/>
      <c r="M776" s="152"/>
      <c r="N776" s="152"/>
      <c r="O776" s="152"/>
      <c r="P776" s="152"/>
      <c r="Q776" s="152"/>
      <c r="R776" s="152"/>
      <c r="S776" s="152"/>
      <c r="T776" s="152"/>
      <c r="U776" s="152"/>
      <c r="V776" s="152"/>
      <c r="W776" s="152"/>
      <c r="X776" s="152"/>
      <c r="Y776" s="152"/>
      <c r="Z776" s="152"/>
    </row>
    <row r="777" ht="12.8" customHeight="1" spans="1:26">
      <c r="A777" s="152"/>
      <c r="B777" s="152"/>
      <c r="C777" s="152"/>
      <c r="D777" s="152"/>
      <c r="E777" s="152"/>
      <c r="F777" s="152"/>
      <c r="G777" s="152"/>
      <c r="H777" s="152"/>
      <c r="I777" s="152"/>
      <c r="J777" s="152"/>
      <c r="K777" s="152"/>
      <c r="L777" s="152"/>
      <c r="M777" s="152"/>
      <c r="N777" s="152"/>
      <c r="O777" s="152"/>
      <c r="P777" s="152"/>
      <c r="Q777" s="152"/>
      <c r="R777" s="152"/>
      <c r="S777" s="152"/>
      <c r="T777" s="152"/>
      <c r="U777" s="152"/>
      <c r="V777" s="152"/>
      <c r="W777" s="152"/>
      <c r="X777" s="152"/>
      <c r="Y777" s="152"/>
      <c r="Z777" s="152"/>
    </row>
    <row r="778" ht="12.8" customHeight="1" spans="1:26">
      <c r="A778" s="152"/>
      <c r="B778" s="152"/>
      <c r="C778" s="152"/>
      <c r="D778" s="152"/>
      <c r="E778" s="152"/>
      <c r="F778" s="152"/>
      <c r="G778" s="152"/>
      <c r="H778" s="152"/>
      <c r="I778" s="152"/>
      <c r="J778" s="152"/>
      <c r="K778" s="152"/>
      <c r="L778" s="152"/>
      <c r="M778" s="152"/>
      <c r="N778" s="152"/>
      <c r="O778" s="152"/>
      <c r="P778" s="152"/>
      <c r="Q778" s="152"/>
      <c r="R778" s="152"/>
      <c r="S778" s="152"/>
      <c r="T778" s="152"/>
      <c r="U778" s="152"/>
      <c r="V778" s="152"/>
      <c r="W778" s="152"/>
      <c r="X778" s="152"/>
      <c r="Y778" s="152"/>
      <c r="Z778" s="152"/>
    </row>
    <row r="779" ht="12.8" customHeight="1" spans="1:26">
      <c r="A779" s="152"/>
      <c r="B779" s="152"/>
      <c r="C779" s="152"/>
      <c r="D779" s="152"/>
      <c r="E779" s="152"/>
      <c r="F779" s="152"/>
      <c r="G779" s="152"/>
      <c r="H779" s="152"/>
      <c r="I779" s="152"/>
      <c r="J779" s="152"/>
      <c r="K779" s="152"/>
      <c r="L779" s="152"/>
      <c r="M779" s="152"/>
      <c r="N779" s="152"/>
      <c r="O779" s="152"/>
      <c r="P779" s="152"/>
      <c r="Q779" s="152"/>
      <c r="R779" s="152"/>
      <c r="S779" s="152"/>
      <c r="T779" s="152"/>
      <c r="U779" s="152"/>
      <c r="V779" s="152"/>
      <c r="W779" s="152"/>
      <c r="X779" s="152"/>
      <c r="Y779" s="152"/>
      <c r="Z779" s="152"/>
    </row>
    <row r="780" ht="12.8" customHeight="1" spans="1:26">
      <c r="A780" s="152"/>
      <c r="B780" s="152"/>
      <c r="C780" s="152"/>
      <c r="D780" s="152"/>
      <c r="E780" s="152"/>
      <c r="F780" s="152"/>
      <c r="G780" s="152"/>
      <c r="H780" s="152"/>
      <c r="I780" s="152"/>
      <c r="J780" s="152"/>
      <c r="K780" s="152"/>
      <c r="L780" s="152"/>
      <c r="M780" s="152"/>
      <c r="N780" s="152"/>
      <c r="O780" s="152"/>
      <c r="P780" s="152"/>
      <c r="Q780" s="152"/>
      <c r="R780" s="152"/>
      <c r="S780" s="152"/>
      <c r="T780" s="152"/>
      <c r="U780" s="152"/>
      <c r="V780" s="152"/>
      <c r="W780" s="152"/>
      <c r="X780" s="152"/>
      <c r="Y780" s="152"/>
      <c r="Z780" s="152"/>
    </row>
    <row r="781" ht="12.8" customHeight="1" spans="1:26">
      <c r="A781" s="152"/>
      <c r="B781" s="152"/>
      <c r="C781" s="152"/>
      <c r="D781" s="152"/>
      <c r="E781" s="152"/>
      <c r="F781" s="152"/>
      <c r="G781" s="152"/>
      <c r="H781" s="152"/>
      <c r="I781" s="152"/>
      <c r="J781" s="152"/>
      <c r="K781" s="152"/>
      <c r="L781" s="152"/>
      <c r="M781" s="152"/>
      <c r="N781" s="152"/>
      <c r="O781" s="152"/>
      <c r="P781" s="152"/>
      <c r="Q781" s="152"/>
      <c r="R781" s="152"/>
      <c r="S781" s="152"/>
      <c r="T781" s="152"/>
      <c r="U781" s="152"/>
      <c r="V781" s="152"/>
      <c r="W781" s="152"/>
      <c r="X781" s="152"/>
      <c r="Y781" s="152"/>
      <c r="Z781" s="152"/>
    </row>
    <row r="782" ht="12.8" customHeight="1" spans="1:26">
      <c r="A782" s="152"/>
      <c r="B782" s="152"/>
      <c r="C782" s="152"/>
      <c r="D782" s="152"/>
      <c r="E782" s="152"/>
      <c r="F782" s="152"/>
      <c r="G782" s="152"/>
      <c r="H782" s="152"/>
      <c r="I782" s="152"/>
      <c r="J782" s="152"/>
      <c r="K782" s="152"/>
      <c r="L782" s="152"/>
      <c r="M782" s="152"/>
      <c r="N782" s="152"/>
      <c r="O782" s="152"/>
      <c r="P782" s="152"/>
      <c r="Q782" s="152"/>
      <c r="R782" s="152"/>
      <c r="S782" s="152"/>
      <c r="T782" s="152"/>
      <c r="U782" s="152"/>
      <c r="V782" s="152"/>
      <c r="W782" s="152"/>
      <c r="X782" s="152"/>
      <c r="Y782" s="152"/>
      <c r="Z782" s="152"/>
    </row>
    <row r="783" ht="12.8" customHeight="1" spans="1:26">
      <c r="A783" s="152"/>
      <c r="B783" s="152"/>
      <c r="C783" s="152"/>
      <c r="D783" s="152"/>
      <c r="E783" s="152"/>
      <c r="F783" s="152"/>
      <c r="G783" s="152"/>
      <c r="H783" s="152"/>
      <c r="I783" s="152"/>
      <c r="J783" s="152"/>
      <c r="K783" s="152"/>
      <c r="L783" s="152"/>
      <c r="M783" s="152"/>
      <c r="N783" s="152"/>
      <c r="O783" s="152"/>
      <c r="P783" s="152"/>
      <c r="Q783" s="152"/>
      <c r="R783" s="152"/>
      <c r="S783" s="152"/>
      <c r="T783" s="152"/>
      <c r="U783" s="152"/>
      <c r="V783" s="152"/>
      <c r="W783" s="152"/>
      <c r="X783" s="152"/>
      <c r="Y783" s="152"/>
      <c r="Z783" s="152"/>
    </row>
    <row r="784" ht="12.8" customHeight="1" spans="1:26">
      <c r="A784" s="152"/>
      <c r="B784" s="152"/>
      <c r="C784" s="152"/>
      <c r="D784" s="152"/>
      <c r="E784" s="152"/>
      <c r="F784" s="152"/>
      <c r="G784" s="152"/>
      <c r="H784" s="152"/>
      <c r="I784" s="152"/>
      <c r="J784" s="152"/>
      <c r="K784" s="152"/>
      <c r="L784" s="152"/>
      <c r="M784" s="152"/>
      <c r="N784" s="152"/>
      <c r="O784" s="152"/>
      <c r="P784" s="152"/>
      <c r="Q784" s="152"/>
      <c r="R784" s="152"/>
      <c r="S784" s="152"/>
      <c r="T784" s="152"/>
      <c r="U784" s="152"/>
      <c r="V784" s="152"/>
      <c r="W784" s="152"/>
      <c r="X784" s="152"/>
      <c r="Y784" s="152"/>
      <c r="Z784" s="152"/>
    </row>
    <row r="785" ht="12.8" customHeight="1" spans="1:26">
      <c r="A785" s="152"/>
      <c r="B785" s="152"/>
      <c r="C785" s="152"/>
      <c r="D785" s="152"/>
      <c r="E785" s="152"/>
      <c r="F785" s="152"/>
      <c r="G785" s="152"/>
      <c r="H785" s="152"/>
      <c r="I785" s="152"/>
      <c r="J785" s="152"/>
      <c r="K785" s="152"/>
      <c r="L785" s="152"/>
      <c r="M785" s="152"/>
      <c r="N785" s="152"/>
      <c r="O785" s="152"/>
      <c r="P785" s="152"/>
      <c r="Q785" s="152"/>
      <c r="R785" s="152"/>
      <c r="S785" s="152"/>
      <c r="T785" s="152"/>
      <c r="U785" s="152"/>
      <c r="V785" s="152"/>
      <c r="W785" s="152"/>
      <c r="X785" s="152"/>
      <c r="Y785" s="152"/>
      <c r="Z785" s="152"/>
    </row>
    <row r="786" ht="12.8" customHeight="1" spans="1:26">
      <c r="A786" s="152"/>
      <c r="B786" s="152"/>
      <c r="C786" s="152"/>
      <c r="D786" s="152"/>
      <c r="E786" s="152"/>
      <c r="F786" s="152"/>
      <c r="G786" s="152"/>
      <c r="H786" s="152"/>
      <c r="I786" s="152"/>
      <c r="J786" s="152"/>
      <c r="K786" s="152"/>
      <c r="L786" s="152"/>
      <c r="M786" s="152"/>
      <c r="N786" s="152"/>
      <c r="O786" s="152"/>
      <c r="P786" s="152"/>
      <c r="Q786" s="152"/>
      <c r="R786" s="152"/>
      <c r="S786" s="152"/>
      <c r="T786" s="152"/>
      <c r="U786" s="152"/>
      <c r="V786" s="152"/>
      <c r="W786" s="152"/>
      <c r="X786" s="152"/>
      <c r="Y786" s="152"/>
      <c r="Z786" s="152"/>
    </row>
    <row r="787" ht="12.8" customHeight="1" spans="1:26">
      <c r="A787" s="152"/>
      <c r="B787" s="152"/>
      <c r="C787" s="152"/>
      <c r="D787" s="152"/>
      <c r="E787" s="152"/>
      <c r="F787" s="152"/>
      <c r="G787" s="152"/>
      <c r="H787" s="152"/>
      <c r="I787" s="152"/>
      <c r="J787" s="152"/>
      <c r="K787" s="152"/>
      <c r="L787" s="152"/>
      <c r="M787" s="152"/>
      <c r="N787" s="152"/>
      <c r="O787" s="152"/>
      <c r="P787" s="152"/>
      <c r="Q787" s="152"/>
      <c r="R787" s="152"/>
      <c r="S787" s="152"/>
      <c r="T787" s="152"/>
      <c r="U787" s="152"/>
      <c r="V787" s="152"/>
      <c r="W787" s="152"/>
      <c r="X787" s="152"/>
      <c r="Y787" s="152"/>
      <c r="Z787" s="152"/>
    </row>
    <row r="788" ht="12.8" customHeight="1" spans="1:26">
      <c r="A788" s="152"/>
      <c r="B788" s="152"/>
      <c r="C788" s="152"/>
      <c r="D788" s="152"/>
      <c r="E788" s="152"/>
      <c r="F788" s="152"/>
      <c r="G788" s="152"/>
      <c r="H788" s="152"/>
      <c r="I788" s="152"/>
      <c r="J788" s="152"/>
      <c r="K788" s="152"/>
      <c r="L788" s="152"/>
      <c r="M788" s="152"/>
      <c r="N788" s="152"/>
      <c r="O788" s="152"/>
      <c r="P788" s="152"/>
      <c r="Q788" s="152"/>
      <c r="R788" s="152"/>
      <c r="S788" s="152"/>
      <c r="T788" s="152"/>
      <c r="U788" s="152"/>
      <c r="V788" s="152"/>
      <c r="W788" s="152"/>
      <c r="X788" s="152"/>
      <c r="Y788" s="152"/>
      <c r="Z788" s="152"/>
    </row>
    <row r="789" ht="12.8" customHeight="1" spans="1:26">
      <c r="A789" s="152"/>
      <c r="B789" s="152"/>
      <c r="C789" s="152"/>
      <c r="D789" s="152"/>
      <c r="E789" s="152"/>
      <c r="F789" s="152"/>
      <c r="G789" s="152"/>
      <c r="H789" s="152"/>
      <c r="I789" s="152"/>
      <c r="J789" s="152"/>
      <c r="K789" s="152"/>
      <c r="L789" s="152"/>
      <c r="M789" s="152"/>
      <c r="N789" s="152"/>
      <c r="O789" s="152"/>
      <c r="P789" s="152"/>
      <c r="Q789" s="152"/>
      <c r="R789" s="152"/>
      <c r="S789" s="152"/>
      <c r="T789" s="152"/>
      <c r="U789" s="152"/>
      <c r="V789" s="152"/>
      <c r="W789" s="152"/>
      <c r="X789" s="152"/>
      <c r="Y789" s="152"/>
      <c r="Z789" s="152"/>
    </row>
    <row r="790" ht="12.8" customHeight="1" spans="1:26">
      <c r="A790" s="152"/>
      <c r="B790" s="152"/>
      <c r="C790" s="152"/>
      <c r="D790" s="152"/>
      <c r="E790" s="152"/>
      <c r="F790" s="152"/>
      <c r="G790" s="152"/>
      <c r="H790" s="152"/>
      <c r="I790" s="152"/>
      <c r="J790" s="152"/>
      <c r="K790" s="152"/>
      <c r="L790" s="152"/>
      <c r="M790" s="152"/>
      <c r="N790" s="152"/>
      <c r="O790" s="152"/>
      <c r="P790" s="152"/>
      <c r="Q790" s="152"/>
      <c r="R790" s="152"/>
      <c r="S790" s="152"/>
      <c r="T790" s="152"/>
      <c r="U790" s="152"/>
      <c r="V790" s="152"/>
      <c r="W790" s="152"/>
      <c r="X790" s="152"/>
      <c r="Y790" s="152"/>
      <c r="Z790" s="152"/>
    </row>
    <row r="791" ht="12.8" customHeight="1" spans="1:26">
      <c r="A791" s="152"/>
      <c r="B791" s="152"/>
      <c r="C791" s="152"/>
      <c r="D791" s="152"/>
      <c r="E791" s="152"/>
      <c r="F791" s="152"/>
      <c r="G791" s="152"/>
      <c r="H791" s="152"/>
      <c r="I791" s="152"/>
      <c r="J791" s="152"/>
      <c r="K791" s="152"/>
      <c r="L791" s="152"/>
      <c r="M791" s="152"/>
      <c r="N791" s="152"/>
      <c r="O791" s="152"/>
      <c r="P791" s="152"/>
      <c r="Q791" s="152"/>
      <c r="R791" s="152"/>
      <c r="S791" s="152"/>
      <c r="T791" s="152"/>
      <c r="U791" s="152"/>
      <c r="V791" s="152"/>
      <c r="W791" s="152"/>
      <c r="X791" s="152"/>
      <c r="Y791" s="152"/>
      <c r="Z791" s="152"/>
    </row>
    <row r="792" ht="12.8" customHeight="1" spans="1:26">
      <c r="A792" s="152"/>
      <c r="B792" s="152"/>
      <c r="C792" s="152"/>
      <c r="D792" s="152"/>
      <c r="E792" s="152"/>
      <c r="F792" s="152"/>
      <c r="G792" s="152"/>
      <c r="H792" s="152"/>
      <c r="I792" s="152"/>
      <c r="J792" s="152"/>
      <c r="K792" s="152"/>
      <c r="L792" s="152"/>
      <c r="M792" s="152"/>
      <c r="N792" s="152"/>
      <c r="O792" s="152"/>
      <c r="P792" s="152"/>
      <c r="Q792" s="152"/>
      <c r="R792" s="152"/>
      <c r="S792" s="152"/>
      <c r="T792" s="152"/>
      <c r="U792" s="152"/>
      <c r="V792" s="152"/>
      <c r="W792" s="152"/>
      <c r="X792" s="152"/>
      <c r="Y792" s="152"/>
      <c r="Z792" s="152"/>
    </row>
    <row r="793" ht="12.8" customHeight="1" spans="1:26">
      <c r="A793" s="152"/>
      <c r="B793" s="152"/>
      <c r="C793" s="152"/>
      <c r="D793" s="152"/>
      <c r="E793" s="152"/>
      <c r="F793" s="152"/>
      <c r="G793" s="152"/>
      <c r="H793" s="152"/>
      <c r="I793" s="152"/>
      <c r="J793" s="152"/>
      <c r="K793" s="152"/>
      <c r="L793" s="152"/>
      <c r="M793" s="152"/>
      <c r="N793" s="152"/>
      <c r="O793" s="152"/>
      <c r="P793" s="152"/>
      <c r="Q793" s="152"/>
      <c r="R793" s="152"/>
      <c r="S793" s="152"/>
      <c r="T793" s="152"/>
      <c r="U793" s="152"/>
      <c r="V793" s="152"/>
      <c r="W793" s="152"/>
      <c r="X793" s="152"/>
      <c r="Y793" s="152"/>
      <c r="Z793" s="152"/>
    </row>
    <row r="794" ht="12.8" customHeight="1" spans="1:26">
      <c r="A794" s="152"/>
      <c r="B794" s="152"/>
      <c r="C794" s="152"/>
      <c r="D794" s="152"/>
      <c r="E794" s="152"/>
      <c r="F794" s="152"/>
      <c r="G794" s="152"/>
      <c r="H794" s="152"/>
      <c r="I794" s="152"/>
      <c r="J794" s="152"/>
      <c r="K794" s="152"/>
      <c r="L794" s="152"/>
      <c r="M794" s="152"/>
      <c r="N794" s="152"/>
      <c r="O794" s="152"/>
      <c r="P794" s="152"/>
      <c r="Q794" s="152"/>
      <c r="R794" s="152"/>
      <c r="S794" s="152"/>
      <c r="T794" s="152"/>
      <c r="U794" s="152"/>
      <c r="V794" s="152"/>
      <c r="W794" s="152"/>
      <c r="X794" s="152"/>
      <c r="Y794" s="152"/>
      <c r="Z794" s="152"/>
    </row>
    <row r="795" ht="12.8" customHeight="1" spans="1:26">
      <c r="A795" s="152"/>
      <c r="B795" s="152"/>
      <c r="C795" s="152"/>
      <c r="D795" s="152"/>
      <c r="E795" s="152"/>
      <c r="F795" s="152"/>
      <c r="G795" s="152"/>
      <c r="H795" s="152"/>
      <c r="I795" s="152"/>
      <c r="J795" s="152"/>
      <c r="K795" s="152"/>
      <c r="L795" s="152"/>
      <c r="M795" s="152"/>
      <c r="N795" s="152"/>
      <c r="O795" s="152"/>
      <c r="P795" s="152"/>
      <c r="Q795" s="152"/>
      <c r="R795" s="152"/>
      <c r="S795" s="152"/>
      <c r="T795" s="152"/>
      <c r="U795" s="152"/>
      <c r="V795" s="152"/>
      <c r="W795" s="152"/>
      <c r="X795" s="152"/>
      <c r="Y795" s="152"/>
      <c r="Z795" s="152"/>
    </row>
    <row r="796" ht="12.8" customHeight="1" spans="1:26">
      <c r="A796" s="152"/>
      <c r="B796" s="152"/>
      <c r="C796" s="152"/>
      <c r="D796" s="152"/>
      <c r="E796" s="152"/>
      <c r="F796" s="152"/>
      <c r="G796" s="152"/>
      <c r="H796" s="152"/>
      <c r="I796" s="152"/>
      <c r="J796" s="152"/>
      <c r="K796" s="152"/>
      <c r="L796" s="152"/>
      <c r="M796" s="152"/>
      <c r="N796" s="152"/>
      <c r="O796" s="152"/>
      <c r="P796" s="152"/>
      <c r="Q796" s="152"/>
      <c r="R796" s="152"/>
      <c r="S796" s="152"/>
      <c r="T796" s="152"/>
      <c r="U796" s="152"/>
      <c r="V796" s="152"/>
      <c r="W796" s="152"/>
      <c r="X796" s="152"/>
      <c r="Y796" s="152"/>
      <c r="Z796" s="152"/>
    </row>
    <row r="797" ht="12.8" customHeight="1" spans="1:26">
      <c r="A797" s="152"/>
      <c r="B797" s="152"/>
      <c r="C797" s="152"/>
      <c r="D797" s="152"/>
      <c r="E797" s="152"/>
      <c r="F797" s="152"/>
      <c r="G797" s="152"/>
      <c r="H797" s="152"/>
      <c r="I797" s="152"/>
      <c r="J797" s="152"/>
      <c r="K797" s="152"/>
      <c r="L797" s="152"/>
      <c r="M797" s="152"/>
      <c r="N797" s="152"/>
      <c r="O797" s="152"/>
      <c r="P797" s="152"/>
      <c r="Q797" s="152"/>
      <c r="R797" s="152"/>
      <c r="S797" s="152"/>
      <c r="T797" s="152"/>
      <c r="U797" s="152"/>
      <c r="V797" s="152"/>
      <c r="W797" s="152"/>
      <c r="X797" s="152"/>
      <c r="Y797" s="152"/>
      <c r="Z797" s="152"/>
    </row>
    <row r="798" ht="12.8" customHeight="1" spans="1:26">
      <c r="A798" s="152"/>
      <c r="B798" s="152"/>
      <c r="C798" s="152"/>
      <c r="D798" s="152"/>
      <c r="E798" s="152"/>
      <c r="F798" s="152"/>
      <c r="G798" s="152"/>
      <c r="H798" s="152"/>
      <c r="I798" s="152"/>
      <c r="J798" s="152"/>
      <c r="K798" s="152"/>
      <c r="L798" s="152"/>
      <c r="M798" s="152"/>
      <c r="N798" s="152"/>
      <c r="O798" s="152"/>
      <c r="P798" s="152"/>
      <c r="Q798" s="152"/>
      <c r="R798" s="152"/>
      <c r="S798" s="152"/>
      <c r="T798" s="152"/>
      <c r="U798" s="152"/>
      <c r="V798" s="152"/>
      <c r="W798" s="152"/>
      <c r="X798" s="152"/>
      <c r="Y798" s="152"/>
      <c r="Z798" s="152"/>
    </row>
    <row r="799" ht="12.8" customHeight="1" spans="1:26">
      <c r="A799" s="152"/>
      <c r="B799" s="152"/>
      <c r="C799" s="152"/>
      <c r="D799" s="152"/>
      <c r="E799" s="152"/>
      <c r="F799" s="152"/>
      <c r="G799" s="152"/>
      <c r="H799" s="152"/>
      <c r="I799" s="152"/>
      <c r="J799" s="152"/>
      <c r="K799" s="152"/>
      <c r="L799" s="152"/>
      <c r="M799" s="152"/>
      <c r="N799" s="152"/>
      <c r="O799" s="152"/>
      <c r="P799" s="152"/>
      <c r="Q799" s="152"/>
      <c r="R799" s="152"/>
      <c r="S799" s="152"/>
      <c r="T799" s="152"/>
      <c r="U799" s="152"/>
      <c r="V799" s="152"/>
      <c r="W799" s="152"/>
      <c r="X799" s="152"/>
      <c r="Y799" s="152"/>
      <c r="Z799" s="152"/>
    </row>
    <row r="800" ht="12.8" customHeight="1" spans="1:26">
      <c r="A800" s="152"/>
      <c r="B800" s="152"/>
      <c r="C800" s="152"/>
      <c r="D800" s="152"/>
      <c r="E800" s="152"/>
      <c r="F800" s="152"/>
      <c r="G800" s="152"/>
      <c r="H800" s="152"/>
      <c r="I800" s="152"/>
      <c r="J800" s="152"/>
      <c r="K800" s="152"/>
      <c r="L800" s="152"/>
      <c r="M800" s="152"/>
      <c r="N800" s="152"/>
      <c r="O800" s="152"/>
      <c r="P800" s="152"/>
      <c r="Q800" s="152"/>
      <c r="R800" s="152"/>
      <c r="S800" s="152"/>
      <c r="T800" s="152"/>
      <c r="U800" s="152"/>
      <c r="V800" s="152"/>
      <c r="W800" s="152"/>
      <c r="X800" s="152"/>
      <c r="Y800" s="152"/>
      <c r="Z800" s="152"/>
    </row>
    <row r="801" ht="12.8" customHeight="1" spans="1:26">
      <c r="A801" s="152"/>
      <c r="B801" s="152"/>
      <c r="C801" s="152"/>
      <c r="D801" s="152"/>
      <c r="E801" s="152"/>
      <c r="F801" s="152"/>
      <c r="G801" s="152"/>
      <c r="H801" s="152"/>
      <c r="I801" s="152"/>
      <c r="J801" s="152"/>
      <c r="K801" s="152"/>
      <c r="L801" s="152"/>
      <c r="M801" s="152"/>
      <c r="N801" s="152"/>
      <c r="O801" s="152"/>
      <c r="P801" s="152"/>
      <c r="Q801" s="152"/>
      <c r="R801" s="152"/>
      <c r="S801" s="152"/>
      <c r="T801" s="152"/>
      <c r="U801" s="152"/>
      <c r="V801" s="152"/>
      <c r="W801" s="152"/>
      <c r="X801" s="152"/>
      <c r="Y801" s="152"/>
      <c r="Z801" s="152"/>
    </row>
    <row r="802" ht="12.8" customHeight="1" spans="1:26">
      <c r="A802" s="152"/>
      <c r="B802" s="152"/>
      <c r="C802" s="152"/>
      <c r="D802" s="152"/>
      <c r="E802" s="152"/>
      <c r="F802" s="152"/>
      <c r="G802" s="152"/>
      <c r="H802" s="152"/>
      <c r="I802" s="152"/>
      <c r="J802" s="152"/>
      <c r="K802" s="152"/>
      <c r="L802" s="152"/>
      <c r="M802" s="152"/>
      <c r="N802" s="152"/>
      <c r="O802" s="152"/>
      <c r="P802" s="152"/>
      <c r="Q802" s="152"/>
      <c r="R802" s="152"/>
      <c r="S802" s="152"/>
      <c r="T802" s="152"/>
      <c r="U802" s="152"/>
      <c r="V802" s="152"/>
      <c r="W802" s="152"/>
      <c r="X802" s="152"/>
      <c r="Y802" s="152"/>
      <c r="Z802" s="152"/>
    </row>
    <row r="803" ht="12.8" customHeight="1" spans="1:26">
      <c r="A803" s="152"/>
      <c r="B803" s="152"/>
      <c r="C803" s="152"/>
      <c r="D803" s="152"/>
      <c r="E803" s="152"/>
      <c r="F803" s="152"/>
      <c r="G803" s="152"/>
      <c r="H803" s="152"/>
      <c r="I803" s="152"/>
      <c r="J803" s="152"/>
      <c r="K803" s="152"/>
      <c r="L803" s="152"/>
      <c r="M803" s="152"/>
      <c r="N803" s="152"/>
      <c r="O803" s="152"/>
      <c r="P803" s="152"/>
      <c r="Q803" s="152"/>
      <c r="R803" s="152"/>
      <c r="S803" s="152"/>
      <c r="T803" s="152"/>
      <c r="U803" s="152"/>
      <c r="V803" s="152"/>
      <c r="W803" s="152"/>
      <c r="X803" s="152"/>
      <c r="Y803" s="152"/>
      <c r="Z803" s="152"/>
    </row>
    <row r="804" ht="12.8" customHeight="1" spans="1:26">
      <c r="A804" s="152"/>
      <c r="B804" s="152"/>
      <c r="C804" s="152"/>
      <c r="D804" s="152"/>
      <c r="E804" s="152"/>
      <c r="F804" s="152"/>
      <c r="G804" s="152"/>
      <c r="H804" s="152"/>
      <c r="I804" s="152"/>
      <c r="J804" s="152"/>
      <c r="K804" s="152"/>
      <c r="L804" s="152"/>
      <c r="M804" s="152"/>
      <c r="N804" s="152"/>
      <c r="O804" s="152"/>
      <c r="P804" s="152"/>
      <c r="Q804" s="152"/>
      <c r="R804" s="152"/>
      <c r="S804" s="152"/>
      <c r="T804" s="152"/>
      <c r="U804" s="152"/>
      <c r="V804" s="152"/>
      <c r="W804" s="152"/>
      <c r="X804" s="152"/>
      <c r="Y804" s="152"/>
      <c r="Z804" s="152"/>
    </row>
    <row r="805" ht="12.8" customHeight="1" spans="1:26">
      <c r="A805" s="152"/>
      <c r="B805" s="152"/>
      <c r="C805" s="152"/>
      <c r="D805" s="152"/>
      <c r="E805" s="152"/>
      <c r="F805" s="152"/>
      <c r="G805" s="152"/>
      <c r="H805" s="152"/>
      <c r="I805" s="152"/>
      <c r="J805" s="152"/>
      <c r="K805" s="152"/>
      <c r="L805" s="152"/>
      <c r="M805" s="152"/>
      <c r="N805" s="152"/>
      <c r="O805" s="152"/>
      <c r="P805" s="152"/>
      <c r="Q805" s="152"/>
      <c r="R805" s="152"/>
      <c r="S805" s="152"/>
      <c r="T805" s="152"/>
      <c r="U805" s="152"/>
      <c r="V805" s="152"/>
      <c r="W805" s="152"/>
      <c r="X805" s="152"/>
      <c r="Y805" s="152"/>
      <c r="Z805" s="152"/>
    </row>
    <row r="806" ht="12.8" customHeight="1" spans="1:26">
      <c r="A806" s="152"/>
      <c r="B806" s="152"/>
      <c r="C806" s="152"/>
      <c r="D806" s="152"/>
      <c r="E806" s="152"/>
      <c r="F806" s="152"/>
      <c r="G806" s="152"/>
      <c r="H806" s="152"/>
      <c r="I806" s="152"/>
      <c r="J806" s="152"/>
      <c r="K806" s="152"/>
      <c r="L806" s="152"/>
      <c r="M806" s="152"/>
      <c r="N806" s="152"/>
      <c r="O806" s="152"/>
      <c r="P806" s="152"/>
      <c r="Q806" s="152"/>
      <c r="R806" s="152"/>
      <c r="S806" s="152"/>
      <c r="T806" s="152"/>
      <c r="U806" s="152"/>
      <c r="V806" s="152"/>
      <c r="W806" s="152"/>
      <c r="X806" s="152"/>
      <c r="Y806" s="152"/>
      <c r="Z806" s="152"/>
    </row>
    <row r="807" ht="12.8" customHeight="1" spans="1:26">
      <c r="A807" s="152"/>
      <c r="B807" s="152"/>
      <c r="C807" s="152"/>
      <c r="D807" s="152"/>
      <c r="E807" s="152"/>
      <c r="F807" s="152"/>
      <c r="G807" s="152"/>
      <c r="H807" s="152"/>
      <c r="I807" s="152"/>
      <c r="J807" s="152"/>
      <c r="K807" s="152"/>
      <c r="L807" s="152"/>
      <c r="M807" s="152"/>
      <c r="N807" s="152"/>
      <c r="O807" s="152"/>
      <c r="P807" s="152"/>
      <c r="Q807" s="152"/>
      <c r="R807" s="152"/>
      <c r="S807" s="152"/>
      <c r="T807" s="152"/>
      <c r="U807" s="152"/>
      <c r="V807" s="152"/>
      <c r="W807" s="152"/>
      <c r="X807" s="152"/>
      <c r="Y807" s="152"/>
      <c r="Z807" s="152"/>
    </row>
    <row r="808" ht="12.8" customHeight="1" spans="1:26">
      <c r="A808" s="152"/>
      <c r="B808" s="152"/>
      <c r="C808" s="152"/>
      <c r="D808" s="152"/>
      <c r="E808" s="152"/>
      <c r="F808" s="152"/>
      <c r="G808" s="152"/>
      <c r="H808" s="152"/>
      <c r="I808" s="152"/>
      <c r="J808" s="152"/>
      <c r="K808" s="152"/>
      <c r="L808" s="152"/>
      <c r="M808" s="152"/>
      <c r="N808" s="152"/>
      <c r="O808" s="152"/>
      <c r="P808" s="152"/>
      <c r="Q808" s="152"/>
      <c r="R808" s="152"/>
      <c r="S808" s="152"/>
      <c r="T808" s="152"/>
      <c r="U808" s="152"/>
      <c r="V808" s="152"/>
      <c r="W808" s="152"/>
      <c r="X808" s="152"/>
      <c r="Y808" s="152"/>
      <c r="Z808" s="152"/>
    </row>
    <row r="809" ht="12.8" customHeight="1" spans="1:26">
      <c r="A809" s="152"/>
      <c r="B809" s="152"/>
      <c r="C809" s="152"/>
      <c r="D809" s="152"/>
      <c r="E809" s="152"/>
      <c r="F809" s="152"/>
      <c r="G809" s="152"/>
      <c r="H809" s="152"/>
      <c r="I809" s="152"/>
      <c r="J809" s="152"/>
      <c r="K809" s="152"/>
      <c r="L809" s="152"/>
      <c r="M809" s="152"/>
      <c r="N809" s="152"/>
      <c r="O809" s="152"/>
      <c r="P809" s="152"/>
      <c r="Q809" s="152"/>
      <c r="R809" s="152"/>
      <c r="S809" s="152"/>
      <c r="T809" s="152"/>
      <c r="U809" s="152"/>
      <c r="V809" s="152"/>
      <c r="W809" s="152"/>
      <c r="X809" s="152"/>
      <c r="Y809" s="152"/>
      <c r="Z809" s="152"/>
    </row>
    <row r="810" ht="12.8" customHeight="1" spans="1:26">
      <c r="A810" s="152"/>
      <c r="B810" s="152"/>
      <c r="C810" s="152"/>
      <c r="D810" s="152"/>
      <c r="E810" s="152"/>
      <c r="F810" s="152"/>
      <c r="G810" s="152"/>
      <c r="H810" s="152"/>
      <c r="I810" s="152"/>
      <c r="J810" s="152"/>
      <c r="K810" s="152"/>
      <c r="L810" s="152"/>
      <c r="M810" s="152"/>
      <c r="N810" s="152"/>
      <c r="O810" s="152"/>
      <c r="P810" s="152"/>
      <c r="Q810" s="152"/>
      <c r="R810" s="152"/>
      <c r="S810" s="152"/>
      <c r="T810" s="152"/>
      <c r="U810" s="152"/>
      <c r="V810" s="152"/>
      <c r="W810" s="152"/>
      <c r="X810" s="152"/>
      <c r="Y810" s="152"/>
      <c r="Z810" s="152"/>
    </row>
    <row r="811" ht="12.8" customHeight="1" spans="1:26">
      <c r="A811" s="152"/>
      <c r="B811" s="152"/>
      <c r="C811" s="152"/>
      <c r="D811" s="152"/>
      <c r="E811" s="152"/>
      <c r="F811" s="152"/>
      <c r="G811" s="152"/>
      <c r="H811" s="152"/>
      <c r="I811" s="152"/>
      <c r="J811" s="152"/>
      <c r="K811" s="152"/>
      <c r="L811" s="152"/>
      <c r="M811" s="152"/>
      <c r="N811" s="152"/>
      <c r="O811" s="152"/>
      <c r="P811" s="152"/>
      <c r="Q811" s="152"/>
      <c r="R811" s="152"/>
      <c r="S811" s="152"/>
      <c r="T811" s="152"/>
      <c r="U811" s="152"/>
      <c r="V811" s="152"/>
      <c r="W811" s="152"/>
      <c r="X811" s="152"/>
      <c r="Y811" s="152"/>
      <c r="Z811" s="152"/>
    </row>
    <row r="812" ht="12.8" customHeight="1" spans="1:26">
      <c r="A812" s="152"/>
      <c r="B812" s="152"/>
      <c r="C812" s="152"/>
      <c r="D812" s="152"/>
      <c r="E812" s="152"/>
      <c r="F812" s="152"/>
      <c r="G812" s="152"/>
      <c r="H812" s="152"/>
      <c r="I812" s="152"/>
      <c r="J812" s="152"/>
      <c r="K812" s="152"/>
      <c r="L812" s="152"/>
      <c r="M812" s="152"/>
      <c r="N812" s="152"/>
      <c r="O812" s="152"/>
      <c r="P812" s="152"/>
      <c r="Q812" s="152"/>
      <c r="R812" s="152"/>
      <c r="S812" s="152"/>
      <c r="T812" s="152"/>
      <c r="U812" s="152"/>
      <c r="V812" s="152"/>
      <c r="W812" s="152"/>
      <c r="X812" s="152"/>
      <c r="Y812" s="152"/>
      <c r="Z812" s="152"/>
    </row>
    <row r="813" ht="12.8" customHeight="1" spans="1:26">
      <c r="A813" s="152"/>
      <c r="B813" s="152"/>
      <c r="C813" s="152"/>
      <c r="D813" s="152"/>
      <c r="E813" s="152"/>
      <c r="F813" s="152"/>
      <c r="G813" s="152"/>
      <c r="H813" s="152"/>
      <c r="I813" s="152"/>
      <c r="J813" s="152"/>
      <c r="K813" s="152"/>
      <c r="L813" s="152"/>
      <c r="M813" s="152"/>
      <c r="N813" s="152"/>
      <c r="O813" s="152"/>
      <c r="P813" s="152"/>
      <c r="Q813" s="152"/>
      <c r="R813" s="152"/>
      <c r="S813" s="152"/>
      <c r="T813" s="152"/>
      <c r="U813" s="152"/>
      <c r="V813" s="152"/>
      <c r="W813" s="152"/>
      <c r="X813" s="152"/>
      <c r="Y813" s="152"/>
      <c r="Z813" s="152"/>
    </row>
    <row r="814" ht="12.8" customHeight="1" spans="1:26">
      <c r="A814" s="152"/>
      <c r="B814" s="152"/>
      <c r="C814" s="152"/>
      <c r="D814" s="152"/>
      <c r="E814" s="152"/>
      <c r="F814" s="152"/>
      <c r="G814" s="152"/>
      <c r="H814" s="152"/>
      <c r="I814" s="152"/>
      <c r="J814" s="152"/>
      <c r="K814" s="152"/>
      <c r="L814" s="152"/>
      <c r="M814" s="152"/>
      <c r="N814" s="152"/>
      <c r="O814" s="152"/>
      <c r="P814" s="152"/>
      <c r="Q814" s="152"/>
      <c r="R814" s="152"/>
      <c r="S814" s="152"/>
      <c r="T814" s="152"/>
      <c r="U814" s="152"/>
      <c r="V814" s="152"/>
      <c r="W814" s="152"/>
      <c r="X814" s="152"/>
      <c r="Y814" s="152"/>
      <c r="Z814" s="152"/>
    </row>
    <row r="815" ht="12.8" customHeight="1" spans="1:26">
      <c r="A815" s="152"/>
      <c r="B815" s="152"/>
      <c r="C815" s="152"/>
      <c r="D815" s="152"/>
      <c r="E815" s="152"/>
      <c r="F815" s="152"/>
      <c r="G815" s="152"/>
      <c r="H815" s="152"/>
      <c r="I815" s="152"/>
      <c r="J815" s="152"/>
      <c r="K815" s="152"/>
      <c r="L815" s="152"/>
      <c r="M815" s="152"/>
      <c r="N815" s="152"/>
      <c r="O815" s="152"/>
      <c r="P815" s="152"/>
      <c r="Q815" s="152"/>
      <c r="R815" s="152"/>
      <c r="S815" s="152"/>
      <c r="T815" s="152"/>
      <c r="U815" s="152"/>
      <c r="V815" s="152"/>
      <c r="W815" s="152"/>
      <c r="X815" s="152"/>
      <c r="Y815" s="152"/>
      <c r="Z815" s="152"/>
    </row>
    <row r="816" ht="12.8" customHeight="1" spans="1:26">
      <c r="A816" s="152"/>
      <c r="B816" s="152"/>
      <c r="C816" s="152"/>
      <c r="D816" s="152"/>
      <c r="E816" s="152"/>
      <c r="F816" s="152"/>
      <c r="G816" s="152"/>
      <c r="H816" s="152"/>
      <c r="I816" s="152"/>
      <c r="J816" s="152"/>
      <c r="K816" s="152"/>
      <c r="L816" s="152"/>
      <c r="M816" s="152"/>
      <c r="N816" s="152"/>
      <c r="O816" s="152"/>
      <c r="P816" s="152"/>
      <c r="Q816" s="152"/>
      <c r="R816" s="152"/>
      <c r="S816" s="152"/>
      <c r="T816" s="152"/>
      <c r="U816" s="152"/>
      <c r="V816" s="152"/>
      <c r="W816" s="152"/>
      <c r="X816" s="152"/>
      <c r="Y816" s="152"/>
      <c r="Z816" s="152"/>
    </row>
    <row r="817" ht="12.8" customHeight="1" spans="1:26">
      <c r="A817" s="152"/>
      <c r="B817" s="152"/>
      <c r="C817" s="152"/>
      <c r="D817" s="152"/>
      <c r="E817" s="152"/>
      <c r="F817" s="152"/>
      <c r="G817" s="152"/>
      <c r="H817" s="152"/>
      <c r="I817" s="152"/>
      <c r="J817" s="152"/>
      <c r="K817" s="152"/>
      <c r="L817" s="152"/>
      <c r="M817" s="152"/>
      <c r="N817" s="152"/>
      <c r="O817" s="152"/>
      <c r="P817" s="152"/>
      <c r="Q817" s="152"/>
      <c r="R817" s="152"/>
      <c r="S817" s="152"/>
      <c r="T817" s="152"/>
      <c r="U817" s="152"/>
      <c r="V817" s="152"/>
      <c r="W817" s="152"/>
      <c r="X817" s="152"/>
      <c r="Y817" s="152"/>
      <c r="Z817" s="152"/>
    </row>
    <row r="818" ht="12.8" customHeight="1" spans="1:26">
      <c r="A818" s="152"/>
      <c r="B818" s="152"/>
      <c r="C818" s="152"/>
      <c r="D818" s="152"/>
      <c r="E818" s="152"/>
      <c r="F818" s="152"/>
      <c r="G818" s="152"/>
      <c r="H818" s="152"/>
      <c r="I818" s="152"/>
      <c r="J818" s="152"/>
      <c r="K818" s="152"/>
      <c r="L818" s="152"/>
      <c r="M818" s="152"/>
      <c r="N818" s="152"/>
      <c r="O818" s="152"/>
      <c r="P818" s="152"/>
      <c r="Q818" s="152"/>
      <c r="R818" s="152"/>
      <c r="S818" s="152"/>
      <c r="T818" s="152"/>
      <c r="U818" s="152"/>
      <c r="V818" s="152"/>
      <c r="W818" s="152"/>
      <c r="X818" s="152"/>
      <c r="Y818" s="152"/>
      <c r="Z818" s="152"/>
    </row>
    <row r="819" ht="12.8" customHeight="1" spans="1:26">
      <c r="A819" s="152"/>
      <c r="B819" s="152"/>
      <c r="C819" s="152"/>
      <c r="D819" s="152"/>
      <c r="E819" s="152"/>
      <c r="F819" s="152"/>
      <c r="G819" s="152"/>
      <c r="H819" s="152"/>
      <c r="I819" s="152"/>
      <c r="J819" s="152"/>
      <c r="K819" s="152"/>
      <c r="L819" s="152"/>
      <c r="M819" s="152"/>
      <c r="N819" s="152"/>
      <c r="O819" s="152"/>
      <c r="P819" s="152"/>
      <c r="Q819" s="152"/>
      <c r="R819" s="152"/>
      <c r="S819" s="152"/>
      <c r="T819" s="152"/>
      <c r="U819" s="152"/>
      <c r="V819" s="152"/>
      <c r="W819" s="152"/>
      <c r="X819" s="152"/>
      <c r="Y819" s="152"/>
      <c r="Z819" s="152"/>
    </row>
    <row r="820" ht="12.8" customHeight="1" spans="1:26">
      <c r="A820" s="152"/>
      <c r="B820" s="152"/>
      <c r="C820" s="152"/>
      <c r="D820" s="152"/>
      <c r="E820" s="152"/>
      <c r="F820" s="152"/>
      <c r="G820" s="152"/>
      <c r="H820" s="152"/>
      <c r="I820" s="152"/>
      <c r="J820" s="152"/>
      <c r="K820" s="152"/>
      <c r="L820" s="152"/>
      <c r="M820" s="152"/>
      <c r="N820" s="152"/>
      <c r="O820" s="152"/>
      <c r="P820" s="152"/>
      <c r="Q820" s="152"/>
      <c r="R820" s="152"/>
      <c r="S820" s="152"/>
      <c r="T820" s="152"/>
      <c r="U820" s="152"/>
      <c r="V820" s="152"/>
      <c r="W820" s="152"/>
      <c r="X820" s="152"/>
      <c r="Y820" s="152"/>
      <c r="Z820" s="152"/>
    </row>
    <row r="821" ht="12.8" customHeight="1" spans="1:26">
      <c r="A821" s="152"/>
      <c r="B821" s="152"/>
      <c r="C821" s="152"/>
      <c r="D821" s="152"/>
      <c r="E821" s="152"/>
      <c r="F821" s="152"/>
      <c r="G821" s="152"/>
      <c r="H821" s="152"/>
      <c r="I821" s="152"/>
      <c r="J821" s="152"/>
      <c r="K821" s="152"/>
      <c r="L821" s="152"/>
      <c r="M821" s="152"/>
      <c r="N821" s="152"/>
      <c r="O821" s="152"/>
      <c r="P821" s="152"/>
      <c r="Q821" s="152"/>
      <c r="R821" s="152"/>
      <c r="S821" s="152"/>
      <c r="T821" s="152"/>
      <c r="U821" s="152"/>
      <c r="V821" s="152"/>
      <c r="W821" s="152"/>
      <c r="X821" s="152"/>
      <c r="Y821" s="152"/>
      <c r="Z821" s="152"/>
    </row>
    <row r="822" ht="12.8" customHeight="1" spans="1:26">
      <c r="A822" s="152"/>
      <c r="B822" s="152"/>
      <c r="C822" s="152"/>
      <c r="D822" s="152"/>
      <c r="E822" s="152"/>
      <c r="F822" s="152"/>
      <c r="G822" s="152"/>
      <c r="H822" s="152"/>
      <c r="I822" s="152"/>
      <c r="J822" s="152"/>
      <c r="K822" s="152"/>
      <c r="L822" s="152"/>
      <c r="M822" s="152"/>
      <c r="N822" s="152"/>
      <c r="O822" s="152"/>
      <c r="P822" s="152"/>
      <c r="Q822" s="152"/>
      <c r="R822" s="152"/>
      <c r="S822" s="152"/>
      <c r="T822" s="152"/>
      <c r="U822" s="152"/>
      <c r="V822" s="152"/>
      <c r="W822" s="152"/>
      <c r="X822" s="152"/>
      <c r="Y822" s="152"/>
      <c r="Z822" s="152"/>
    </row>
    <row r="823" ht="12.8" customHeight="1" spans="1:26">
      <c r="A823" s="152"/>
      <c r="B823" s="152"/>
      <c r="C823" s="152"/>
      <c r="D823" s="152"/>
      <c r="E823" s="152"/>
      <c r="F823" s="152"/>
      <c r="G823" s="152"/>
      <c r="H823" s="152"/>
      <c r="I823" s="152"/>
      <c r="J823" s="152"/>
      <c r="K823" s="152"/>
      <c r="L823" s="152"/>
      <c r="M823" s="152"/>
      <c r="N823" s="152"/>
      <c r="O823" s="152"/>
      <c r="P823" s="152"/>
      <c r="Q823" s="152"/>
      <c r="R823" s="152"/>
      <c r="S823" s="152"/>
      <c r="T823" s="152"/>
      <c r="U823" s="152"/>
      <c r="V823" s="152"/>
      <c r="W823" s="152"/>
      <c r="X823" s="152"/>
      <c r="Y823" s="152"/>
      <c r="Z823" s="152"/>
    </row>
    <row r="824" ht="12.8" customHeight="1" spans="1:26">
      <c r="A824" s="152"/>
      <c r="B824" s="152"/>
      <c r="C824" s="152"/>
      <c r="D824" s="152"/>
      <c r="E824" s="152"/>
      <c r="F824" s="152"/>
      <c r="G824" s="152"/>
      <c r="H824" s="152"/>
      <c r="I824" s="152"/>
      <c r="J824" s="152"/>
      <c r="K824" s="152"/>
      <c r="L824" s="152"/>
      <c r="M824" s="152"/>
      <c r="N824" s="152"/>
      <c r="O824" s="152"/>
      <c r="P824" s="152"/>
      <c r="Q824" s="152"/>
      <c r="R824" s="152"/>
      <c r="S824" s="152"/>
      <c r="T824" s="152"/>
      <c r="U824" s="152"/>
      <c r="V824" s="152"/>
      <c r="W824" s="152"/>
      <c r="X824" s="152"/>
      <c r="Y824" s="152"/>
      <c r="Z824" s="152"/>
    </row>
    <row r="825" ht="12.8" customHeight="1" spans="1:26">
      <c r="A825" s="152"/>
      <c r="B825" s="152"/>
      <c r="C825" s="152"/>
      <c r="D825" s="152"/>
      <c r="E825" s="152"/>
      <c r="F825" s="152"/>
      <c r="G825" s="152"/>
      <c r="H825" s="152"/>
      <c r="I825" s="152"/>
      <c r="J825" s="152"/>
      <c r="K825" s="152"/>
      <c r="L825" s="152"/>
      <c r="M825" s="152"/>
      <c r="N825" s="152"/>
      <c r="O825" s="152"/>
      <c r="P825" s="152"/>
      <c r="Q825" s="152"/>
      <c r="R825" s="152"/>
      <c r="S825" s="152"/>
      <c r="T825" s="152"/>
      <c r="U825" s="152"/>
      <c r="V825" s="152"/>
      <c r="W825" s="152"/>
      <c r="X825" s="152"/>
      <c r="Y825" s="152"/>
      <c r="Z825" s="152"/>
    </row>
    <row r="826" ht="12.8" customHeight="1" spans="1:26">
      <c r="A826" s="152"/>
      <c r="B826" s="152"/>
      <c r="C826" s="152"/>
      <c r="D826" s="152"/>
      <c r="E826" s="152"/>
      <c r="F826" s="152"/>
      <c r="G826" s="152"/>
      <c r="H826" s="152"/>
      <c r="I826" s="152"/>
      <c r="J826" s="152"/>
      <c r="K826" s="152"/>
      <c r="L826" s="152"/>
      <c r="M826" s="152"/>
      <c r="N826" s="152"/>
      <c r="O826" s="152"/>
      <c r="P826" s="152"/>
      <c r="Q826" s="152"/>
      <c r="R826" s="152"/>
      <c r="S826" s="152"/>
      <c r="T826" s="152"/>
      <c r="U826" s="152"/>
      <c r="V826" s="152"/>
      <c r="W826" s="152"/>
      <c r="X826" s="152"/>
      <c r="Y826" s="152"/>
      <c r="Z826" s="152"/>
    </row>
    <row r="827" ht="12.8" customHeight="1" spans="1:26">
      <c r="A827" s="152"/>
      <c r="B827" s="152"/>
      <c r="C827" s="152"/>
      <c r="D827" s="152"/>
      <c r="E827" s="152"/>
      <c r="F827" s="152"/>
      <c r="G827" s="152"/>
      <c r="H827" s="152"/>
      <c r="I827" s="152"/>
      <c r="J827" s="152"/>
      <c r="K827" s="152"/>
      <c r="L827" s="152"/>
      <c r="M827" s="152"/>
      <c r="N827" s="152"/>
      <c r="O827" s="152"/>
      <c r="P827" s="152"/>
      <c r="Q827" s="152"/>
      <c r="R827" s="152"/>
      <c r="S827" s="152"/>
      <c r="T827" s="152"/>
      <c r="U827" s="152"/>
      <c r="V827" s="152"/>
      <c r="W827" s="152"/>
      <c r="X827" s="152"/>
      <c r="Y827" s="152"/>
      <c r="Z827" s="152"/>
    </row>
    <row r="828" ht="12.8" customHeight="1" spans="1:26">
      <c r="A828" s="152"/>
      <c r="B828" s="152"/>
      <c r="C828" s="152"/>
      <c r="D828" s="152"/>
      <c r="E828" s="152"/>
      <c r="F828" s="152"/>
      <c r="G828" s="152"/>
      <c r="H828" s="152"/>
      <c r="I828" s="152"/>
      <c r="J828" s="152"/>
      <c r="K828" s="152"/>
      <c r="L828" s="152"/>
      <c r="M828" s="152"/>
      <c r="N828" s="152"/>
      <c r="O828" s="152"/>
      <c r="P828" s="152"/>
      <c r="Q828" s="152"/>
      <c r="R828" s="152"/>
      <c r="S828" s="152"/>
      <c r="T828" s="152"/>
      <c r="U828" s="152"/>
      <c r="V828" s="152"/>
      <c r="W828" s="152"/>
      <c r="X828" s="152"/>
      <c r="Y828" s="152"/>
      <c r="Z828" s="152"/>
    </row>
    <row r="829" ht="12.8" customHeight="1" spans="1:26">
      <c r="A829" s="152"/>
      <c r="B829" s="152"/>
      <c r="C829" s="152"/>
      <c r="D829" s="152"/>
      <c r="E829" s="152"/>
      <c r="F829" s="152"/>
      <c r="G829" s="152"/>
      <c r="H829" s="152"/>
      <c r="I829" s="152"/>
      <c r="J829" s="152"/>
      <c r="K829" s="152"/>
      <c r="L829" s="152"/>
      <c r="M829" s="152"/>
      <c r="N829" s="152"/>
      <c r="O829" s="152"/>
      <c r="P829" s="152"/>
      <c r="Q829" s="152"/>
      <c r="R829" s="152"/>
      <c r="S829" s="152"/>
      <c r="T829" s="152"/>
      <c r="U829" s="152"/>
      <c r="V829" s="152"/>
      <c r="W829" s="152"/>
      <c r="X829" s="152"/>
      <c r="Y829" s="152"/>
      <c r="Z829" s="152"/>
    </row>
    <row r="830" ht="12.8" customHeight="1" spans="1:26">
      <c r="A830" s="152"/>
      <c r="B830" s="152"/>
      <c r="C830" s="152"/>
      <c r="D830" s="152"/>
      <c r="E830" s="152"/>
      <c r="F830" s="152"/>
      <c r="G830" s="152"/>
      <c r="H830" s="152"/>
      <c r="I830" s="152"/>
      <c r="J830" s="152"/>
      <c r="K830" s="152"/>
      <c r="L830" s="152"/>
      <c r="M830" s="152"/>
      <c r="N830" s="152"/>
      <c r="O830" s="152"/>
      <c r="P830" s="152"/>
      <c r="Q830" s="152"/>
      <c r="R830" s="152"/>
      <c r="S830" s="152"/>
      <c r="T830" s="152"/>
      <c r="U830" s="152"/>
      <c r="V830" s="152"/>
      <c r="W830" s="152"/>
      <c r="X830" s="152"/>
      <c r="Y830" s="152"/>
      <c r="Z830" s="152"/>
    </row>
    <row r="831" ht="12.8" customHeight="1" spans="1:26">
      <c r="A831" s="152"/>
      <c r="B831" s="152"/>
      <c r="C831" s="152"/>
      <c r="D831" s="152"/>
      <c r="E831" s="152"/>
      <c r="F831" s="152"/>
      <c r="G831" s="152"/>
      <c r="H831" s="152"/>
      <c r="I831" s="152"/>
      <c r="J831" s="152"/>
      <c r="K831" s="152"/>
      <c r="L831" s="152"/>
      <c r="M831" s="152"/>
      <c r="N831" s="152"/>
      <c r="O831" s="152"/>
      <c r="P831" s="152"/>
      <c r="Q831" s="152"/>
      <c r="R831" s="152"/>
      <c r="S831" s="152"/>
      <c r="T831" s="152"/>
      <c r="U831" s="152"/>
      <c r="V831" s="152"/>
      <c r="W831" s="152"/>
      <c r="X831" s="152"/>
      <c r="Y831" s="152"/>
      <c r="Z831" s="152"/>
    </row>
    <row r="832" ht="12.8" customHeight="1" spans="1:26">
      <c r="A832" s="152"/>
      <c r="B832" s="152"/>
      <c r="C832" s="152"/>
      <c r="D832" s="152"/>
      <c r="E832" s="152"/>
      <c r="F832" s="152"/>
      <c r="G832" s="152"/>
      <c r="H832" s="152"/>
      <c r="I832" s="152"/>
      <c r="J832" s="152"/>
      <c r="K832" s="152"/>
      <c r="L832" s="152"/>
      <c r="M832" s="152"/>
      <c r="N832" s="152"/>
      <c r="O832" s="152"/>
      <c r="P832" s="152"/>
      <c r="Q832" s="152"/>
      <c r="R832" s="152"/>
      <c r="S832" s="152"/>
      <c r="T832" s="152"/>
      <c r="U832" s="152"/>
      <c r="V832" s="152"/>
      <c r="W832" s="152"/>
      <c r="X832" s="152"/>
      <c r="Y832" s="152"/>
      <c r="Z832" s="152"/>
    </row>
    <row r="833" ht="12.8" customHeight="1" spans="1:26">
      <c r="A833" s="152"/>
      <c r="B833" s="152"/>
      <c r="C833" s="152"/>
      <c r="D833" s="152"/>
      <c r="E833" s="152"/>
      <c r="F833" s="152"/>
      <c r="G833" s="152"/>
      <c r="H833" s="152"/>
      <c r="I833" s="152"/>
      <c r="J833" s="152"/>
      <c r="K833" s="152"/>
      <c r="L833" s="152"/>
      <c r="M833" s="152"/>
      <c r="N833" s="152"/>
      <c r="O833" s="152"/>
      <c r="P833" s="152"/>
      <c r="Q833" s="152"/>
      <c r="R833" s="152"/>
      <c r="S833" s="152"/>
      <c r="T833" s="152"/>
      <c r="U833" s="152"/>
      <c r="V833" s="152"/>
      <c r="W833" s="152"/>
      <c r="X833" s="152"/>
      <c r="Y833" s="152"/>
      <c r="Z833" s="152"/>
    </row>
    <row r="834" ht="12.8" customHeight="1" spans="1:26">
      <c r="A834" s="152"/>
      <c r="B834" s="152"/>
      <c r="C834" s="152"/>
      <c r="D834" s="152"/>
      <c r="E834" s="152"/>
      <c r="F834" s="152"/>
      <c r="G834" s="152"/>
      <c r="H834" s="152"/>
      <c r="I834" s="152"/>
      <c r="J834" s="152"/>
      <c r="K834" s="152"/>
      <c r="L834" s="152"/>
      <c r="M834" s="152"/>
      <c r="N834" s="152"/>
      <c r="O834" s="152"/>
      <c r="P834" s="152"/>
      <c r="Q834" s="152"/>
      <c r="R834" s="152"/>
      <c r="S834" s="152"/>
      <c r="T834" s="152"/>
      <c r="U834" s="152"/>
      <c r="V834" s="152"/>
      <c r="W834" s="152"/>
      <c r="X834" s="152"/>
      <c r="Y834" s="152"/>
      <c r="Z834" s="152"/>
    </row>
    <row r="835" ht="12.8" customHeight="1" spans="1:26">
      <c r="A835" s="152"/>
      <c r="B835" s="152"/>
      <c r="C835" s="152"/>
      <c r="D835" s="152"/>
      <c r="E835" s="152"/>
      <c r="F835" s="152"/>
      <c r="G835" s="152"/>
      <c r="H835" s="152"/>
      <c r="I835" s="152"/>
      <c r="J835" s="152"/>
      <c r="K835" s="152"/>
      <c r="L835" s="152"/>
      <c r="M835" s="152"/>
      <c r="N835" s="152"/>
      <c r="O835" s="152"/>
      <c r="P835" s="152"/>
      <c r="Q835" s="152"/>
      <c r="R835" s="152"/>
      <c r="S835" s="152"/>
      <c r="T835" s="152"/>
      <c r="U835" s="152"/>
      <c r="V835" s="152"/>
      <c r="W835" s="152"/>
      <c r="X835" s="152"/>
      <c r="Y835" s="152"/>
      <c r="Z835" s="152"/>
    </row>
    <row r="836" ht="12.8" customHeight="1" spans="1:26">
      <c r="A836" s="152"/>
      <c r="B836" s="152"/>
      <c r="C836" s="152"/>
      <c r="D836" s="152"/>
      <c r="E836" s="152"/>
      <c r="F836" s="152"/>
      <c r="G836" s="152"/>
      <c r="H836" s="152"/>
      <c r="I836" s="152"/>
      <c r="J836" s="152"/>
      <c r="K836" s="152"/>
      <c r="L836" s="152"/>
      <c r="M836" s="152"/>
      <c r="N836" s="152"/>
      <c r="O836" s="152"/>
      <c r="P836" s="152"/>
      <c r="Q836" s="152"/>
      <c r="R836" s="152"/>
      <c r="S836" s="152"/>
      <c r="T836" s="152"/>
      <c r="U836" s="152"/>
      <c r="V836" s="152"/>
      <c r="W836" s="152"/>
      <c r="X836" s="152"/>
      <c r="Y836" s="152"/>
      <c r="Z836" s="152"/>
    </row>
    <row r="837" ht="12.8" customHeight="1" spans="1:26">
      <c r="A837" s="152"/>
      <c r="B837" s="152"/>
      <c r="C837" s="152"/>
      <c r="D837" s="152"/>
      <c r="E837" s="152"/>
      <c r="F837" s="152"/>
      <c r="G837" s="152"/>
      <c r="H837" s="152"/>
      <c r="I837" s="152"/>
      <c r="J837" s="152"/>
      <c r="K837" s="152"/>
      <c r="L837" s="152"/>
      <c r="M837" s="152"/>
      <c r="N837" s="152"/>
      <c r="O837" s="152"/>
      <c r="P837" s="152"/>
      <c r="Q837" s="152"/>
      <c r="R837" s="152"/>
      <c r="S837" s="152"/>
      <c r="T837" s="152"/>
      <c r="U837" s="152"/>
      <c r="V837" s="152"/>
      <c r="W837" s="152"/>
      <c r="X837" s="152"/>
      <c r="Y837" s="152"/>
      <c r="Z837" s="152"/>
    </row>
    <row r="838" ht="12.8" customHeight="1" spans="1:26">
      <c r="A838" s="152"/>
      <c r="B838" s="152"/>
      <c r="C838" s="152"/>
      <c r="D838" s="152"/>
      <c r="E838" s="152"/>
      <c r="F838" s="152"/>
      <c r="G838" s="152"/>
      <c r="H838" s="152"/>
      <c r="I838" s="152"/>
      <c r="J838" s="152"/>
      <c r="K838" s="152"/>
      <c r="L838" s="152"/>
      <c r="M838" s="152"/>
      <c r="N838" s="152"/>
      <c r="O838" s="152"/>
      <c r="P838" s="152"/>
      <c r="Q838" s="152"/>
      <c r="R838" s="152"/>
      <c r="S838" s="152"/>
      <c r="T838" s="152"/>
      <c r="U838" s="152"/>
      <c r="V838" s="152"/>
      <c r="W838" s="152"/>
      <c r="X838" s="152"/>
      <c r="Y838" s="152"/>
      <c r="Z838" s="152"/>
    </row>
    <row r="839" ht="12.8" customHeight="1" spans="1:26">
      <c r="A839" s="152"/>
      <c r="B839" s="152"/>
      <c r="C839" s="152"/>
      <c r="D839" s="152"/>
      <c r="E839" s="152"/>
      <c r="F839" s="152"/>
      <c r="G839" s="152"/>
      <c r="H839" s="152"/>
      <c r="I839" s="152"/>
      <c r="J839" s="152"/>
      <c r="K839" s="152"/>
      <c r="L839" s="152"/>
      <c r="M839" s="152"/>
      <c r="N839" s="152"/>
      <c r="O839" s="152"/>
      <c r="P839" s="152"/>
      <c r="Q839" s="152"/>
      <c r="R839" s="152"/>
      <c r="S839" s="152"/>
      <c r="T839" s="152"/>
      <c r="U839" s="152"/>
      <c r="V839" s="152"/>
      <c r="W839" s="152"/>
      <c r="X839" s="152"/>
      <c r="Y839" s="152"/>
      <c r="Z839" s="152"/>
    </row>
    <row r="840" ht="12.8" customHeight="1" spans="1:26">
      <c r="A840" s="152"/>
      <c r="B840" s="152"/>
      <c r="C840" s="152"/>
      <c r="D840" s="152"/>
      <c r="E840" s="152"/>
      <c r="F840" s="152"/>
      <c r="G840" s="152"/>
      <c r="H840" s="152"/>
      <c r="I840" s="152"/>
      <c r="J840" s="152"/>
      <c r="K840" s="152"/>
      <c r="L840" s="152"/>
      <c r="M840" s="152"/>
      <c r="N840" s="152"/>
      <c r="O840" s="152"/>
      <c r="P840" s="152"/>
      <c r="Q840" s="152"/>
      <c r="R840" s="152"/>
      <c r="S840" s="152"/>
      <c r="T840" s="152"/>
      <c r="U840" s="152"/>
      <c r="V840" s="152"/>
      <c r="W840" s="152"/>
      <c r="X840" s="152"/>
      <c r="Y840" s="152"/>
      <c r="Z840" s="152"/>
    </row>
    <row r="841" ht="12.8" customHeight="1" spans="1:26">
      <c r="A841" s="152"/>
      <c r="B841" s="152"/>
      <c r="C841" s="152"/>
      <c r="D841" s="152"/>
      <c r="E841" s="152"/>
      <c r="F841" s="152"/>
      <c r="G841" s="152"/>
      <c r="H841" s="152"/>
      <c r="I841" s="152"/>
      <c r="J841" s="152"/>
      <c r="K841" s="152"/>
      <c r="L841" s="152"/>
      <c r="M841" s="152"/>
      <c r="N841" s="152"/>
      <c r="O841" s="152"/>
      <c r="P841" s="152"/>
      <c r="Q841" s="152"/>
      <c r="R841" s="152"/>
      <c r="S841" s="152"/>
      <c r="T841" s="152"/>
      <c r="U841" s="152"/>
      <c r="V841" s="152"/>
      <c r="W841" s="152"/>
      <c r="X841" s="152"/>
      <c r="Y841" s="152"/>
      <c r="Z841" s="152"/>
    </row>
    <row r="842" ht="12.8" customHeight="1" spans="1:26">
      <c r="A842" s="152"/>
      <c r="B842" s="152"/>
      <c r="C842" s="152"/>
      <c r="D842" s="152"/>
      <c r="E842" s="152"/>
      <c r="F842" s="152"/>
      <c r="G842" s="152"/>
      <c r="H842" s="152"/>
      <c r="I842" s="152"/>
      <c r="J842" s="152"/>
      <c r="K842" s="152"/>
      <c r="L842" s="152"/>
      <c r="M842" s="152"/>
      <c r="N842" s="152"/>
      <c r="O842" s="152"/>
      <c r="P842" s="152"/>
      <c r="Q842" s="152"/>
      <c r="R842" s="152"/>
      <c r="S842" s="152"/>
      <c r="T842" s="152"/>
      <c r="U842" s="152"/>
      <c r="V842" s="152"/>
      <c r="W842" s="152"/>
      <c r="X842" s="152"/>
      <c r="Y842" s="152"/>
      <c r="Z842" s="152"/>
    </row>
    <row r="843" ht="12.8" customHeight="1" spans="1:26">
      <c r="A843" s="152"/>
      <c r="B843" s="152"/>
      <c r="C843" s="152"/>
      <c r="D843" s="152"/>
      <c r="E843" s="152"/>
      <c r="F843" s="152"/>
      <c r="G843" s="152"/>
      <c r="H843" s="152"/>
      <c r="I843" s="152"/>
      <c r="J843" s="152"/>
      <c r="K843" s="152"/>
      <c r="L843" s="152"/>
      <c r="M843" s="152"/>
      <c r="N843" s="152"/>
      <c r="O843" s="152"/>
      <c r="P843" s="152"/>
      <c r="Q843" s="152"/>
      <c r="R843" s="152"/>
      <c r="S843" s="152"/>
      <c r="T843" s="152"/>
      <c r="U843" s="152"/>
      <c r="V843" s="152"/>
      <c r="W843" s="152"/>
      <c r="X843" s="152"/>
      <c r="Y843" s="152"/>
      <c r="Z843" s="152"/>
    </row>
    <row r="844" ht="12.8" customHeight="1" spans="1:26">
      <c r="A844" s="152"/>
      <c r="B844" s="152"/>
      <c r="C844" s="152"/>
      <c r="D844" s="152"/>
      <c r="E844" s="152"/>
      <c r="F844" s="152"/>
      <c r="G844" s="152"/>
      <c r="H844" s="152"/>
      <c r="I844" s="152"/>
      <c r="J844" s="152"/>
      <c r="K844" s="152"/>
      <c r="L844" s="152"/>
      <c r="M844" s="152"/>
      <c r="N844" s="152"/>
      <c r="O844" s="152"/>
      <c r="P844" s="152"/>
      <c r="Q844" s="152"/>
      <c r="R844" s="152"/>
      <c r="S844" s="152"/>
      <c r="T844" s="152"/>
      <c r="U844" s="152"/>
      <c r="V844" s="152"/>
      <c r="W844" s="152"/>
      <c r="X844" s="152"/>
      <c r="Y844" s="152"/>
      <c r="Z844" s="152"/>
    </row>
    <row r="845" ht="12.8" customHeight="1" spans="1:26">
      <c r="A845" s="152"/>
      <c r="B845" s="152"/>
      <c r="C845" s="152"/>
      <c r="D845" s="152"/>
      <c r="E845" s="152"/>
      <c r="F845" s="152"/>
      <c r="G845" s="152"/>
      <c r="H845" s="152"/>
      <c r="I845" s="152"/>
      <c r="J845" s="152"/>
      <c r="K845" s="152"/>
      <c r="L845" s="152"/>
      <c r="M845" s="152"/>
      <c r="N845" s="152"/>
      <c r="O845" s="152"/>
      <c r="P845" s="152"/>
      <c r="Q845" s="152"/>
      <c r="R845" s="152"/>
      <c r="S845" s="152"/>
      <c r="T845" s="152"/>
      <c r="U845" s="152"/>
      <c r="V845" s="152"/>
      <c r="W845" s="152"/>
      <c r="X845" s="152"/>
      <c r="Y845" s="152"/>
      <c r="Z845" s="152"/>
    </row>
    <row r="846" ht="12.8" customHeight="1" spans="1:26">
      <c r="A846" s="152"/>
      <c r="B846" s="152"/>
      <c r="C846" s="152"/>
      <c r="D846" s="152"/>
      <c r="E846" s="152"/>
      <c r="F846" s="152"/>
      <c r="G846" s="152"/>
      <c r="H846" s="152"/>
      <c r="I846" s="152"/>
      <c r="J846" s="152"/>
      <c r="K846" s="152"/>
      <c r="L846" s="152"/>
      <c r="M846" s="152"/>
      <c r="N846" s="152"/>
      <c r="O846" s="152"/>
      <c r="P846" s="152"/>
      <c r="Q846" s="152"/>
      <c r="R846" s="152"/>
      <c r="S846" s="152"/>
      <c r="T846" s="152"/>
      <c r="U846" s="152"/>
      <c r="V846" s="152"/>
      <c r="W846" s="152"/>
      <c r="X846" s="152"/>
      <c r="Y846" s="152"/>
      <c r="Z846" s="152"/>
    </row>
    <row r="847" ht="12.8" customHeight="1" spans="1:26">
      <c r="A847" s="152"/>
      <c r="B847" s="152"/>
      <c r="C847" s="152"/>
      <c r="D847" s="152"/>
      <c r="E847" s="152"/>
      <c r="F847" s="152"/>
      <c r="G847" s="152"/>
      <c r="H847" s="152"/>
      <c r="I847" s="152"/>
      <c r="J847" s="152"/>
      <c r="K847" s="152"/>
      <c r="L847" s="152"/>
      <c r="M847" s="152"/>
      <c r="N847" s="152"/>
      <c r="O847" s="152"/>
      <c r="P847" s="152"/>
      <c r="Q847" s="152"/>
      <c r="R847" s="152"/>
      <c r="S847" s="152"/>
      <c r="T847" s="152"/>
      <c r="U847" s="152"/>
      <c r="V847" s="152"/>
      <c r="W847" s="152"/>
      <c r="X847" s="152"/>
      <c r="Y847" s="152"/>
      <c r="Z847" s="152"/>
    </row>
    <row r="848" ht="12.8" customHeight="1" spans="1:26">
      <c r="A848" s="152"/>
      <c r="B848" s="152"/>
      <c r="C848" s="152"/>
      <c r="D848" s="152"/>
      <c r="E848" s="152"/>
      <c r="F848" s="152"/>
      <c r="G848" s="152"/>
      <c r="H848" s="152"/>
      <c r="I848" s="152"/>
      <c r="J848" s="152"/>
      <c r="K848" s="152"/>
      <c r="L848" s="152"/>
      <c r="M848" s="152"/>
      <c r="N848" s="152"/>
      <c r="O848" s="152"/>
      <c r="P848" s="152"/>
      <c r="Q848" s="152"/>
      <c r="R848" s="152"/>
      <c r="S848" s="152"/>
      <c r="T848" s="152"/>
      <c r="U848" s="152"/>
      <c r="V848" s="152"/>
      <c r="W848" s="152"/>
      <c r="X848" s="152"/>
      <c r="Y848" s="152"/>
      <c r="Z848" s="152"/>
    </row>
    <row r="849" ht="12.8" customHeight="1" spans="1:26">
      <c r="A849" s="152"/>
      <c r="B849" s="152"/>
      <c r="C849" s="152"/>
      <c r="D849" s="152"/>
      <c r="E849" s="152"/>
      <c r="F849" s="152"/>
      <c r="G849" s="152"/>
      <c r="H849" s="152"/>
      <c r="I849" s="152"/>
      <c r="J849" s="152"/>
      <c r="K849" s="152"/>
      <c r="L849" s="152"/>
      <c r="M849" s="152"/>
      <c r="N849" s="152"/>
      <c r="O849" s="152"/>
      <c r="P849" s="152"/>
      <c r="Q849" s="152"/>
      <c r="R849" s="152"/>
      <c r="S849" s="152"/>
      <c r="T849" s="152"/>
      <c r="U849" s="152"/>
      <c r="V849" s="152"/>
      <c r="W849" s="152"/>
      <c r="X849" s="152"/>
      <c r="Y849" s="152"/>
      <c r="Z849" s="152"/>
    </row>
    <row r="850" ht="12.8" customHeight="1" spans="1:26">
      <c r="A850" s="152"/>
      <c r="B850" s="152"/>
      <c r="C850" s="152"/>
      <c r="D850" s="152"/>
      <c r="E850" s="152"/>
      <c r="F850" s="152"/>
      <c r="G850" s="152"/>
      <c r="H850" s="152"/>
      <c r="I850" s="152"/>
      <c r="J850" s="152"/>
      <c r="K850" s="152"/>
      <c r="L850" s="152"/>
      <c r="M850" s="152"/>
      <c r="N850" s="152"/>
      <c r="O850" s="152"/>
      <c r="P850" s="152"/>
      <c r="Q850" s="152"/>
      <c r="R850" s="152"/>
      <c r="S850" s="152"/>
      <c r="T850" s="152"/>
      <c r="U850" s="152"/>
      <c r="V850" s="152"/>
      <c r="W850" s="152"/>
      <c r="X850" s="152"/>
      <c r="Y850" s="152"/>
      <c r="Z850" s="152"/>
    </row>
    <row r="851" ht="12.8" customHeight="1" spans="1:26">
      <c r="A851" s="152"/>
      <c r="B851" s="152"/>
      <c r="C851" s="152"/>
      <c r="D851" s="152"/>
      <c r="E851" s="152"/>
      <c r="F851" s="152"/>
      <c r="G851" s="152"/>
      <c r="H851" s="152"/>
      <c r="I851" s="152"/>
      <c r="J851" s="152"/>
      <c r="K851" s="152"/>
      <c r="L851" s="152"/>
      <c r="M851" s="152"/>
      <c r="N851" s="152"/>
      <c r="O851" s="152"/>
      <c r="P851" s="152"/>
      <c r="Q851" s="152"/>
      <c r="R851" s="152"/>
      <c r="S851" s="152"/>
      <c r="T851" s="152"/>
      <c r="U851" s="152"/>
      <c r="V851" s="152"/>
      <c r="W851" s="152"/>
      <c r="X851" s="152"/>
      <c r="Y851" s="152"/>
      <c r="Z851" s="152"/>
    </row>
    <row r="852" ht="12.8" customHeight="1" spans="1:26">
      <c r="A852" s="152"/>
      <c r="B852" s="152"/>
      <c r="C852" s="152"/>
      <c r="D852" s="152"/>
      <c r="E852" s="152"/>
      <c r="F852" s="152"/>
      <c r="G852" s="152"/>
      <c r="H852" s="152"/>
      <c r="I852" s="152"/>
      <c r="J852" s="152"/>
      <c r="K852" s="152"/>
      <c r="L852" s="152"/>
      <c r="M852" s="152"/>
      <c r="N852" s="152"/>
      <c r="O852" s="152"/>
      <c r="P852" s="152"/>
      <c r="Q852" s="152"/>
      <c r="R852" s="152"/>
      <c r="S852" s="152"/>
      <c r="T852" s="152"/>
      <c r="U852" s="152"/>
      <c r="V852" s="152"/>
      <c r="W852" s="152"/>
      <c r="X852" s="152"/>
      <c r="Y852" s="152"/>
      <c r="Z852" s="152"/>
    </row>
    <row r="853" ht="12.8" customHeight="1" spans="1:26">
      <c r="A853" s="152"/>
      <c r="B853" s="152"/>
      <c r="C853" s="152"/>
      <c r="D853" s="152"/>
      <c r="E853" s="152"/>
      <c r="F853" s="152"/>
      <c r="G853" s="152"/>
      <c r="H853" s="152"/>
      <c r="I853" s="152"/>
      <c r="J853" s="152"/>
      <c r="K853" s="152"/>
      <c r="L853" s="152"/>
      <c r="M853" s="152"/>
      <c r="N853" s="152"/>
      <c r="O853" s="152"/>
      <c r="P853" s="152"/>
      <c r="Q853" s="152"/>
      <c r="R853" s="152"/>
      <c r="S853" s="152"/>
      <c r="T853" s="152"/>
      <c r="U853" s="152"/>
      <c r="V853" s="152"/>
      <c r="W853" s="152"/>
      <c r="X853" s="152"/>
      <c r="Y853" s="152"/>
      <c r="Z853" s="152"/>
    </row>
    <row r="854" ht="12.8" customHeight="1" spans="1:26">
      <c r="A854" s="152"/>
      <c r="B854" s="152"/>
      <c r="C854" s="152"/>
      <c r="D854" s="152"/>
      <c r="E854" s="152"/>
      <c r="F854" s="152"/>
      <c r="G854" s="152"/>
      <c r="H854" s="152"/>
      <c r="I854" s="152"/>
      <c r="J854" s="152"/>
      <c r="K854" s="152"/>
      <c r="L854" s="152"/>
      <c r="M854" s="152"/>
      <c r="N854" s="152"/>
      <c r="O854" s="152"/>
      <c r="P854" s="152"/>
      <c r="Q854" s="152"/>
      <c r="R854" s="152"/>
      <c r="S854" s="152"/>
      <c r="T854" s="152"/>
      <c r="U854" s="152"/>
      <c r="V854" s="152"/>
      <c r="W854" s="152"/>
      <c r="X854" s="152"/>
      <c r="Y854" s="152"/>
      <c r="Z854" s="152"/>
    </row>
    <row r="855" ht="12.8" customHeight="1" spans="1:26">
      <c r="A855" s="152"/>
      <c r="B855" s="152"/>
      <c r="C855" s="152"/>
      <c r="D855" s="152"/>
      <c r="E855" s="152"/>
      <c r="F855" s="152"/>
      <c r="G855" s="152"/>
      <c r="H855" s="152"/>
      <c r="I855" s="152"/>
      <c r="J855" s="152"/>
      <c r="K855" s="152"/>
      <c r="L855" s="152"/>
      <c r="M855" s="152"/>
      <c r="N855" s="152"/>
      <c r="O855" s="152"/>
      <c r="P855" s="152"/>
      <c r="Q855" s="152"/>
      <c r="R855" s="152"/>
      <c r="S855" s="152"/>
      <c r="T855" s="152"/>
      <c r="U855" s="152"/>
      <c r="V855" s="152"/>
      <c r="W855" s="152"/>
      <c r="X855" s="152"/>
      <c r="Y855" s="152"/>
      <c r="Z855" s="152"/>
    </row>
    <row r="856" ht="12.8" customHeight="1" spans="1:26">
      <c r="A856" s="152"/>
      <c r="B856" s="152"/>
      <c r="C856" s="152"/>
      <c r="D856" s="152"/>
      <c r="E856" s="152"/>
      <c r="F856" s="152"/>
      <c r="G856" s="152"/>
      <c r="H856" s="152"/>
      <c r="I856" s="152"/>
      <c r="J856" s="152"/>
      <c r="K856" s="152"/>
      <c r="L856" s="152"/>
      <c r="M856" s="152"/>
      <c r="N856" s="152"/>
      <c r="O856" s="152"/>
      <c r="P856" s="152"/>
      <c r="Q856" s="152"/>
      <c r="R856" s="152"/>
      <c r="S856" s="152"/>
      <c r="T856" s="152"/>
      <c r="U856" s="152"/>
      <c r="V856" s="152"/>
      <c r="W856" s="152"/>
      <c r="X856" s="152"/>
      <c r="Y856" s="152"/>
      <c r="Z856" s="152"/>
    </row>
    <row r="857" ht="12.8" customHeight="1" spans="1:26">
      <c r="A857" s="152"/>
      <c r="B857" s="152"/>
      <c r="C857" s="152"/>
      <c r="D857" s="152"/>
      <c r="E857" s="152"/>
      <c r="F857" s="152"/>
      <c r="G857" s="152"/>
      <c r="H857" s="152"/>
      <c r="I857" s="152"/>
      <c r="J857" s="152"/>
      <c r="K857" s="152"/>
      <c r="L857" s="152"/>
      <c r="M857" s="152"/>
      <c r="N857" s="152"/>
      <c r="O857" s="152"/>
      <c r="P857" s="152"/>
      <c r="Q857" s="152"/>
      <c r="R857" s="152"/>
      <c r="S857" s="152"/>
      <c r="T857" s="152"/>
      <c r="U857" s="152"/>
      <c r="V857" s="152"/>
      <c r="W857" s="152"/>
      <c r="X857" s="152"/>
      <c r="Y857" s="152"/>
      <c r="Z857" s="152"/>
    </row>
    <row r="858" ht="12.8" customHeight="1" spans="1:26">
      <c r="A858" s="152"/>
      <c r="B858" s="152"/>
      <c r="C858" s="152"/>
      <c r="D858" s="152"/>
      <c r="E858" s="152"/>
      <c r="F858" s="152"/>
      <c r="G858" s="152"/>
      <c r="H858" s="152"/>
      <c r="I858" s="152"/>
      <c r="J858" s="152"/>
      <c r="K858" s="152"/>
      <c r="L858" s="152"/>
      <c r="M858" s="152"/>
      <c r="N858" s="152"/>
      <c r="O858" s="152"/>
      <c r="P858" s="152"/>
      <c r="Q858" s="152"/>
      <c r="R858" s="152"/>
      <c r="S858" s="152"/>
      <c r="T858" s="152"/>
      <c r="U858" s="152"/>
      <c r="V858" s="152"/>
      <c r="W858" s="152"/>
      <c r="X858" s="152"/>
      <c r="Y858" s="152"/>
      <c r="Z858" s="152"/>
    </row>
    <row r="859" ht="12.8" customHeight="1" spans="1:26">
      <c r="A859" s="152"/>
      <c r="B859" s="152"/>
      <c r="C859" s="152"/>
      <c r="D859" s="152"/>
      <c r="E859" s="152"/>
      <c r="F859" s="152"/>
      <c r="G859" s="152"/>
      <c r="H859" s="152"/>
      <c r="I859" s="152"/>
      <c r="J859" s="152"/>
      <c r="K859" s="152"/>
      <c r="L859" s="152"/>
      <c r="M859" s="152"/>
      <c r="N859" s="152"/>
      <c r="O859" s="152"/>
      <c r="P859" s="152"/>
      <c r="Q859" s="152"/>
      <c r="R859" s="152"/>
      <c r="S859" s="152"/>
      <c r="T859" s="152"/>
      <c r="U859" s="152"/>
      <c r="V859" s="152"/>
      <c r="W859" s="152"/>
      <c r="X859" s="152"/>
      <c r="Y859" s="152"/>
      <c r="Z859" s="152"/>
    </row>
    <row r="860" ht="12.8" customHeight="1" spans="1:26">
      <c r="A860" s="152"/>
      <c r="B860" s="152"/>
      <c r="C860" s="152"/>
      <c r="D860" s="152"/>
      <c r="E860" s="152"/>
      <c r="F860" s="152"/>
      <c r="G860" s="152"/>
      <c r="H860" s="152"/>
      <c r="I860" s="152"/>
      <c r="J860" s="152"/>
      <c r="K860" s="152"/>
      <c r="L860" s="152"/>
      <c r="M860" s="152"/>
      <c r="N860" s="152"/>
      <c r="O860" s="152"/>
      <c r="P860" s="152"/>
      <c r="Q860" s="152"/>
      <c r="R860" s="152"/>
      <c r="S860" s="152"/>
      <c r="T860" s="152"/>
      <c r="U860" s="152"/>
      <c r="V860" s="152"/>
      <c r="W860" s="152"/>
      <c r="X860" s="152"/>
      <c r="Y860" s="152"/>
      <c r="Z860" s="152"/>
    </row>
    <row r="861" ht="12.8" customHeight="1" spans="1:26">
      <c r="A861" s="152"/>
      <c r="B861" s="152"/>
      <c r="C861" s="152"/>
      <c r="D861" s="152"/>
      <c r="E861" s="152"/>
      <c r="F861" s="152"/>
      <c r="G861" s="152"/>
      <c r="H861" s="152"/>
      <c r="I861" s="152"/>
      <c r="J861" s="152"/>
      <c r="K861" s="152"/>
      <c r="L861" s="152"/>
      <c r="M861" s="152"/>
      <c r="N861" s="152"/>
      <c r="O861" s="152"/>
      <c r="P861" s="152"/>
      <c r="Q861" s="152"/>
      <c r="R861" s="152"/>
      <c r="S861" s="152"/>
      <c r="T861" s="152"/>
      <c r="U861" s="152"/>
      <c r="V861" s="152"/>
      <c r="W861" s="152"/>
      <c r="X861" s="152"/>
      <c r="Y861" s="152"/>
      <c r="Z861" s="152"/>
    </row>
    <row r="862" ht="12.8" customHeight="1" spans="1:26">
      <c r="A862" s="152"/>
      <c r="B862" s="152"/>
      <c r="C862" s="152"/>
      <c r="D862" s="152"/>
      <c r="E862" s="152"/>
      <c r="F862" s="152"/>
      <c r="G862" s="152"/>
      <c r="H862" s="152"/>
      <c r="I862" s="152"/>
      <c r="J862" s="152"/>
      <c r="K862" s="152"/>
      <c r="L862" s="152"/>
      <c r="M862" s="152"/>
      <c r="N862" s="152"/>
      <c r="O862" s="152"/>
      <c r="P862" s="152"/>
      <c r="Q862" s="152"/>
      <c r="R862" s="152"/>
      <c r="S862" s="152"/>
      <c r="T862" s="152"/>
      <c r="U862" s="152"/>
      <c r="V862" s="152"/>
      <c r="W862" s="152"/>
      <c r="X862" s="152"/>
      <c r="Y862" s="152"/>
      <c r="Z862" s="152"/>
    </row>
    <row r="863" ht="12.8" customHeight="1" spans="1:26">
      <c r="A863" s="152"/>
      <c r="B863" s="152"/>
      <c r="C863" s="152"/>
      <c r="D863" s="152"/>
      <c r="E863" s="152"/>
      <c r="F863" s="152"/>
      <c r="G863" s="152"/>
      <c r="H863" s="152"/>
      <c r="I863" s="152"/>
      <c r="J863" s="152"/>
      <c r="K863" s="152"/>
      <c r="L863" s="152"/>
      <c r="M863" s="152"/>
      <c r="N863" s="152"/>
      <c r="O863" s="152"/>
      <c r="P863" s="152"/>
      <c r="Q863" s="152"/>
      <c r="R863" s="152"/>
      <c r="S863" s="152"/>
      <c r="T863" s="152"/>
      <c r="U863" s="152"/>
      <c r="V863" s="152"/>
      <c r="W863" s="152"/>
      <c r="X863" s="152"/>
      <c r="Y863" s="152"/>
      <c r="Z863" s="152"/>
    </row>
    <row r="864" ht="12.8" customHeight="1" spans="1:26">
      <c r="A864" s="152"/>
      <c r="B864" s="152"/>
      <c r="C864" s="152"/>
      <c r="D864" s="152"/>
      <c r="E864" s="152"/>
      <c r="F864" s="152"/>
      <c r="G864" s="152"/>
      <c r="H864" s="152"/>
      <c r="I864" s="152"/>
      <c r="J864" s="152"/>
      <c r="K864" s="152"/>
      <c r="L864" s="152"/>
      <c r="M864" s="152"/>
      <c r="N864" s="152"/>
      <c r="O864" s="152"/>
      <c r="P864" s="152"/>
      <c r="Q864" s="152"/>
      <c r="R864" s="152"/>
      <c r="S864" s="152"/>
      <c r="T864" s="152"/>
      <c r="U864" s="152"/>
      <c r="V864" s="152"/>
      <c r="W864" s="152"/>
      <c r="X864" s="152"/>
      <c r="Y864" s="152"/>
      <c r="Z864" s="152"/>
    </row>
    <row r="865" ht="12.8" customHeight="1" spans="1:26">
      <c r="A865" s="152"/>
      <c r="B865" s="152"/>
      <c r="C865" s="152"/>
      <c r="D865" s="152"/>
      <c r="E865" s="152"/>
      <c r="F865" s="152"/>
      <c r="G865" s="152"/>
      <c r="H865" s="152"/>
      <c r="I865" s="152"/>
      <c r="J865" s="152"/>
      <c r="K865" s="152"/>
      <c r="L865" s="152"/>
      <c r="M865" s="152"/>
      <c r="N865" s="152"/>
      <c r="O865" s="152"/>
      <c r="P865" s="152"/>
      <c r="Q865" s="152"/>
      <c r="R865" s="152"/>
      <c r="S865" s="152"/>
      <c r="T865" s="152"/>
      <c r="U865" s="152"/>
      <c r="V865" s="152"/>
      <c r="W865" s="152"/>
      <c r="X865" s="152"/>
      <c r="Y865" s="152"/>
      <c r="Z865" s="152"/>
    </row>
    <row r="866" ht="12.8" customHeight="1" spans="1:26">
      <c r="A866" s="152"/>
      <c r="B866" s="152"/>
      <c r="C866" s="152"/>
      <c r="D866" s="152"/>
      <c r="E866" s="152"/>
      <c r="F866" s="152"/>
      <c r="G866" s="152"/>
      <c r="H866" s="152"/>
      <c r="I866" s="152"/>
      <c r="J866" s="152"/>
      <c r="K866" s="152"/>
      <c r="L866" s="152"/>
      <c r="M866" s="152"/>
      <c r="N866" s="152"/>
      <c r="O866" s="152"/>
      <c r="P866" s="152"/>
      <c r="Q866" s="152"/>
      <c r="R866" s="152"/>
      <c r="S866" s="152"/>
      <c r="T866" s="152"/>
      <c r="U866" s="152"/>
      <c r="V866" s="152"/>
      <c r="W866" s="152"/>
      <c r="X866" s="152"/>
      <c r="Y866" s="152"/>
      <c r="Z866" s="152"/>
    </row>
    <row r="867" ht="12.8" customHeight="1" spans="1:26">
      <c r="A867" s="152"/>
      <c r="B867" s="152"/>
      <c r="C867" s="152"/>
      <c r="D867" s="152"/>
      <c r="E867" s="152"/>
      <c r="F867" s="152"/>
      <c r="G867" s="152"/>
      <c r="H867" s="152"/>
      <c r="I867" s="152"/>
      <c r="J867" s="152"/>
      <c r="K867" s="152"/>
      <c r="L867" s="152"/>
      <c r="M867" s="152"/>
      <c r="N867" s="152"/>
      <c r="O867" s="152"/>
      <c r="P867" s="152"/>
      <c r="Q867" s="152"/>
      <c r="R867" s="152"/>
      <c r="S867" s="152"/>
      <c r="T867" s="152"/>
      <c r="U867" s="152"/>
      <c r="V867" s="152"/>
      <c r="W867" s="152"/>
      <c r="X867" s="152"/>
      <c r="Y867" s="152"/>
      <c r="Z867" s="152"/>
    </row>
    <row r="868" ht="12.8" customHeight="1" spans="1:26">
      <c r="A868" s="152"/>
      <c r="B868" s="152"/>
      <c r="C868" s="152"/>
      <c r="D868" s="152"/>
      <c r="E868" s="152"/>
      <c r="F868" s="152"/>
      <c r="G868" s="152"/>
      <c r="H868" s="152"/>
      <c r="I868" s="152"/>
      <c r="J868" s="152"/>
      <c r="K868" s="152"/>
      <c r="L868" s="152"/>
      <c r="M868" s="152"/>
      <c r="N868" s="152"/>
      <c r="O868" s="152"/>
      <c r="P868" s="152"/>
      <c r="Q868" s="152"/>
      <c r="R868" s="152"/>
      <c r="S868" s="152"/>
      <c r="T868" s="152"/>
      <c r="U868" s="152"/>
      <c r="V868" s="152"/>
      <c r="W868" s="152"/>
      <c r="X868" s="152"/>
      <c r="Y868" s="152"/>
      <c r="Z868" s="152"/>
    </row>
    <row r="869" ht="12.8" customHeight="1" spans="1:26">
      <c r="A869" s="152"/>
      <c r="B869" s="152"/>
      <c r="C869" s="152"/>
      <c r="D869" s="152"/>
      <c r="E869" s="152"/>
      <c r="F869" s="152"/>
      <c r="G869" s="152"/>
      <c r="H869" s="152"/>
      <c r="I869" s="152"/>
      <c r="J869" s="152"/>
      <c r="K869" s="152"/>
      <c r="L869" s="152"/>
      <c r="M869" s="152"/>
      <c r="N869" s="152"/>
      <c r="O869" s="152"/>
      <c r="P869" s="152"/>
      <c r="Q869" s="152"/>
      <c r="R869" s="152"/>
      <c r="S869" s="152"/>
      <c r="T869" s="152"/>
      <c r="U869" s="152"/>
      <c r="V869" s="152"/>
      <c r="W869" s="152"/>
      <c r="X869" s="152"/>
      <c r="Y869" s="152"/>
      <c r="Z869" s="152"/>
    </row>
    <row r="870" ht="12.8" customHeight="1" spans="1:26">
      <c r="A870" s="152"/>
      <c r="B870" s="152"/>
      <c r="C870" s="152"/>
      <c r="D870" s="152"/>
      <c r="E870" s="152"/>
      <c r="F870" s="152"/>
      <c r="G870" s="152"/>
      <c r="H870" s="152"/>
      <c r="I870" s="152"/>
      <c r="J870" s="152"/>
      <c r="K870" s="152"/>
      <c r="L870" s="152"/>
      <c r="M870" s="152"/>
      <c r="N870" s="152"/>
      <c r="O870" s="152"/>
      <c r="P870" s="152"/>
      <c r="Q870" s="152"/>
      <c r="R870" s="152"/>
      <c r="S870" s="152"/>
      <c r="T870" s="152"/>
      <c r="U870" s="152"/>
      <c r="V870" s="152"/>
      <c r="W870" s="152"/>
      <c r="X870" s="152"/>
      <c r="Y870" s="152"/>
      <c r="Z870" s="152"/>
    </row>
    <row r="871" ht="12.8" customHeight="1" spans="1:26">
      <c r="A871" s="152"/>
      <c r="B871" s="152"/>
      <c r="C871" s="152"/>
      <c r="D871" s="152"/>
      <c r="E871" s="152"/>
      <c r="F871" s="152"/>
      <c r="G871" s="152"/>
      <c r="H871" s="152"/>
      <c r="I871" s="152"/>
      <c r="J871" s="152"/>
      <c r="K871" s="152"/>
      <c r="L871" s="152"/>
      <c r="M871" s="152"/>
      <c r="N871" s="152"/>
      <c r="O871" s="152"/>
      <c r="P871" s="152"/>
      <c r="Q871" s="152"/>
      <c r="R871" s="152"/>
      <c r="S871" s="152"/>
      <c r="T871" s="152"/>
      <c r="U871" s="152"/>
      <c r="V871" s="152"/>
      <c r="W871" s="152"/>
      <c r="X871" s="152"/>
      <c r="Y871" s="152"/>
      <c r="Z871" s="152"/>
    </row>
    <row r="872" ht="12.8" customHeight="1" spans="1:26">
      <c r="A872" s="152"/>
      <c r="B872" s="152"/>
      <c r="C872" s="152"/>
      <c r="D872" s="152"/>
      <c r="E872" s="152"/>
      <c r="F872" s="152"/>
      <c r="G872" s="152"/>
      <c r="H872" s="152"/>
      <c r="I872" s="152"/>
      <c r="J872" s="152"/>
      <c r="K872" s="152"/>
      <c r="L872" s="152"/>
      <c r="M872" s="152"/>
      <c r="N872" s="152"/>
      <c r="O872" s="152"/>
      <c r="P872" s="152"/>
      <c r="Q872" s="152"/>
      <c r="R872" s="152"/>
      <c r="S872" s="152"/>
      <c r="T872" s="152"/>
      <c r="U872" s="152"/>
      <c r="V872" s="152"/>
      <c r="W872" s="152"/>
      <c r="X872" s="152"/>
      <c r="Y872" s="152"/>
      <c r="Z872" s="152"/>
    </row>
    <row r="873" ht="12.8" customHeight="1" spans="1:26">
      <c r="A873" s="152"/>
      <c r="B873" s="152"/>
      <c r="C873" s="152"/>
      <c r="D873" s="152"/>
      <c r="E873" s="152"/>
      <c r="F873" s="152"/>
      <c r="G873" s="152"/>
      <c r="H873" s="152"/>
      <c r="I873" s="152"/>
      <c r="J873" s="152"/>
      <c r="K873" s="152"/>
      <c r="L873" s="152"/>
      <c r="M873" s="152"/>
      <c r="N873" s="152"/>
      <c r="O873" s="152"/>
      <c r="P873" s="152"/>
      <c r="Q873" s="152"/>
      <c r="R873" s="152"/>
      <c r="S873" s="152"/>
      <c r="T873" s="152"/>
      <c r="U873" s="152"/>
      <c r="V873" s="152"/>
      <c r="W873" s="152"/>
      <c r="X873" s="152"/>
      <c r="Y873" s="152"/>
      <c r="Z873" s="152"/>
    </row>
    <row r="874" ht="12.8" customHeight="1" spans="1:26">
      <c r="A874" s="152"/>
      <c r="B874" s="152"/>
      <c r="C874" s="152"/>
      <c r="D874" s="152"/>
      <c r="E874" s="152"/>
      <c r="F874" s="152"/>
      <c r="G874" s="152"/>
      <c r="H874" s="152"/>
      <c r="I874" s="152"/>
      <c r="J874" s="152"/>
      <c r="K874" s="152"/>
      <c r="L874" s="152"/>
      <c r="M874" s="152"/>
      <c r="N874" s="152"/>
      <c r="O874" s="152"/>
      <c r="P874" s="152"/>
      <c r="Q874" s="152"/>
      <c r="R874" s="152"/>
      <c r="S874" s="152"/>
      <c r="T874" s="152"/>
      <c r="U874" s="152"/>
      <c r="V874" s="152"/>
      <c r="W874" s="152"/>
      <c r="X874" s="152"/>
      <c r="Y874" s="152"/>
      <c r="Z874" s="152"/>
    </row>
    <row r="875" ht="12.8" customHeight="1" spans="1:26">
      <c r="A875" s="152"/>
      <c r="B875" s="152"/>
      <c r="C875" s="152"/>
      <c r="D875" s="152"/>
      <c r="E875" s="152"/>
      <c r="F875" s="152"/>
      <c r="G875" s="152"/>
      <c r="H875" s="152"/>
      <c r="I875" s="152"/>
      <c r="J875" s="152"/>
      <c r="K875" s="152"/>
      <c r="L875" s="152"/>
      <c r="M875" s="152"/>
      <c r="N875" s="152"/>
      <c r="O875" s="152"/>
      <c r="P875" s="152"/>
      <c r="Q875" s="152"/>
      <c r="R875" s="152"/>
      <c r="S875" s="152"/>
      <c r="T875" s="152"/>
      <c r="U875" s="152"/>
      <c r="V875" s="152"/>
      <c r="W875" s="152"/>
      <c r="X875" s="152"/>
      <c r="Y875" s="152"/>
      <c r="Z875" s="152"/>
    </row>
    <row r="876" ht="12.8" customHeight="1" spans="1:26">
      <c r="A876" s="152"/>
      <c r="B876" s="152"/>
      <c r="C876" s="152"/>
      <c r="D876" s="152"/>
      <c r="E876" s="152"/>
      <c r="F876" s="152"/>
      <c r="G876" s="152"/>
      <c r="H876" s="152"/>
      <c r="I876" s="152"/>
      <c r="J876" s="152"/>
      <c r="K876" s="152"/>
      <c r="L876" s="152"/>
      <c r="M876" s="152"/>
      <c r="N876" s="152"/>
      <c r="O876" s="152"/>
      <c r="P876" s="152"/>
      <c r="Q876" s="152"/>
      <c r="R876" s="152"/>
      <c r="S876" s="152"/>
      <c r="T876" s="152"/>
      <c r="U876" s="152"/>
      <c r="V876" s="152"/>
      <c r="W876" s="152"/>
      <c r="X876" s="152"/>
      <c r="Y876" s="152"/>
      <c r="Z876" s="152"/>
    </row>
    <row r="877" ht="12.8" customHeight="1" spans="1:26">
      <c r="A877" s="152"/>
      <c r="B877" s="152"/>
      <c r="C877" s="152"/>
      <c r="D877" s="152"/>
      <c r="E877" s="152"/>
      <c r="F877" s="152"/>
      <c r="G877" s="152"/>
      <c r="H877" s="152"/>
      <c r="I877" s="152"/>
      <c r="J877" s="152"/>
      <c r="K877" s="152"/>
      <c r="L877" s="152"/>
      <c r="M877" s="152"/>
      <c r="N877" s="152"/>
      <c r="O877" s="152"/>
      <c r="P877" s="152"/>
      <c r="Q877" s="152"/>
      <c r="R877" s="152"/>
      <c r="S877" s="152"/>
      <c r="T877" s="152"/>
      <c r="U877" s="152"/>
      <c r="V877" s="152"/>
      <c r="W877" s="152"/>
      <c r="X877" s="152"/>
      <c r="Y877" s="152"/>
      <c r="Z877" s="152"/>
    </row>
    <row r="878" ht="12.8" customHeight="1" spans="1:26">
      <c r="A878" s="152"/>
      <c r="B878" s="152"/>
      <c r="C878" s="152"/>
      <c r="D878" s="152"/>
      <c r="E878" s="152"/>
      <c r="F878" s="152"/>
      <c r="G878" s="152"/>
      <c r="H878" s="152"/>
      <c r="I878" s="152"/>
      <c r="J878" s="152"/>
      <c r="K878" s="152"/>
      <c r="L878" s="152"/>
      <c r="M878" s="152"/>
      <c r="N878" s="152"/>
      <c r="O878" s="152"/>
      <c r="P878" s="152"/>
      <c r="Q878" s="152"/>
      <c r="R878" s="152"/>
      <c r="S878" s="152"/>
      <c r="T878" s="152"/>
      <c r="U878" s="152"/>
      <c r="V878" s="152"/>
      <c r="W878" s="152"/>
      <c r="X878" s="152"/>
      <c r="Y878" s="152"/>
      <c r="Z878" s="152"/>
    </row>
    <row r="879" ht="12.8" customHeight="1" spans="1:26">
      <c r="A879" s="152"/>
      <c r="B879" s="152"/>
      <c r="C879" s="152"/>
      <c r="D879" s="152"/>
      <c r="E879" s="152"/>
      <c r="F879" s="152"/>
      <c r="G879" s="152"/>
      <c r="H879" s="152"/>
      <c r="I879" s="152"/>
      <c r="J879" s="152"/>
      <c r="K879" s="152"/>
      <c r="L879" s="152"/>
      <c r="M879" s="152"/>
      <c r="N879" s="152"/>
      <c r="O879" s="152"/>
      <c r="P879" s="152"/>
      <c r="Q879" s="152"/>
      <c r="R879" s="152"/>
      <c r="S879" s="152"/>
      <c r="T879" s="152"/>
      <c r="U879" s="152"/>
      <c r="V879" s="152"/>
      <c r="W879" s="152"/>
      <c r="X879" s="152"/>
      <c r="Y879" s="152"/>
      <c r="Z879" s="152"/>
    </row>
    <row r="880" ht="12.8" customHeight="1" spans="1:26">
      <c r="A880" s="152"/>
      <c r="B880" s="152"/>
      <c r="C880" s="152"/>
      <c r="D880" s="152"/>
      <c r="E880" s="152"/>
      <c r="F880" s="152"/>
      <c r="G880" s="152"/>
      <c r="H880" s="152"/>
      <c r="I880" s="152"/>
      <c r="J880" s="152"/>
      <c r="K880" s="152"/>
      <c r="L880" s="152"/>
      <c r="M880" s="152"/>
      <c r="N880" s="152"/>
      <c r="O880" s="152"/>
      <c r="P880" s="152"/>
      <c r="Q880" s="152"/>
      <c r="R880" s="152"/>
      <c r="S880" s="152"/>
      <c r="T880" s="152"/>
      <c r="U880" s="152"/>
      <c r="V880" s="152"/>
      <c r="W880" s="152"/>
      <c r="X880" s="152"/>
      <c r="Y880" s="152"/>
      <c r="Z880" s="152"/>
    </row>
    <row r="881" ht="12.8" customHeight="1" spans="1:26">
      <c r="A881" s="152"/>
      <c r="B881" s="152"/>
      <c r="C881" s="152"/>
      <c r="D881" s="152"/>
      <c r="E881" s="152"/>
      <c r="F881" s="152"/>
      <c r="G881" s="152"/>
      <c r="H881" s="152"/>
      <c r="I881" s="152"/>
      <c r="J881" s="152"/>
      <c r="K881" s="152"/>
      <c r="L881" s="152"/>
      <c r="M881" s="152"/>
      <c r="N881" s="152"/>
      <c r="O881" s="152"/>
      <c r="P881" s="152"/>
      <c r="Q881" s="152"/>
      <c r="R881" s="152"/>
      <c r="S881" s="152"/>
      <c r="T881" s="152"/>
      <c r="U881" s="152"/>
      <c r="V881" s="152"/>
      <c r="W881" s="152"/>
      <c r="X881" s="152"/>
      <c r="Y881" s="152"/>
      <c r="Z881" s="152"/>
    </row>
    <row r="882" ht="12.8" customHeight="1" spans="1:26">
      <c r="A882" s="152"/>
      <c r="B882" s="152"/>
      <c r="C882" s="152"/>
      <c r="D882" s="152"/>
      <c r="E882" s="152"/>
      <c r="F882" s="152"/>
      <c r="G882" s="152"/>
      <c r="H882" s="152"/>
      <c r="I882" s="152"/>
      <c r="J882" s="152"/>
      <c r="K882" s="152"/>
      <c r="L882" s="152"/>
      <c r="M882" s="152"/>
      <c r="N882" s="152"/>
      <c r="O882" s="152"/>
      <c r="P882" s="152"/>
      <c r="Q882" s="152"/>
      <c r="R882" s="152"/>
      <c r="S882" s="152"/>
      <c r="T882" s="152"/>
      <c r="U882" s="152"/>
      <c r="V882" s="152"/>
      <c r="W882" s="152"/>
      <c r="X882" s="152"/>
      <c r="Y882" s="152"/>
      <c r="Z882" s="152"/>
    </row>
    <row r="883" ht="12.8" customHeight="1" spans="1:26">
      <c r="A883" s="152"/>
      <c r="B883" s="152"/>
      <c r="C883" s="152"/>
      <c r="D883" s="152"/>
      <c r="E883" s="152"/>
      <c r="F883" s="152"/>
      <c r="G883" s="152"/>
      <c r="H883" s="152"/>
      <c r="I883" s="152"/>
      <c r="J883" s="152"/>
      <c r="K883" s="152"/>
      <c r="L883" s="152"/>
      <c r="M883" s="152"/>
      <c r="N883" s="152"/>
      <c r="O883" s="152"/>
      <c r="P883" s="152"/>
      <c r="Q883" s="152"/>
      <c r="R883" s="152"/>
      <c r="S883" s="152"/>
      <c r="T883" s="152"/>
      <c r="U883" s="152"/>
      <c r="V883" s="152"/>
      <c r="W883" s="152"/>
      <c r="X883" s="152"/>
      <c r="Y883" s="152"/>
      <c r="Z883" s="152"/>
    </row>
    <row r="884" ht="12.8" customHeight="1" spans="1:26">
      <c r="A884" s="152"/>
      <c r="B884" s="152"/>
      <c r="C884" s="152"/>
      <c r="D884" s="152"/>
      <c r="E884" s="152"/>
      <c r="F884" s="152"/>
      <c r="G884" s="152"/>
      <c r="H884" s="152"/>
      <c r="I884" s="152"/>
      <c r="J884" s="152"/>
      <c r="K884" s="152"/>
      <c r="L884" s="152"/>
      <c r="M884" s="152"/>
      <c r="N884" s="152"/>
      <c r="O884" s="152"/>
      <c r="P884" s="152"/>
      <c r="Q884" s="152"/>
      <c r="R884" s="152"/>
      <c r="S884" s="152"/>
      <c r="T884" s="152"/>
      <c r="U884" s="152"/>
      <c r="V884" s="152"/>
      <c r="W884" s="152"/>
      <c r="X884" s="152"/>
      <c r="Y884" s="152"/>
      <c r="Z884" s="152"/>
    </row>
    <row r="885" ht="12.8" customHeight="1" spans="1:26">
      <c r="A885" s="152"/>
      <c r="B885" s="152"/>
      <c r="C885" s="152"/>
      <c r="D885" s="152"/>
      <c r="E885" s="152"/>
      <c r="F885" s="152"/>
      <c r="G885" s="152"/>
      <c r="H885" s="152"/>
      <c r="I885" s="152"/>
      <c r="J885" s="152"/>
      <c r="K885" s="152"/>
      <c r="L885" s="152"/>
      <c r="M885" s="152"/>
      <c r="N885" s="152"/>
      <c r="O885" s="152"/>
      <c r="P885" s="152"/>
      <c r="Q885" s="152"/>
      <c r="R885" s="152"/>
      <c r="S885" s="152"/>
      <c r="T885" s="152"/>
      <c r="U885" s="152"/>
      <c r="V885" s="152"/>
      <c r="W885" s="152"/>
      <c r="X885" s="152"/>
      <c r="Y885" s="152"/>
      <c r="Z885" s="152"/>
    </row>
    <row r="886" ht="12.8" customHeight="1" spans="1:26">
      <c r="A886" s="152"/>
      <c r="B886" s="152"/>
      <c r="C886" s="152"/>
      <c r="D886" s="152"/>
      <c r="E886" s="152"/>
      <c r="F886" s="152"/>
      <c r="G886" s="152"/>
      <c r="H886" s="152"/>
      <c r="I886" s="152"/>
      <c r="J886" s="152"/>
      <c r="K886" s="152"/>
      <c r="L886" s="152"/>
      <c r="M886" s="152"/>
      <c r="N886" s="152"/>
      <c r="O886" s="152"/>
      <c r="P886" s="152"/>
      <c r="Q886" s="152"/>
      <c r="R886" s="152"/>
      <c r="S886" s="152"/>
      <c r="T886" s="152"/>
      <c r="U886" s="152"/>
      <c r="V886" s="152"/>
      <c r="W886" s="152"/>
      <c r="X886" s="152"/>
      <c r="Y886" s="152"/>
      <c r="Z886" s="152"/>
    </row>
    <row r="887" ht="12.8" customHeight="1" spans="1:26">
      <c r="A887" s="152"/>
      <c r="B887" s="152"/>
      <c r="C887" s="152"/>
      <c r="D887" s="152"/>
      <c r="E887" s="152"/>
      <c r="F887" s="152"/>
      <c r="G887" s="152"/>
      <c r="H887" s="152"/>
      <c r="I887" s="152"/>
      <c r="J887" s="152"/>
      <c r="K887" s="152"/>
      <c r="L887" s="152"/>
      <c r="M887" s="152"/>
      <c r="N887" s="152"/>
      <c r="O887" s="152"/>
      <c r="P887" s="152"/>
      <c r="Q887" s="152"/>
      <c r="R887" s="152"/>
      <c r="S887" s="152"/>
      <c r="T887" s="152"/>
      <c r="U887" s="152"/>
      <c r="V887" s="152"/>
      <c r="W887" s="152"/>
      <c r="X887" s="152"/>
      <c r="Y887" s="152"/>
      <c r="Z887" s="152"/>
    </row>
    <row r="888" ht="12.8" customHeight="1" spans="1:26">
      <c r="A888" s="152"/>
      <c r="B888" s="152"/>
      <c r="C888" s="152"/>
      <c r="D888" s="152"/>
      <c r="E888" s="152"/>
      <c r="F888" s="152"/>
      <c r="G888" s="152"/>
      <c r="H888" s="152"/>
      <c r="I888" s="152"/>
      <c r="J888" s="152"/>
      <c r="K888" s="152"/>
      <c r="L888" s="152"/>
      <c r="M888" s="152"/>
      <c r="N888" s="152"/>
      <c r="O888" s="152"/>
      <c r="P888" s="152"/>
      <c r="Q888" s="152"/>
      <c r="R888" s="152"/>
      <c r="S888" s="152"/>
      <c r="T888" s="152"/>
      <c r="U888" s="152"/>
      <c r="V888" s="152"/>
      <c r="W888" s="152"/>
      <c r="X888" s="152"/>
      <c r="Y888" s="152"/>
      <c r="Z888" s="152"/>
    </row>
    <row r="889" ht="12.8" customHeight="1" spans="1:26">
      <c r="A889" s="152"/>
      <c r="B889" s="152"/>
      <c r="C889" s="152"/>
      <c r="D889" s="152"/>
      <c r="E889" s="152"/>
      <c r="F889" s="152"/>
      <c r="G889" s="152"/>
      <c r="H889" s="152"/>
      <c r="I889" s="152"/>
      <c r="J889" s="152"/>
      <c r="K889" s="152"/>
      <c r="L889" s="152"/>
      <c r="M889" s="152"/>
      <c r="N889" s="152"/>
      <c r="O889" s="152"/>
      <c r="P889" s="152"/>
      <c r="Q889" s="152"/>
      <c r="R889" s="152"/>
      <c r="S889" s="152"/>
      <c r="T889" s="152"/>
      <c r="U889" s="152"/>
      <c r="V889" s="152"/>
      <c r="W889" s="152"/>
      <c r="X889" s="152"/>
      <c r="Y889" s="152"/>
      <c r="Z889" s="152"/>
    </row>
    <row r="890" ht="12.8" customHeight="1" spans="1:26">
      <c r="A890" s="152"/>
      <c r="B890" s="152"/>
      <c r="C890" s="152"/>
      <c r="D890" s="152"/>
      <c r="E890" s="152"/>
      <c r="F890" s="152"/>
      <c r="G890" s="152"/>
      <c r="H890" s="152"/>
      <c r="I890" s="152"/>
      <c r="J890" s="152"/>
      <c r="K890" s="152"/>
      <c r="L890" s="152"/>
      <c r="M890" s="152"/>
      <c r="N890" s="152"/>
      <c r="O890" s="152"/>
      <c r="P890" s="152"/>
      <c r="Q890" s="152"/>
      <c r="R890" s="152"/>
      <c r="S890" s="152"/>
      <c r="T890" s="152"/>
      <c r="U890" s="152"/>
      <c r="V890" s="152"/>
      <c r="W890" s="152"/>
      <c r="X890" s="152"/>
      <c r="Y890" s="152"/>
      <c r="Z890" s="152"/>
    </row>
    <row r="891" ht="12.8" customHeight="1" spans="1:26">
      <c r="A891" s="152"/>
      <c r="B891" s="152"/>
      <c r="C891" s="152"/>
      <c r="D891" s="152"/>
      <c r="E891" s="152"/>
      <c r="F891" s="152"/>
      <c r="G891" s="152"/>
      <c r="H891" s="152"/>
      <c r="I891" s="152"/>
      <c r="J891" s="152"/>
      <c r="K891" s="152"/>
      <c r="L891" s="152"/>
      <c r="M891" s="152"/>
      <c r="N891" s="152"/>
      <c r="O891" s="152"/>
      <c r="P891" s="152"/>
      <c r="Q891" s="152"/>
      <c r="R891" s="152"/>
      <c r="S891" s="152"/>
      <c r="T891" s="152"/>
      <c r="U891" s="152"/>
      <c r="V891" s="152"/>
      <c r="W891" s="152"/>
      <c r="X891" s="152"/>
      <c r="Y891" s="152"/>
      <c r="Z891" s="152"/>
    </row>
    <row r="892" ht="12.8" customHeight="1" spans="1:26">
      <c r="A892" s="152"/>
      <c r="B892" s="152"/>
      <c r="C892" s="152"/>
      <c r="D892" s="152"/>
      <c r="E892" s="152"/>
      <c r="F892" s="152"/>
      <c r="G892" s="152"/>
      <c r="H892" s="152"/>
      <c r="I892" s="152"/>
      <c r="J892" s="152"/>
      <c r="K892" s="152"/>
      <c r="L892" s="152"/>
      <c r="M892" s="152"/>
      <c r="N892" s="152"/>
      <c r="O892" s="152"/>
      <c r="P892" s="152"/>
      <c r="Q892" s="152"/>
      <c r="R892" s="152"/>
      <c r="S892" s="152"/>
      <c r="T892" s="152"/>
      <c r="U892" s="152"/>
      <c r="V892" s="152"/>
      <c r="W892" s="152"/>
      <c r="X892" s="152"/>
      <c r="Y892" s="152"/>
      <c r="Z892" s="152"/>
    </row>
    <row r="893" ht="12.8" customHeight="1" spans="1:26">
      <c r="A893" s="152"/>
      <c r="B893" s="152"/>
      <c r="C893" s="152"/>
      <c r="D893" s="152"/>
      <c r="E893" s="152"/>
      <c r="F893" s="152"/>
      <c r="G893" s="152"/>
      <c r="H893" s="152"/>
      <c r="I893" s="152"/>
      <c r="J893" s="152"/>
      <c r="K893" s="152"/>
      <c r="L893" s="152"/>
      <c r="M893" s="152"/>
      <c r="N893" s="152"/>
      <c r="O893" s="152"/>
      <c r="P893" s="152"/>
      <c r="Q893" s="152"/>
      <c r="R893" s="152"/>
      <c r="S893" s="152"/>
      <c r="T893" s="152"/>
      <c r="U893" s="152"/>
      <c r="V893" s="152"/>
      <c r="W893" s="152"/>
      <c r="X893" s="152"/>
      <c r="Y893" s="152"/>
      <c r="Z893" s="152"/>
    </row>
    <row r="894" ht="12.8" customHeight="1" spans="1:26">
      <c r="A894" s="152"/>
      <c r="B894" s="152"/>
      <c r="C894" s="152"/>
      <c r="D894" s="152"/>
      <c r="E894" s="152"/>
      <c r="F894" s="152"/>
      <c r="G894" s="152"/>
      <c r="H894" s="152"/>
      <c r="I894" s="152"/>
      <c r="J894" s="152"/>
      <c r="K894" s="152"/>
      <c r="L894" s="152"/>
      <c r="M894" s="152"/>
      <c r="N894" s="152"/>
      <c r="O894" s="152"/>
      <c r="P894" s="152"/>
      <c r="Q894" s="152"/>
      <c r="R894" s="152"/>
      <c r="S894" s="152"/>
      <c r="T894" s="152"/>
      <c r="U894" s="152"/>
      <c r="V894" s="152"/>
      <c r="W894" s="152"/>
      <c r="X894" s="152"/>
      <c r="Y894" s="152"/>
      <c r="Z894" s="152"/>
    </row>
    <row r="895" ht="12.8" customHeight="1" spans="1:26">
      <c r="A895" s="152"/>
      <c r="B895" s="152"/>
      <c r="C895" s="152"/>
      <c r="D895" s="152"/>
      <c r="E895" s="152"/>
      <c r="F895" s="152"/>
      <c r="G895" s="152"/>
      <c r="H895" s="152"/>
      <c r="I895" s="152"/>
      <c r="J895" s="152"/>
      <c r="K895" s="152"/>
      <c r="L895" s="152"/>
      <c r="M895" s="152"/>
      <c r="N895" s="152"/>
      <c r="O895" s="152"/>
      <c r="P895" s="152"/>
      <c r="Q895" s="152"/>
      <c r="R895" s="152"/>
      <c r="S895" s="152"/>
      <c r="T895" s="152"/>
      <c r="U895" s="152"/>
      <c r="V895" s="152"/>
      <c r="W895" s="152"/>
      <c r="X895" s="152"/>
      <c r="Y895" s="152"/>
      <c r="Z895" s="152"/>
    </row>
    <row r="896" ht="12.8" customHeight="1" spans="1:26">
      <c r="A896" s="152"/>
      <c r="B896" s="152"/>
      <c r="C896" s="152"/>
      <c r="D896" s="152"/>
      <c r="E896" s="152"/>
      <c r="F896" s="152"/>
      <c r="G896" s="152"/>
      <c r="H896" s="152"/>
      <c r="I896" s="152"/>
      <c r="J896" s="152"/>
      <c r="K896" s="152"/>
      <c r="L896" s="152"/>
      <c r="M896" s="152"/>
      <c r="N896" s="152"/>
      <c r="O896" s="152"/>
      <c r="P896" s="152"/>
      <c r="Q896" s="152"/>
      <c r="R896" s="152"/>
      <c r="S896" s="152"/>
      <c r="T896" s="152"/>
      <c r="U896" s="152"/>
      <c r="V896" s="152"/>
      <c r="W896" s="152"/>
      <c r="X896" s="152"/>
      <c r="Y896" s="152"/>
      <c r="Z896" s="152"/>
    </row>
    <row r="897" ht="12.8" customHeight="1" spans="1:26">
      <c r="A897" s="152"/>
      <c r="B897" s="152"/>
      <c r="C897" s="152"/>
      <c r="D897" s="152"/>
      <c r="E897" s="152"/>
      <c r="F897" s="152"/>
      <c r="G897" s="152"/>
      <c r="H897" s="152"/>
      <c r="I897" s="152"/>
      <c r="J897" s="152"/>
      <c r="K897" s="152"/>
      <c r="L897" s="152"/>
      <c r="M897" s="152"/>
      <c r="N897" s="152"/>
      <c r="O897" s="152"/>
      <c r="P897" s="152"/>
      <c r="Q897" s="152"/>
      <c r="R897" s="152"/>
      <c r="S897" s="152"/>
      <c r="T897" s="152"/>
      <c r="U897" s="152"/>
      <c r="V897" s="152"/>
      <c r="W897" s="152"/>
      <c r="X897" s="152"/>
      <c r="Y897" s="152"/>
      <c r="Z897" s="152"/>
    </row>
    <row r="898" ht="12.8" customHeight="1" spans="1:26">
      <c r="A898" s="152"/>
      <c r="B898" s="152"/>
      <c r="C898" s="152"/>
      <c r="D898" s="152"/>
      <c r="E898" s="152"/>
      <c r="F898" s="152"/>
      <c r="G898" s="152"/>
      <c r="H898" s="152"/>
      <c r="I898" s="152"/>
      <c r="J898" s="152"/>
      <c r="K898" s="152"/>
      <c r="L898" s="152"/>
      <c r="M898" s="152"/>
      <c r="N898" s="152"/>
      <c r="O898" s="152"/>
      <c r="P898" s="152"/>
      <c r="Q898" s="152"/>
      <c r="R898" s="152"/>
      <c r="S898" s="152"/>
      <c r="T898" s="152"/>
      <c r="U898" s="152"/>
      <c r="V898" s="152"/>
      <c r="W898" s="152"/>
      <c r="X898" s="152"/>
      <c r="Y898" s="152"/>
      <c r="Z898" s="152"/>
    </row>
    <row r="899" ht="12.8" customHeight="1" spans="1:26">
      <c r="A899" s="152"/>
      <c r="B899" s="152"/>
      <c r="C899" s="152"/>
      <c r="D899" s="152"/>
      <c r="E899" s="152"/>
      <c r="F899" s="152"/>
      <c r="G899" s="152"/>
      <c r="H899" s="152"/>
      <c r="I899" s="152"/>
      <c r="J899" s="152"/>
      <c r="K899" s="152"/>
      <c r="L899" s="152"/>
      <c r="M899" s="152"/>
      <c r="N899" s="152"/>
      <c r="O899" s="152"/>
      <c r="P899" s="152"/>
      <c r="Q899" s="152"/>
      <c r="R899" s="152"/>
      <c r="S899" s="152"/>
      <c r="T899" s="152"/>
      <c r="U899" s="152"/>
      <c r="V899" s="152"/>
      <c r="W899" s="152"/>
      <c r="X899" s="152"/>
      <c r="Y899" s="152"/>
      <c r="Z899" s="152"/>
    </row>
    <row r="900" ht="12.8" customHeight="1" spans="1:26">
      <c r="A900" s="152"/>
      <c r="B900" s="152"/>
      <c r="C900" s="152"/>
      <c r="D900" s="152"/>
      <c r="E900" s="152"/>
      <c r="F900" s="152"/>
      <c r="G900" s="152"/>
      <c r="H900" s="152"/>
      <c r="I900" s="152"/>
      <c r="J900" s="152"/>
      <c r="K900" s="152"/>
      <c r="L900" s="152"/>
      <c r="M900" s="152"/>
      <c r="N900" s="152"/>
      <c r="O900" s="152"/>
      <c r="P900" s="152"/>
      <c r="Q900" s="152"/>
      <c r="R900" s="152"/>
      <c r="S900" s="152"/>
      <c r="T900" s="152"/>
      <c r="U900" s="152"/>
      <c r="V900" s="152"/>
      <c r="W900" s="152"/>
      <c r="X900" s="152"/>
      <c r="Y900" s="152"/>
      <c r="Z900" s="152"/>
    </row>
    <row r="901" ht="12.8" customHeight="1" spans="1:26">
      <c r="A901" s="152"/>
      <c r="B901" s="152"/>
      <c r="C901" s="152"/>
      <c r="D901" s="152"/>
      <c r="E901" s="152"/>
      <c r="F901" s="152"/>
      <c r="G901" s="152"/>
      <c r="H901" s="152"/>
      <c r="I901" s="152"/>
      <c r="J901" s="152"/>
      <c r="K901" s="152"/>
      <c r="L901" s="152"/>
      <c r="M901" s="152"/>
      <c r="N901" s="152"/>
      <c r="O901" s="152"/>
      <c r="P901" s="152"/>
      <c r="Q901" s="152"/>
      <c r="R901" s="152"/>
      <c r="S901" s="152"/>
      <c r="T901" s="152"/>
      <c r="U901" s="152"/>
      <c r="V901" s="152"/>
      <c r="W901" s="152"/>
      <c r="X901" s="152"/>
      <c r="Y901" s="152"/>
      <c r="Z901" s="152"/>
    </row>
    <row r="902" ht="12.8" customHeight="1" spans="1:26">
      <c r="A902" s="152"/>
      <c r="B902" s="152"/>
      <c r="C902" s="152"/>
      <c r="D902" s="152"/>
      <c r="E902" s="152"/>
      <c r="F902" s="152"/>
      <c r="G902" s="152"/>
      <c r="H902" s="152"/>
      <c r="I902" s="152"/>
      <c r="J902" s="152"/>
      <c r="K902" s="152"/>
      <c r="L902" s="152"/>
      <c r="M902" s="152"/>
      <c r="N902" s="152"/>
      <c r="O902" s="152"/>
      <c r="P902" s="152"/>
      <c r="Q902" s="152"/>
      <c r="R902" s="152"/>
      <c r="S902" s="152"/>
      <c r="T902" s="152"/>
      <c r="U902" s="152"/>
      <c r="V902" s="152"/>
      <c r="W902" s="152"/>
      <c r="X902" s="152"/>
      <c r="Y902" s="152"/>
      <c r="Z902" s="152"/>
    </row>
    <row r="903" ht="12.8" customHeight="1" spans="1:26">
      <c r="A903" s="152"/>
      <c r="B903" s="152"/>
      <c r="C903" s="152"/>
      <c r="D903" s="152"/>
      <c r="E903" s="152"/>
      <c r="F903" s="152"/>
      <c r="G903" s="152"/>
      <c r="H903" s="152"/>
      <c r="I903" s="152"/>
      <c r="J903" s="152"/>
      <c r="K903" s="152"/>
      <c r="L903" s="152"/>
      <c r="M903" s="152"/>
      <c r="N903" s="152"/>
      <c r="O903" s="152"/>
      <c r="P903" s="152"/>
      <c r="Q903" s="152"/>
      <c r="R903" s="152"/>
      <c r="S903" s="152"/>
      <c r="T903" s="152"/>
      <c r="U903" s="152"/>
      <c r="V903" s="152"/>
      <c r="W903" s="152"/>
      <c r="X903" s="152"/>
      <c r="Y903" s="152"/>
      <c r="Z903" s="152"/>
    </row>
    <row r="904" ht="12.8" customHeight="1" spans="1:26">
      <c r="A904" s="152"/>
      <c r="B904" s="152"/>
      <c r="C904" s="152"/>
      <c r="D904" s="152"/>
      <c r="E904" s="152"/>
      <c r="F904" s="152"/>
      <c r="G904" s="152"/>
      <c r="H904" s="152"/>
      <c r="I904" s="152"/>
      <c r="J904" s="152"/>
      <c r="K904" s="152"/>
      <c r="L904" s="152"/>
      <c r="M904" s="152"/>
      <c r="N904" s="152"/>
      <c r="O904" s="152"/>
      <c r="P904" s="152"/>
      <c r="Q904" s="152"/>
      <c r="R904" s="152"/>
      <c r="S904" s="152"/>
      <c r="T904" s="152"/>
      <c r="U904" s="152"/>
      <c r="V904" s="152"/>
      <c r="W904" s="152"/>
      <c r="X904" s="152"/>
      <c r="Y904" s="152"/>
      <c r="Z904" s="152"/>
    </row>
    <row r="905" ht="12.8" customHeight="1" spans="1:26">
      <c r="A905" s="152"/>
      <c r="B905" s="152"/>
      <c r="C905" s="152"/>
      <c r="D905" s="152"/>
      <c r="E905" s="152"/>
      <c r="F905" s="152"/>
      <c r="G905" s="152"/>
      <c r="H905" s="152"/>
      <c r="I905" s="152"/>
      <c r="J905" s="152"/>
      <c r="K905" s="152"/>
      <c r="L905" s="152"/>
      <c r="M905" s="152"/>
      <c r="N905" s="152"/>
      <c r="O905" s="152"/>
      <c r="P905" s="152"/>
      <c r="Q905" s="152"/>
      <c r="R905" s="152"/>
      <c r="S905" s="152"/>
      <c r="T905" s="152"/>
      <c r="U905" s="152"/>
      <c r="V905" s="152"/>
      <c r="W905" s="152"/>
      <c r="X905" s="152"/>
      <c r="Y905" s="152"/>
      <c r="Z905" s="152"/>
    </row>
    <row r="906" ht="12.8" customHeight="1" spans="1:26">
      <c r="A906" s="152"/>
      <c r="B906" s="152"/>
      <c r="C906" s="152"/>
      <c r="D906" s="152"/>
      <c r="E906" s="152"/>
      <c r="F906" s="152"/>
      <c r="G906" s="152"/>
      <c r="H906" s="152"/>
      <c r="I906" s="152"/>
      <c r="J906" s="152"/>
      <c r="K906" s="152"/>
      <c r="L906" s="152"/>
      <c r="M906" s="152"/>
      <c r="N906" s="152"/>
      <c r="O906" s="152"/>
      <c r="P906" s="152"/>
      <c r="Q906" s="152"/>
      <c r="R906" s="152"/>
      <c r="S906" s="152"/>
      <c r="T906" s="152"/>
      <c r="U906" s="152"/>
      <c r="V906" s="152"/>
      <c r="W906" s="152"/>
      <c r="X906" s="152"/>
      <c r="Y906" s="152"/>
      <c r="Z906" s="152"/>
    </row>
    <row r="907" ht="12.8" customHeight="1" spans="1:26">
      <c r="A907" s="152"/>
      <c r="B907" s="152"/>
      <c r="C907" s="152"/>
      <c r="D907" s="152"/>
      <c r="E907" s="152"/>
      <c r="F907" s="152"/>
      <c r="G907" s="152"/>
      <c r="H907" s="152"/>
      <c r="I907" s="152"/>
      <c r="J907" s="152"/>
      <c r="K907" s="152"/>
      <c r="L907" s="152"/>
      <c r="M907" s="152"/>
      <c r="N907" s="152"/>
      <c r="O907" s="152"/>
      <c r="P907" s="152"/>
      <c r="Q907" s="152"/>
      <c r="R907" s="152"/>
      <c r="S907" s="152"/>
      <c r="T907" s="152"/>
      <c r="U907" s="152"/>
      <c r="V907" s="152"/>
      <c r="W907" s="152"/>
      <c r="X907" s="152"/>
      <c r="Y907" s="152"/>
      <c r="Z907" s="152"/>
    </row>
    <row r="908" ht="12.8" customHeight="1" spans="1:26">
      <c r="A908" s="152"/>
      <c r="B908" s="152"/>
      <c r="C908" s="152"/>
      <c r="D908" s="152"/>
      <c r="E908" s="152"/>
      <c r="F908" s="152"/>
      <c r="G908" s="152"/>
      <c r="H908" s="152"/>
      <c r="I908" s="152"/>
      <c r="J908" s="152"/>
      <c r="K908" s="152"/>
      <c r="L908" s="152"/>
      <c r="M908" s="152"/>
      <c r="N908" s="152"/>
      <c r="O908" s="152"/>
      <c r="P908" s="152"/>
      <c r="Q908" s="152"/>
      <c r="R908" s="152"/>
      <c r="S908" s="152"/>
      <c r="T908" s="152"/>
      <c r="U908" s="152"/>
      <c r="V908" s="152"/>
      <c r="W908" s="152"/>
      <c r="X908" s="152"/>
      <c r="Y908" s="152"/>
      <c r="Z908" s="152"/>
    </row>
    <row r="909" ht="12.8" customHeight="1" spans="1:26">
      <c r="A909" s="152"/>
      <c r="B909" s="152"/>
      <c r="C909" s="152"/>
      <c r="D909" s="152"/>
      <c r="E909" s="152"/>
      <c r="F909" s="152"/>
      <c r="G909" s="152"/>
      <c r="H909" s="152"/>
      <c r="I909" s="152"/>
      <c r="J909" s="152"/>
      <c r="K909" s="152"/>
      <c r="L909" s="152"/>
      <c r="M909" s="152"/>
      <c r="N909" s="152"/>
      <c r="O909" s="152"/>
      <c r="P909" s="152"/>
      <c r="Q909" s="152"/>
      <c r="R909" s="152"/>
      <c r="S909" s="152"/>
      <c r="T909" s="152"/>
      <c r="U909" s="152"/>
      <c r="V909" s="152"/>
      <c r="W909" s="152"/>
      <c r="X909" s="152"/>
      <c r="Y909" s="152"/>
      <c r="Z909" s="152"/>
    </row>
    <row r="910" ht="12.8" customHeight="1" spans="1:26">
      <c r="A910" s="152"/>
      <c r="B910" s="152"/>
      <c r="C910" s="152"/>
      <c r="D910" s="152"/>
      <c r="E910" s="152"/>
      <c r="F910" s="152"/>
      <c r="G910" s="152"/>
      <c r="H910" s="152"/>
      <c r="I910" s="152"/>
      <c r="J910" s="152"/>
      <c r="K910" s="152"/>
      <c r="L910" s="152"/>
      <c r="M910" s="152"/>
      <c r="N910" s="152"/>
      <c r="O910" s="152"/>
      <c r="P910" s="152"/>
      <c r="Q910" s="152"/>
      <c r="R910" s="152"/>
      <c r="S910" s="152"/>
      <c r="T910" s="152"/>
      <c r="U910" s="152"/>
      <c r="V910" s="152"/>
      <c r="W910" s="152"/>
      <c r="X910" s="152"/>
      <c r="Y910" s="152"/>
      <c r="Z910" s="152"/>
    </row>
    <row r="911" ht="12.8" customHeight="1" spans="1:26">
      <c r="A911" s="152"/>
      <c r="B911" s="152"/>
      <c r="C911" s="152"/>
      <c r="D911" s="152"/>
      <c r="E911" s="152"/>
      <c r="F911" s="152"/>
      <c r="G911" s="152"/>
      <c r="H911" s="152"/>
      <c r="I911" s="152"/>
      <c r="J911" s="152"/>
      <c r="K911" s="152"/>
      <c r="L911" s="152"/>
      <c r="M911" s="152"/>
      <c r="N911" s="152"/>
      <c r="O911" s="152"/>
      <c r="P911" s="152"/>
      <c r="Q911" s="152"/>
      <c r="R911" s="152"/>
      <c r="S911" s="152"/>
      <c r="T911" s="152"/>
      <c r="U911" s="152"/>
      <c r="V911" s="152"/>
      <c r="W911" s="152"/>
      <c r="X911" s="152"/>
      <c r="Y911" s="152"/>
      <c r="Z911" s="152"/>
    </row>
    <row r="912" ht="12.8" customHeight="1" spans="1:26">
      <c r="A912" s="152"/>
      <c r="B912" s="152"/>
      <c r="C912" s="152"/>
      <c r="D912" s="152"/>
      <c r="E912" s="152"/>
      <c r="F912" s="152"/>
      <c r="G912" s="152"/>
      <c r="H912" s="152"/>
      <c r="I912" s="152"/>
      <c r="J912" s="152"/>
      <c r="K912" s="152"/>
      <c r="L912" s="152"/>
      <c r="M912" s="152"/>
      <c r="N912" s="152"/>
      <c r="O912" s="152"/>
      <c r="P912" s="152"/>
      <c r="Q912" s="152"/>
      <c r="R912" s="152"/>
      <c r="S912" s="152"/>
      <c r="T912" s="152"/>
      <c r="U912" s="152"/>
      <c r="V912" s="152"/>
      <c r="W912" s="152"/>
      <c r="X912" s="152"/>
      <c r="Y912" s="152"/>
      <c r="Z912" s="152"/>
    </row>
    <row r="913" ht="12.8" customHeight="1" spans="1:26">
      <c r="A913" s="152"/>
      <c r="B913" s="152"/>
      <c r="C913" s="152"/>
      <c r="D913" s="152"/>
      <c r="E913" s="152"/>
      <c r="F913" s="152"/>
      <c r="G913" s="152"/>
      <c r="H913" s="152"/>
      <c r="I913" s="152"/>
      <c r="J913" s="152"/>
      <c r="K913" s="152"/>
      <c r="L913" s="152"/>
      <c r="M913" s="152"/>
      <c r="N913" s="152"/>
      <c r="O913" s="152"/>
      <c r="P913" s="152"/>
      <c r="Q913" s="152"/>
      <c r="R913" s="152"/>
      <c r="S913" s="152"/>
      <c r="T913" s="152"/>
      <c r="U913" s="152"/>
      <c r="V913" s="152"/>
      <c r="W913" s="152"/>
      <c r="X913" s="152"/>
      <c r="Y913" s="152"/>
      <c r="Z913" s="152"/>
    </row>
    <row r="914" ht="12.8" customHeight="1" spans="1:26">
      <c r="A914" s="152"/>
      <c r="B914" s="152"/>
      <c r="C914" s="152"/>
      <c r="D914" s="152"/>
      <c r="E914" s="152"/>
      <c r="F914" s="152"/>
      <c r="G914" s="152"/>
      <c r="H914" s="152"/>
      <c r="I914" s="152"/>
      <c r="J914" s="152"/>
      <c r="K914" s="152"/>
      <c r="L914" s="152"/>
      <c r="M914" s="152"/>
      <c r="N914" s="152"/>
      <c r="O914" s="152"/>
      <c r="P914" s="152"/>
      <c r="Q914" s="152"/>
      <c r="R914" s="152"/>
      <c r="S914" s="152"/>
      <c r="T914" s="152"/>
      <c r="U914" s="152"/>
      <c r="V914" s="152"/>
      <c r="W914" s="152"/>
      <c r="X914" s="152"/>
      <c r="Y914" s="152"/>
      <c r="Z914" s="152"/>
    </row>
    <row r="915" ht="12.8" customHeight="1" spans="1:26">
      <c r="A915" s="152"/>
      <c r="B915" s="152"/>
      <c r="C915" s="152"/>
      <c r="D915" s="152"/>
      <c r="E915" s="152"/>
      <c r="F915" s="152"/>
      <c r="G915" s="152"/>
      <c r="H915" s="152"/>
      <c r="I915" s="152"/>
      <c r="J915" s="152"/>
      <c r="K915" s="152"/>
      <c r="L915" s="152"/>
      <c r="M915" s="152"/>
      <c r="N915" s="152"/>
      <c r="O915" s="152"/>
      <c r="P915" s="152"/>
      <c r="Q915" s="152"/>
      <c r="R915" s="152"/>
      <c r="S915" s="152"/>
      <c r="T915" s="152"/>
      <c r="U915" s="152"/>
      <c r="V915" s="152"/>
      <c r="W915" s="152"/>
      <c r="X915" s="152"/>
      <c r="Y915" s="152"/>
      <c r="Z915" s="152"/>
    </row>
    <row r="916" ht="12.8" customHeight="1" spans="1:26">
      <c r="A916" s="152"/>
      <c r="B916" s="152"/>
      <c r="C916" s="152"/>
      <c r="D916" s="152"/>
      <c r="E916" s="152"/>
      <c r="F916" s="152"/>
      <c r="G916" s="152"/>
      <c r="H916" s="152"/>
      <c r="I916" s="152"/>
      <c r="J916" s="152"/>
      <c r="K916" s="152"/>
      <c r="L916" s="152"/>
      <c r="M916" s="152"/>
      <c r="N916" s="152"/>
      <c r="O916" s="152"/>
      <c r="P916" s="152"/>
      <c r="Q916" s="152"/>
      <c r="R916" s="152"/>
      <c r="S916" s="152"/>
      <c r="T916" s="152"/>
      <c r="U916" s="152"/>
      <c r="V916" s="152"/>
      <c r="W916" s="152"/>
      <c r="X916" s="152"/>
      <c r="Y916" s="152"/>
      <c r="Z916" s="152"/>
    </row>
    <row r="917" ht="12.8" customHeight="1" spans="1:26">
      <c r="A917" s="152"/>
      <c r="B917" s="152"/>
      <c r="C917" s="152"/>
      <c r="D917" s="152"/>
      <c r="E917" s="152"/>
      <c r="F917" s="152"/>
      <c r="G917" s="152"/>
      <c r="H917" s="152"/>
      <c r="I917" s="152"/>
      <c r="J917" s="152"/>
      <c r="K917" s="152"/>
      <c r="L917" s="152"/>
      <c r="M917" s="152"/>
      <c r="N917" s="152"/>
      <c r="O917" s="152"/>
      <c r="P917" s="152"/>
      <c r="Q917" s="152"/>
      <c r="R917" s="152"/>
      <c r="S917" s="152"/>
      <c r="T917" s="152"/>
      <c r="U917" s="152"/>
      <c r="V917" s="152"/>
      <c r="W917" s="152"/>
      <c r="X917" s="152"/>
      <c r="Y917" s="152"/>
      <c r="Z917" s="152"/>
    </row>
    <row r="918" ht="12.8" customHeight="1" spans="1:26">
      <c r="A918" s="152"/>
      <c r="B918" s="152"/>
      <c r="C918" s="152"/>
      <c r="D918" s="152"/>
      <c r="E918" s="152"/>
      <c r="F918" s="152"/>
      <c r="G918" s="152"/>
      <c r="H918" s="152"/>
      <c r="I918" s="152"/>
      <c r="J918" s="152"/>
      <c r="K918" s="152"/>
      <c r="L918" s="152"/>
      <c r="M918" s="152"/>
      <c r="N918" s="152"/>
      <c r="O918" s="152"/>
      <c r="P918" s="152"/>
      <c r="Q918" s="152"/>
      <c r="R918" s="152"/>
      <c r="S918" s="152"/>
      <c r="T918" s="152"/>
      <c r="U918" s="152"/>
      <c r="V918" s="152"/>
      <c r="W918" s="152"/>
      <c r="X918" s="152"/>
      <c r="Y918" s="152"/>
      <c r="Z918" s="152"/>
    </row>
    <row r="919" ht="12.8" customHeight="1" spans="1:26">
      <c r="A919" s="152"/>
      <c r="B919" s="152"/>
      <c r="C919" s="152"/>
      <c r="D919" s="152"/>
      <c r="E919" s="152"/>
      <c r="F919" s="152"/>
      <c r="G919" s="152"/>
      <c r="H919" s="152"/>
      <c r="I919" s="152"/>
      <c r="J919" s="152"/>
      <c r="K919" s="152"/>
      <c r="L919" s="152"/>
      <c r="M919" s="152"/>
      <c r="N919" s="152"/>
      <c r="O919" s="152"/>
      <c r="P919" s="152"/>
      <c r="Q919" s="152"/>
      <c r="R919" s="152"/>
      <c r="S919" s="152"/>
      <c r="T919" s="152"/>
      <c r="U919" s="152"/>
      <c r="V919" s="152"/>
      <c r="W919" s="152"/>
      <c r="X919" s="152"/>
      <c r="Y919" s="152"/>
      <c r="Z919" s="152"/>
    </row>
    <row r="920" ht="12.8" customHeight="1" spans="1:26">
      <c r="A920" s="152"/>
      <c r="B920" s="152"/>
      <c r="C920" s="152"/>
      <c r="D920" s="152"/>
      <c r="E920" s="152"/>
      <c r="F920" s="152"/>
      <c r="G920" s="152"/>
      <c r="H920" s="152"/>
      <c r="I920" s="152"/>
      <c r="J920" s="152"/>
      <c r="K920" s="152"/>
      <c r="L920" s="152"/>
      <c r="M920" s="152"/>
      <c r="N920" s="152"/>
      <c r="O920" s="152"/>
      <c r="P920" s="152"/>
      <c r="Q920" s="152"/>
      <c r="R920" s="152"/>
      <c r="S920" s="152"/>
      <c r="T920" s="152"/>
      <c r="U920" s="152"/>
      <c r="V920" s="152"/>
      <c r="W920" s="152"/>
      <c r="X920" s="152"/>
      <c r="Y920" s="152"/>
      <c r="Z920" s="152"/>
    </row>
    <row r="921" ht="12.8" customHeight="1" spans="1:26">
      <c r="A921" s="152"/>
      <c r="B921" s="152"/>
      <c r="C921" s="152"/>
      <c r="D921" s="152"/>
      <c r="E921" s="152"/>
      <c r="F921" s="152"/>
      <c r="G921" s="152"/>
      <c r="H921" s="152"/>
      <c r="I921" s="152"/>
      <c r="J921" s="152"/>
      <c r="K921" s="152"/>
      <c r="L921" s="152"/>
      <c r="M921" s="152"/>
      <c r="N921" s="152"/>
      <c r="O921" s="152"/>
      <c r="P921" s="152"/>
      <c r="Q921" s="152"/>
      <c r="R921" s="152"/>
      <c r="S921" s="152"/>
      <c r="T921" s="152"/>
      <c r="U921" s="152"/>
      <c r="V921" s="152"/>
      <c r="W921" s="152"/>
      <c r="X921" s="152"/>
      <c r="Y921" s="152"/>
      <c r="Z921" s="152"/>
    </row>
    <row r="922" ht="12.8" customHeight="1" spans="1:26">
      <c r="A922" s="152"/>
      <c r="B922" s="152"/>
      <c r="C922" s="152"/>
      <c r="D922" s="152"/>
      <c r="E922" s="152"/>
      <c r="F922" s="152"/>
      <c r="G922" s="152"/>
      <c r="H922" s="152"/>
      <c r="I922" s="152"/>
      <c r="J922" s="152"/>
      <c r="K922" s="152"/>
      <c r="L922" s="152"/>
      <c r="M922" s="152"/>
      <c r="N922" s="152"/>
      <c r="O922" s="152"/>
      <c r="P922" s="152"/>
      <c r="Q922" s="152"/>
      <c r="R922" s="152"/>
      <c r="S922" s="152"/>
      <c r="T922" s="152"/>
      <c r="U922" s="152"/>
      <c r="V922" s="152"/>
      <c r="W922" s="152"/>
      <c r="X922" s="152"/>
      <c r="Y922" s="152"/>
      <c r="Z922" s="152"/>
    </row>
    <row r="923" ht="12.8" customHeight="1" spans="1:26">
      <c r="A923" s="152"/>
      <c r="B923" s="152"/>
      <c r="C923" s="152"/>
      <c r="D923" s="152"/>
      <c r="E923" s="152"/>
      <c r="F923" s="152"/>
      <c r="G923" s="152"/>
      <c r="H923" s="152"/>
      <c r="I923" s="152"/>
      <c r="J923" s="152"/>
      <c r="K923" s="152"/>
      <c r="L923" s="152"/>
      <c r="M923" s="152"/>
      <c r="N923" s="152"/>
      <c r="O923" s="152"/>
      <c r="P923" s="152"/>
      <c r="Q923" s="152"/>
      <c r="R923" s="152"/>
      <c r="S923" s="152"/>
      <c r="T923" s="152"/>
      <c r="U923" s="152"/>
      <c r="V923" s="152"/>
      <c r="W923" s="152"/>
      <c r="X923" s="152"/>
      <c r="Y923" s="152"/>
      <c r="Z923" s="152"/>
    </row>
    <row r="924" ht="12.8" customHeight="1" spans="1:26">
      <c r="A924" s="152"/>
      <c r="B924" s="152"/>
      <c r="C924" s="152"/>
      <c r="D924" s="152"/>
      <c r="E924" s="152"/>
      <c r="F924" s="152"/>
      <c r="G924" s="152"/>
      <c r="H924" s="152"/>
      <c r="I924" s="152"/>
      <c r="J924" s="152"/>
      <c r="K924" s="152"/>
      <c r="L924" s="152"/>
      <c r="M924" s="152"/>
      <c r="N924" s="152"/>
      <c r="O924" s="152"/>
      <c r="P924" s="152"/>
      <c r="Q924" s="152"/>
      <c r="R924" s="152"/>
      <c r="S924" s="152"/>
      <c r="T924" s="152"/>
      <c r="U924" s="152"/>
      <c r="V924" s="152"/>
      <c r="W924" s="152"/>
      <c r="X924" s="152"/>
      <c r="Y924" s="152"/>
      <c r="Z924" s="152"/>
    </row>
    <row r="925" ht="12.8" customHeight="1" spans="1:26">
      <c r="A925" s="152"/>
      <c r="B925" s="152"/>
      <c r="C925" s="152"/>
      <c r="D925" s="152"/>
      <c r="E925" s="152"/>
      <c r="F925" s="152"/>
      <c r="G925" s="152"/>
      <c r="H925" s="152"/>
      <c r="I925" s="152"/>
      <c r="J925" s="152"/>
      <c r="K925" s="152"/>
      <c r="L925" s="152"/>
      <c r="M925" s="152"/>
      <c r="N925" s="152"/>
      <c r="O925" s="152"/>
      <c r="P925" s="152"/>
      <c r="Q925" s="152"/>
      <c r="R925" s="152"/>
      <c r="S925" s="152"/>
      <c r="T925" s="152"/>
      <c r="U925" s="152"/>
      <c r="V925" s="152"/>
      <c r="W925" s="152"/>
      <c r="X925" s="152"/>
      <c r="Y925" s="152"/>
      <c r="Z925" s="152"/>
    </row>
    <row r="926" ht="12.8" customHeight="1" spans="1:26">
      <c r="A926" s="152"/>
      <c r="B926" s="152"/>
      <c r="C926" s="152"/>
      <c r="D926" s="152"/>
      <c r="E926" s="152"/>
      <c r="F926" s="152"/>
      <c r="G926" s="152"/>
      <c r="H926" s="152"/>
      <c r="I926" s="152"/>
      <c r="J926" s="152"/>
      <c r="K926" s="152"/>
      <c r="L926" s="152"/>
      <c r="M926" s="152"/>
      <c r="N926" s="152"/>
      <c r="O926" s="152"/>
      <c r="P926" s="152"/>
      <c r="Q926" s="152"/>
      <c r="R926" s="152"/>
      <c r="S926" s="152"/>
      <c r="T926" s="152"/>
      <c r="U926" s="152"/>
      <c r="V926" s="152"/>
      <c r="W926" s="152"/>
      <c r="X926" s="152"/>
      <c r="Y926" s="152"/>
      <c r="Z926" s="152"/>
    </row>
    <row r="927" ht="12.8" customHeight="1" spans="1:26">
      <c r="A927" s="152"/>
      <c r="B927" s="152"/>
      <c r="C927" s="152"/>
      <c r="D927" s="152"/>
      <c r="E927" s="152"/>
      <c r="F927" s="152"/>
      <c r="G927" s="152"/>
      <c r="H927" s="152"/>
      <c r="I927" s="152"/>
      <c r="J927" s="152"/>
      <c r="K927" s="152"/>
      <c r="L927" s="152"/>
      <c r="M927" s="152"/>
      <c r="N927" s="152"/>
      <c r="O927" s="152"/>
      <c r="P927" s="152"/>
      <c r="Q927" s="152"/>
      <c r="R927" s="152"/>
      <c r="S927" s="152"/>
      <c r="T927" s="152"/>
      <c r="U927" s="152"/>
      <c r="V927" s="152"/>
      <c r="W927" s="152"/>
      <c r="X927" s="152"/>
      <c r="Y927" s="152"/>
      <c r="Z927" s="152"/>
    </row>
    <row r="928" ht="12.8" customHeight="1" spans="1:26">
      <c r="A928" s="152"/>
      <c r="B928" s="152"/>
      <c r="C928" s="152"/>
      <c r="D928" s="152"/>
      <c r="E928" s="152"/>
      <c r="F928" s="152"/>
      <c r="G928" s="152"/>
      <c r="H928" s="152"/>
      <c r="I928" s="152"/>
      <c r="J928" s="152"/>
      <c r="K928" s="152"/>
      <c r="L928" s="152"/>
      <c r="M928" s="152"/>
      <c r="N928" s="152"/>
      <c r="O928" s="152"/>
      <c r="P928" s="152"/>
      <c r="Q928" s="152"/>
      <c r="R928" s="152"/>
      <c r="S928" s="152"/>
      <c r="T928" s="152"/>
      <c r="U928" s="152"/>
      <c r="V928" s="152"/>
      <c r="W928" s="152"/>
      <c r="X928" s="152"/>
      <c r="Y928" s="152"/>
      <c r="Z928" s="152"/>
    </row>
    <row r="929" ht="12.8" customHeight="1" spans="1:26">
      <c r="A929" s="152"/>
      <c r="B929" s="152"/>
      <c r="C929" s="152"/>
      <c r="D929" s="152"/>
      <c r="E929" s="152"/>
      <c r="F929" s="152"/>
      <c r="G929" s="152"/>
      <c r="H929" s="152"/>
      <c r="I929" s="152"/>
      <c r="J929" s="152"/>
      <c r="K929" s="152"/>
      <c r="L929" s="152"/>
      <c r="M929" s="152"/>
      <c r="N929" s="152"/>
      <c r="O929" s="152"/>
      <c r="P929" s="152"/>
      <c r="Q929" s="152"/>
      <c r="R929" s="152"/>
      <c r="S929" s="152"/>
      <c r="T929" s="152"/>
      <c r="U929" s="152"/>
      <c r="V929" s="152"/>
      <c r="W929" s="152"/>
      <c r="X929" s="152"/>
      <c r="Y929" s="152"/>
      <c r="Z929" s="152"/>
    </row>
    <row r="930" ht="12.8" customHeight="1" spans="1:26">
      <c r="A930" s="152"/>
      <c r="B930" s="152"/>
      <c r="C930" s="152"/>
      <c r="D930" s="152"/>
      <c r="E930" s="152"/>
      <c r="F930" s="152"/>
      <c r="G930" s="152"/>
      <c r="H930" s="152"/>
      <c r="I930" s="152"/>
      <c r="J930" s="152"/>
      <c r="K930" s="152"/>
      <c r="L930" s="152"/>
      <c r="M930" s="152"/>
      <c r="N930" s="152"/>
      <c r="O930" s="152"/>
      <c r="P930" s="152"/>
      <c r="Q930" s="152"/>
      <c r="R930" s="152"/>
      <c r="S930" s="152"/>
      <c r="T930" s="152"/>
      <c r="U930" s="152"/>
      <c r="V930" s="152"/>
      <c r="W930" s="152"/>
      <c r="X930" s="152"/>
      <c r="Y930" s="152"/>
      <c r="Z930" s="152"/>
    </row>
    <row r="931" ht="12.8" customHeight="1" spans="1:26">
      <c r="A931" s="152"/>
      <c r="B931" s="152"/>
      <c r="C931" s="152"/>
      <c r="D931" s="152"/>
      <c r="E931" s="152"/>
      <c r="F931" s="152"/>
      <c r="G931" s="152"/>
      <c r="H931" s="152"/>
      <c r="I931" s="152"/>
      <c r="J931" s="152"/>
      <c r="K931" s="152"/>
      <c r="L931" s="152"/>
      <c r="M931" s="152"/>
      <c r="N931" s="152"/>
      <c r="O931" s="152"/>
      <c r="P931" s="152"/>
      <c r="Q931" s="152"/>
      <c r="R931" s="152"/>
      <c r="S931" s="152"/>
      <c r="T931" s="152"/>
      <c r="U931" s="152"/>
      <c r="V931" s="152"/>
      <c r="W931" s="152"/>
      <c r="X931" s="152"/>
      <c r="Y931" s="152"/>
      <c r="Z931" s="152"/>
    </row>
    <row r="932" ht="12.8" customHeight="1" spans="1:26">
      <c r="A932" s="152"/>
      <c r="B932" s="152"/>
      <c r="C932" s="152"/>
      <c r="D932" s="152"/>
      <c r="E932" s="152"/>
      <c r="F932" s="152"/>
      <c r="G932" s="152"/>
      <c r="H932" s="152"/>
      <c r="I932" s="152"/>
      <c r="J932" s="152"/>
      <c r="K932" s="152"/>
      <c r="L932" s="152"/>
      <c r="M932" s="152"/>
      <c r="N932" s="152"/>
      <c r="O932" s="152"/>
      <c r="P932" s="152"/>
      <c r="Q932" s="152"/>
      <c r="R932" s="152"/>
      <c r="S932" s="152"/>
      <c r="T932" s="152"/>
      <c r="U932" s="152"/>
      <c r="V932" s="152"/>
      <c r="W932" s="152"/>
      <c r="X932" s="152"/>
      <c r="Y932" s="152"/>
      <c r="Z932" s="152"/>
    </row>
    <row r="933" ht="12.8" customHeight="1" spans="1:26">
      <c r="A933" s="152"/>
      <c r="B933" s="152"/>
      <c r="C933" s="152"/>
      <c r="D933" s="152"/>
      <c r="E933" s="152"/>
      <c r="F933" s="152"/>
      <c r="G933" s="152"/>
      <c r="H933" s="152"/>
      <c r="I933" s="152"/>
      <c r="J933" s="152"/>
      <c r="K933" s="152"/>
      <c r="L933" s="152"/>
      <c r="M933" s="152"/>
      <c r="N933" s="152"/>
      <c r="O933" s="152"/>
      <c r="P933" s="152"/>
      <c r="Q933" s="152"/>
      <c r="R933" s="152"/>
      <c r="S933" s="152"/>
      <c r="T933" s="152"/>
      <c r="U933" s="152"/>
      <c r="V933" s="152"/>
      <c r="W933" s="152"/>
      <c r="X933" s="152"/>
      <c r="Y933" s="152"/>
      <c r="Z933" s="152"/>
    </row>
    <row r="934" ht="12.8" customHeight="1" spans="1:26">
      <c r="A934" s="152"/>
      <c r="B934" s="152"/>
      <c r="C934" s="152"/>
      <c r="D934" s="152"/>
      <c r="E934" s="152"/>
      <c r="F934" s="152"/>
      <c r="G934" s="152"/>
      <c r="H934" s="152"/>
      <c r="I934" s="152"/>
      <c r="J934" s="152"/>
      <c r="K934" s="152"/>
      <c r="L934" s="152"/>
      <c r="M934" s="152"/>
      <c r="N934" s="152"/>
      <c r="O934" s="152"/>
      <c r="P934" s="152"/>
      <c r="Q934" s="152"/>
      <c r="R934" s="152"/>
      <c r="S934" s="152"/>
      <c r="T934" s="152"/>
      <c r="U934" s="152"/>
      <c r="V934" s="152"/>
      <c r="W934" s="152"/>
      <c r="X934" s="152"/>
      <c r="Y934" s="152"/>
      <c r="Z934" s="152"/>
    </row>
    <row r="935" ht="12.8" customHeight="1" spans="1:26">
      <c r="A935" s="152"/>
      <c r="B935" s="152"/>
      <c r="C935" s="152"/>
      <c r="D935" s="152"/>
      <c r="E935" s="152"/>
      <c r="F935" s="152"/>
      <c r="G935" s="152"/>
      <c r="H935" s="152"/>
      <c r="I935" s="152"/>
      <c r="J935" s="152"/>
      <c r="K935" s="152"/>
      <c r="L935" s="152"/>
      <c r="M935" s="152"/>
      <c r="N935" s="152"/>
      <c r="O935" s="152"/>
      <c r="P935" s="152"/>
      <c r="Q935" s="152"/>
      <c r="R935" s="152"/>
      <c r="S935" s="152"/>
      <c r="T935" s="152"/>
      <c r="U935" s="152"/>
      <c r="V935" s="152"/>
      <c r="W935" s="152"/>
      <c r="X935" s="152"/>
      <c r="Y935" s="152"/>
      <c r="Z935" s="152"/>
    </row>
    <row r="936" ht="12.8" customHeight="1" spans="1:26">
      <c r="A936" s="152"/>
      <c r="B936" s="152"/>
      <c r="C936" s="152"/>
      <c r="D936" s="152"/>
      <c r="E936" s="152"/>
      <c r="F936" s="152"/>
      <c r="G936" s="152"/>
      <c r="H936" s="152"/>
      <c r="I936" s="152"/>
      <c r="J936" s="152"/>
      <c r="K936" s="152"/>
      <c r="L936" s="152"/>
      <c r="M936" s="152"/>
      <c r="N936" s="152"/>
      <c r="O936" s="152"/>
      <c r="P936" s="152"/>
      <c r="Q936" s="152"/>
      <c r="R936" s="152"/>
      <c r="S936" s="152"/>
      <c r="T936" s="152"/>
      <c r="U936" s="152"/>
      <c r="V936" s="152"/>
      <c r="W936" s="152"/>
      <c r="X936" s="152"/>
      <c r="Y936" s="152"/>
      <c r="Z936" s="152"/>
    </row>
    <row r="937" ht="12.8" customHeight="1" spans="1:26">
      <c r="A937" s="152"/>
      <c r="B937" s="152"/>
      <c r="C937" s="152"/>
      <c r="D937" s="152"/>
      <c r="E937" s="152"/>
      <c r="F937" s="152"/>
      <c r="G937" s="152"/>
      <c r="H937" s="152"/>
      <c r="I937" s="152"/>
      <c r="J937" s="152"/>
      <c r="K937" s="152"/>
      <c r="L937" s="152"/>
      <c r="M937" s="152"/>
      <c r="N937" s="152"/>
      <c r="O937" s="152"/>
      <c r="P937" s="152"/>
      <c r="Q937" s="152"/>
      <c r="R937" s="152"/>
      <c r="S937" s="152"/>
      <c r="T937" s="152"/>
      <c r="U937" s="152"/>
      <c r="V937" s="152"/>
      <c r="W937" s="152"/>
      <c r="X937" s="152"/>
      <c r="Y937" s="152"/>
      <c r="Z937" s="152"/>
    </row>
    <row r="938" ht="12.8" customHeight="1" spans="1:26">
      <c r="A938" s="152"/>
      <c r="B938" s="152"/>
      <c r="C938" s="152"/>
      <c r="D938" s="152"/>
      <c r="E938" s="152"/>
      <c r="F938" s="152"/>
      <c r="G938" s="152"/>
      <c r="H938" s="152"/>
      <c r="I938" s="152"/>
      <c r="J938" s="152"/>
      <c r="K938" s="152"/>
      <c r="L938" s="152"/>
      <c r="M938" s="152"/>
      <c r="N938" s="152"/>
      <c r="O938" s="152"/>
      <c r="P938" s="152"/>
      <c r="Q938" s="152"/>
      <c r="R938" s="152"/>
      <c r="S938" s="152"/>
      <c r="T938" s="152"/>
      <c r="U938" s="152"/>
      <c r="V938" s="152"/>
      <c r="W938" s="152"/>
      <c r="X938" s="152"/>
      <c r="Y938" s="152"/>
      <c r="Z938" s="152"/>
    </row>
    <row r="939" ht="12.8" customHeight="1" spans="1:26">
      <c r="A939" s="152"/>
      <c r="B939" s="152"/>
      <c r="C939" s="152"/>
      <c r="D939" s="152"/>
      <c r="E939" s="152"/>
      <c r="F939" s="152"/>
      <c r="G939" s="152"/>
      <c r="H939" s="152"/>
      <c r="I939" s="152"/>
      <c r="J939" s="152"/>
      <c r="K939" s="152"/>
      <c r="L939" s="152"/>
      <c r="M939" s="152"/>
      <c r="N939" s="152"/>
      <c r="O939" s="152"/>
      <c r="P939" s="152"/>
      <c r="Q939" s="152"/>
      <c r="R939" s="152"/>
      <c r="S939" s="152"/>
      <c r="T939" s="152"/>
      <c r="U939" s="152"/>
      <c r="V939" s="152"/>
      <c r="W939" s="152"/>
      <c r="X939" s="152"/>
      <c r="Y939" s="152"/>
      <c r="Z939" s="152"/>
    </row>
    <row r="940" ht="12.8" customHeight="1" spans="1:26">
      <c r="A940" s="152"/>
      <c r="B940" s="152"/>
      <c r="C940" s="152"/>
      <c r="D940" s="152"/>
      <c r="E940" s="152"/>
      <c r="F940" s="152"/>
      <c r="G940" s="152"/>
      <c r="H940" s="152"/>
      <c r="I940" s="152"/>
      <c r="J940" s="152"/>
      <c r="K940" s="152"/>
      <c r="L940" s="152"/>
      <c r="M940" s="152"/>
      <c r="N940" s="152"/>
      <c r="O940" s="152"/>
      <c r="P940" s="152"/>
      <c r="Q940" s="152"/>
      <c r="R940" s="152"/>
      <c r="S940" s="152"/>
      <c r="T940" s="152"/>
      <c r="U940" s="152"/>
      <c r="V940" s="152"/>
      <c r="W940" s="152"/>
      <c r="X940" s="152"/>
      <c r="Y940" s="152"/>
      <c r="Z940" s="152"/>
    </row>
    <row r="941" ht="12.8" customHeight="1" spans="1:26">
      <c r="A941" s="152"/>
      <c r="B941" s="152"/>
      <c r="C941" s="152"/>
      <c r="D941" s="152"/>
      <c r="E941" s="152"/>
      <c r="F941" s="152"/>
      <c r="G941" s="152"/>
      <c r="H941" s="152"/>
      <c r="I941" s="152"/>
      <c r="J941" s="152"/>
      <c r="K941" s="152"/>
      <c r="L941" s="152"/>
      <c r="M941" s="152"/>
      <c r="N941" s="152"/>
      <c r="O941" s="152"/>
      <c r="P941" s="152"/>
      <c r="Q941" s="152"/>
      <c r="R941" s="152"/>
      <c r="S941" s="152"/>
      <c r="T941" s="152"/>
      <c r="U941" s="152"/>
      <c r="V941" s="152"/>
      <c r="W941" s="152"/>
      <c r="X941" s="152"/>
      <c r="Y941" s="152"/>
      <c r="Z941" s="152"/>
    </row>
    <row r="942" ht="12.8" customHeight="1" spans="1:26">
      <c r="A942" s="152"/>
      <c r="B942" s="152"/>
      <c r="C942" s="152"/>
      <c r="D942" s="152"/>
      <c r="E942" s="152"/>
      <c r="F942" s="152"/>
      <c r="G942" s="152"/>
      <c r="H942" s="152"/>
      <c r="I942" s="152"/>
      <c r="J942" s="152"/>
      <c r="K942" s="152"/>
      <c r="L942" s="152"/>
      <c r="M942" s="152"/>
      <c r="N942" s="152"/>
      <c r="O942" s="152"/>
      <c r="P942" s="152"/>
      <c r="Q942" s="152"/>
      <c r="R942" s="152"/>
      <c r="S942" s="152"/>
      <c r="T942" s="152"/>
      <c r="U942" s="152"/>
      <c r="V942" s="152"/>
      <c r="W942" s="152"/>
      <c r="X942" s="152"/>
      <c r="Y942" s="152"/>
      <c r="Z942" s="152"/>
    </row>
    <row r="943" ht="12.8" customHeight="1" spans="1:26">
      <c r="A943" s="152"/>
      <c r="B943" s="152"/>
      <c r="C943" s="152"/>
      <c r="D943" s="152"/>
      <c r="E943" s="152"/>
      <c r="F943" s="152"/>
      <c r="G943" s="152"/>
      <c r="H943" s="152"/>
      <c r="I943" s="152"/>
      <c r="J943" s="152"/>
      <c r="K943" s="152"/>
      <c r="L943" s="152"/>
      <c r="M943" s="152"/>
      <c r="N943" s="152"/>
      <c r="O943" s="152"/>
      <c r="P943" s="152"/>
      <c r="Q943" s="152"/>
      <c r="R943" s="152"/>
      <c r="S943" s="152"/>
      <c r="T943" s="152"/>
      <c r="U943" s="152"/>
      <c r="V943" s="152"/>
      <c r="W943" s="152"/>
      <c r="X943" s="152"/>
      <c r="Y943" s="152"/>
      <c r="Z943" s="152"/>
    </row>
    <row r="944" ht="12.8" customHeight="1" spans="1:26">
      <c r="A944" s="152"/>
      <c r="B944" s="152"/>
      <c r="C944" s="152"/>
      <c r="D944" s="152"/>
      <c r="E944" s="152"/>
      <c r="F944" s="152"/>
      <c r="G944" s="152"/>
      <c r="H944" s="152"/>
      <c r="I944" s="152"/>
      <c r="J944" s="152"/>
      <c r="K944" s="152"/>
      <c r="L944" s="152"/>
      <c r="M944" s="152"/>
      <c r="N944" s="152"/>
      <c r="O944" s="152"/>
      <c r="P944" s="152"/>
      <c r="Q944" s="152"/>
      <c r="R944" s="152"/>
      <c r="S944" s="152"/>
      <c r="T944" s="152"/>
      <c r="U944" s="152"/>
      <c r="V944" s="152"/>
      <c r="W944" s="152"/>
      <c r="X944" s="152"/>
      <c r="Y944" s="152"/>
      <c r="Z944" s="152"/>
    </row>
    <row r="945" ht="12.8" customHeight="1" spans="1:26">
      <c r="A945" s="152"/>
      <c r="B945" s="152"/>
      <c r="C945" s="152"/>
      <c r="D945" s="152"/>
      <c r="E945" s="152"/>
      <c r="F945" s="152"/>
      <c r="G945" s="152"/>
      <c r="H945" s="152"/>
      <c r="I945" s="152"/>
      <c r="J945" s="152"/>
      <c r="K945" s="152"/>
      <c r="L945" s="152"/>
      <c r="M945" s="152"/>
      <c r="N945" s="152"/>
      <c r="O945" s="152"/>
      <c r="P945" s="152"/>
      <c r="Q945" s="152"/>
      <c r="R945" s="152"/>
      <c r="S945" s="152"/>
      <c r="T945" s="152"/>
      <c r="U945" s="152"/>
      <c r="V945" s="152"/>
      <c r="W945" s="152"/>
      <c r="X945" s="152"/>
      <c r="Y945" s="152"/>
      <c r="Z945" s="152"/>
    </row>
    <row r="946" ht="12.8" customHeight="1" spans="1:26">
      <c r="A946" s="152"/>
      <c r="B946" s="152"/>
      <c r="C946" s="152"/>
      <c r="D946" s="152"/>
      <c r="E946" s="152"/>
      <c r="F946" s="152"/>
      <c r="G946" s="152"/>
      <c r="H946" s="152"/>
      <c r="I946" s="152"/>
      <c r="J946" s="152"/>
      <c r="K946" s="152"/>
      <c r="L946" s="152"/>
      <c r="M946" s="152"/>
      <c r="N946" s="152"/>
      <c r="O946" s="152"/>
      <c r="P946" s="152"/>
      <c r="Q946" s="152"/>
      <c r="R946" s="152"/>
      <c r="S946" s="152"/>
      <c r="T946" s="152"/>
      <c r="U946" s="152"/>
      <c r="V946" s="152"/>
      <c r="W946" s="152"/>
      <c r="X946" s="152"/>
      <c r="Y946" s="152"/>
      <c r="Z946" s="152"/>
    </row>
    <row r="947" ht="12.8" customHeight="1" spans="1:26">
      <c r="A947" s="152"/>
      <c r="B947" s="152"/>
      <c r="C947" s="152"/>
      <c r="D947" s="152"/>
      <c r="E947" s="152"/>
      <c r="F947" s="152"/>
      <c r="G947" s="152"/>
      <c r="H947" s="152"/>
      <c r="I947" s="152"/>
      <c r="J947" s="152"/>
      <c r="K947" s="152"/>
      <c r="L947" s="152"/>
      <c r="M947" s="152"/>
      <c r="N947" s="152"/>
      <c r="O947" s="152"/>
      <c r="P947" s="152"/>
      <c r="Q947" s="152"/>
      <c r="R947" s="152"/>
      <c r="S947" s="152"/>
      <c r="T947" s="152"/>
      <c r="U947" s="152"/>
      <c r="V947" s="152"/>
      <c r="W947" s="152"/>
      <c r="X947" s="152"/>
      <c r="Y947" s="152"/>
      <c r="Z947" s="152"/>
    </row>
    <row r="948" ht="12.8" customHeight="1" spans="1:26">
      <c r="A948" s="152"/>
      <c r="B948" s="152"/>
      <c r="C948" s="152"/>
      <c r="D948" s="152"/>
      <c r="E948" s="152"/>
      <c r="F948" s="152"/>
      <c r="G948" s="152"/>
      <c r="H948" s="152"/>
      <c r="I948" s="152"/>
      <c r="J948" s="152"/>
      <c r="K948" s="152"/>
      <c r="L948" s="152"/>
      <c r="M948" s="152"/>
      <c r="N948" s="152"/>
      <c r="O948" s="152"/>
      <c r="P948" s="152"/>
      <c r="Q948" s="152"/>
      <c r="R948" s="152"/>
      <c r="S948" s="152"/>
      <c r="T948" s="152"/>
      <c r="U948" s="152"/>
      <c r="V948" s="152"/>
      <c r="W948" s="152"/>
      <c r="X948" s="152"/>
      <c r="Y948" s="152"/>
      <c r="Z948" s="152"/>
    </row>
    <row r="949" ht="12.8" customHeight="1" spans="1:26">
      <c r="A949" s="152"/>
      <c r="B949" s="152"/>
      <c r="C949" s="152"/>
      <c r="D949" s="152"/>
      <c r="E949" s="152"/>
      <c r="F949" s="152"/>
      <c r="G949" s="152"/>
      <c r="H949" s="152"/>
      <c r="I949" s="152"/>
      <c r="J949" s="152"/>
      <c r="K949" s="152"/>
      <c r="L949" s="152"/>
      <c r="M949" s="152"/>
      <c r="N949" s="152"/>
      <c r="O949" s="152"/>
      <c r="P949" s="152"/>
      <c r="Q949" s="152"/>
      <c r="R949" s="152"/>
      <c r="S949" s="152"/>
      <c r="T949" s="152"/>
      <c r="U949" s="152"/>
      <c r="V949" s="152"/>
      <c r="W949" s="152"/>
      <c r="X949" s="152"/>
      <c r="Y949" s="152"/>
      <c r="Z949" s="152"/>
    </row>
    <row r="950" ht="12.8" customHeight="1" spans="1:26">
      <c r="A950" s="152"/>
      <c r="B950" s="152"/>
      <c r="C950" s="152"/>
      <c r="D950" s="152"/>
      <c r="E950" s="152"/>
      <c r="F950" s="152"/>
      <c r="G950" s="152"/>
      <c r="H950" s="152"/>
      <c r="I950" s="152"/>
      <c r="J950" s="152"/>
      <c r="K950" s="152"/>
      <c r="L950" s="152"/>
      <c r="M950" s="152"/>
      <c r="N950" s="152"/>
      <c r="O950" s="152"/>
      <c r="P950" s="152"/>
      <c r="Q950" s="152"/>
      <c r="R950" s="152"/>
      <c r="S950" s="152"/>
      <c r="T950" s="152"/>
      <c r="U950" s="152"/>
      <c r="V950" s="152"/>
      <c r="W950" s="152"/>
      <c r="X950" s="152"/>
      <c r="Y950" s="152"/>
      <c r="Z950" s="152"/>
    </row>
    <row r="951" ht="12.8" customHeight="1" spans="1:26">
      <c r="A951" s="152"/>
      <c r="B951" s="152"/>
      <c r="C951" s="152"/>
      <c r="D951" s="152"/>
      <c r="E951" s="152"/>
      <c r="F951" s="152"/>
      <c r="G951" s="152"/>
      <c r="H951" s="152"/>
      <c r="I951" s="152"/>
      <c r="J951" s="152"/>
      <c r="K951" s="152"/>
      <c r="L951" s="152"/>
      <c r="M951" s="152"/>
      <c r="N951" s="152"/>
      <c r="O951" s="152"/>
      <c r="P951" s="152"/>
      <c r="Q951" s="152"/>
      <c r="R951" s="152"/>
      <c r="S951" s="152"/>
      <c r="T951" s="152"/>
      <c r="U951" s="152"/>
      <c r="V951" s="152"/>
      <c r="W951" s="152"/>
      <c r="X951" s="152"/>
      <c r="Y951" s="152"/>
      <c r="Z951" s="152"/>
    </row>
    <row r="952" ht="12.8" customHeight="1" spans="1:26">
      <c r="A952" s="152"/>
      <c r="B952" s="152"/>
      <c r="C952" s="152"/>
      <c r="D952" s="152"/>
      <c r="E952" s="152"/>
      <c r="F952" s="152"/>
      <c r="G952" s="152"/>
      <c r="H952" s="152"/>
      <c r="I952" s="152"/>
      <c r="J952" s="152"/>
      <c r="K952" s="152"/>
      <c r="L952" s="152"/>
      <c r="M952" s="152"/>
      <c r="N952" s="152"/>
      <c r="O952" s="152"/>
      <c r="P952" s="152"/>
      <c r="Q952" s="152"/>
      <c r="R952" s="152"/>
      <c r="S952" s="152"/>
      <c r="T952" s="152"/>
      <c r="U952" s="152"/>
      <c r="V952" s="152"/>
      <c r="W952" s="152"/>
      <c r="X952" s="152"/>
      <c r="Y952" s="152"/>
      <c r="Z952" s="152"/>
    </row>
    <row r="953" ht="12.8" customHeight="1" spans="1:26">
      <c r="A953" s="152"/>
      <c r="B953" s="152"/>
      <c r="C953" s="152"/>
      <c r="D953" s="152"/>
      <c r="E953" s="152"/>
      <c r="F953" s="152"/>
      <c r="G953" s="152"/>
      <c r="H953" s="152"/>
      <c r="I953" s="152"/>
      <c r="J953" s="152"/>
      <c r="K953" s="152"/>
      <c r="L953" s="152"/>
      <c r="M953" s="152"/>
      <c r="N953" s="152"/>
      <c r="O953" s="152"/>
      <c r="P953" s="152"/>
      <c r="Q953" s="152"/>
      <c r="R953" s="152"/>
      <c r="S953" s="152"/>
      <c r="T953" s="152"/>
      <c r="U953" s="152"/>
      <c r="V953" s="152"/>
      <c r="W953" s="152"/>
      <c r="X953" s="152"/>
      <c r="Y953" s="152"/>
      <c r="Z953" s="152"/>
    </row>
    <row r="954" ht="12.8" customHeight="1" spans="1:26">
      <c r="A954" s="152"/>
      <c r="B954" s="152"/>
      <c r="C954" s="152"/>
      <c r="D954" s="152"/>
      <c r="E954" s="152"/>
      <c r="F954" s="152"/>
      <c r="G954" s="152"/>
      <c r="H954" s="152"/>
      <c r="I954" s="152"/>
      <c r="J954" s="152"/>
      <c r="K954" s="152"/>
      <c r="L954" s="152"/>
      <c r="M954" s="152"/>
      <c r="N954" s="152"/>
      <c r="O954" s="152"/>
      <c r="P954" s="152"/>
      <c r="Q954" s="152"/>
      <c r="R954" s="152"/>
      <c r="S954" s="152"/>
      <c r="T954" s="152"/>
      <c r="U954" s="152"/>
      <c r="V954" s="152"/>
      <c r="W954" s="152"/>
      <c r="X954" s="152"/>
      <c r="Y954" s="152"/>
      <c r="Z954" s="152"/>
    </row>
    <row r="955" ht="12.8" customHeight="1" spans="1:26">
      <c r="A955" s="152"/>
      <c r="B955" s="152"/>
      <c r="C955" s="152"/>
      <c r="D955" s="152"/>
      <c r="E955" s="152"/>
      <c r="F955" s="152"/>
      <c r="G955" s="152"/>
      <c r="H955" s="152"/>
      <c r="I955" s="152"/>
      <c r="J955" s="152"/>
      <c r="K955" s="152"/>
      <c r="L955" s="152"/>
      <c r="M955" s="152"/>
      <c r="N955" s="152"/>
      <c r="O955" s="152"/>
      <c r="P955" s="152"/>
      <c r="Q955" s="152"/>
      <c r="R955" s="152"/>
      <c r="S955" s="152"/>
      <c r="T955" s="152"/>
      <c r="U955" s="152"/>
      <c r="V955" s="152"/>
      <c r="W955" s="152"/>
      <c r="X955" s="152"/>
      <c r="Y955" s="152"/>
      <c r="Z955" s="152"/>
    </row>
    <row r="956" ht="12.8" customHeight="1" spans="1:26">
      <c r="A956" s="152"/>
      <c r="B956" s="152"/>
      <c r="C956" s="152"/>
      <c r="D956" s="152"/>
      <c r="E956" s="152"/>
      <c r="F956" s="152"/>
      <c r="G956" s="152"/>
      <c r="H956" s="152"/>
      <c r="I956" s="152"/>
      <c r="J956" s="152"/>
      <c r="K956" s="152"/>
      <c r="L956" s="152"/>
      <c r="M956" s="152"/>
      <c r="N956" s="152"/>
      <c r="O956" s="152"/>
      <c r="P956" s="152"/>
      <c r="Q956" s="152"/>
      <c r="R956" s="152"/>
      <c r="S956" s="152"/>
      <c r="T956" s="152"/>
      <c r="U956" s="152"/>
      <c r="V956" s="152"/>
      <c r="W956" s="152"/>
      <c r="X956" s="152"/>
      <c r="Y956" s="152"/>
      <c r="Z956" s="152"/>
    </row>
    <row r="957" ht="12.8" customHeight="1" spans="1:26">
      <c r="A957" s="152"/>
      <c r="B957" s="152"/>
      <c r="C957" s="152"/>
      <c r="D957" s="152"/>
      <c r="E957" s="152"/>
      <c r="F957" s="152"/>
      <c r="G957" s="152"/>
      <c r="H957" s="152"/>
      <c r="I957" s="152"/>
      <c r="J957" s="152"/>
      <c r="K957" s="152"/>
      <c r="L957" s="152"/>
      <c r="M957" s="152"/>
      <c r="N957" s="152"/>
      <c r="O957" s="152"/>
      <c r="P957" s="152"/>
      <c r="Q957" s="152"/>
      <c r="R957" s="152"/>
      <c r="S957" s="152"/>
      <c r="T957" s="152"/>
      <c r="U957" s="152"/>
      <c r="V957" s="152"/>
      <c r="W957" s="152"/>
      <c r="X957" s="152"/>
      <c r="Y957" s="152"/>
      <c r="Z957" s="152"/>
    </row>
    <row r="958" ht="12.8" customHeight="1" spans="1:26">
      <c r="A958" s="152"/>
      <c r="B958" s="152"/>
      <c r="C958" s="152"/>
      <c r="D958" s="152"/>
      <c r="E958" s="152"/>
      <c r="F958" s="152"/>
      <c r="G958" s="152"/>
      <c r="H958" s="152"/>
      <c r="I958" s="152"/>
      <c r="J958" s="152"/>
      <c r="K958" s="152"/>
      <c r="L958" s="152"/>
      <c r="M958" s="152"/>
      <c r="N958" s="152"/>
      <c r="O958" s="152"/>
      <c r="P958" s="152"/>
      <c r="Q958" s="152"/>
      <c r="R958" s="152"/>
      <c r="S958" s="152"/>
      <c r="T958" s="152"/>
      <c r="U958" s="152"/>
      <c r="V958" s="152"/>
      <c r="W958" s="152"/>
      <c r="X958" s="152"/>
      <c r="Y958" s="152"/>
      <c r="Z958" s="152"/>
    </row>
    <row r="959" ht="12.8" customHeight="1" spans="1:26">
      <c r="A959" s="152"/>
      <c r="B959" s="152"/>
      <c r="C959" s="152"/>
      <c r="D959" s="152"/>
      <c r="E959" s="152"/>
      <c r="F959" s="152"/>
      <c r="G959" s="152"/>
      <c r="H959" s="152"/>
      <c r="I959" s="152"/>
      <c r="J959" s="152"/>
      <c r="K959" s="152"/>
      <c r="L959" s="152"/>
      <c r="M959" s="152"/>
      <c r="N959" s="152"/>
      <c r="O959" s="152"/>
      <c r="P959" s="152"/>
      <c r="Q959" s="152"/>
      <c r="R959" s="152"/>
      <c r="S959" s="152"/>
      <c r="T959" s="152"/>
      <c r="U959" s="152"/>
      <c r="V959" s="152"/>
      <c r="W959" s="152"/>
      <c r="X959" s="152"/>
      <c r="Y959" s="152"/>
      <c r="Z959" s="152"/>
    </row>
    <row r="960" ht="12.8" customHeight="1" spans="1:26">
      <c r="A960" s="152"/>
      <c r="B960" s="152"/>
      <c r="C960" s="152"/>
      <c r="D960" s="152"/>
      <c r="E960" s="152"/>
      <c r="F960" s="152"/>
      <c r="G960" s="152"/>
      <c r="H960" s="152"/>
      <c r="I960" s="152"/>
      <c r="J960" s="152"/>
      <c r="K960" s="152"/>
      <c r="L960" s="152"/>
      <c r="M960" s="152"/>
      <c r="N960" s="152"/>
      <c r="O960" s="152"/>
      <c r="P960" s="152"/>
      <c r="Q960" s="152"/>
      <c r="R960" s="152"/>
      <c r="S960" s="152"/>
      <c r="T960" s="152"/>
      <c r="U960" s="152"/>
      <c r="V960" s="152"/>
      <c r="W960" s="152"/>
      <c r="X960" s="152"/>
      <c r="Y960" s="152"/>
      <c r="Z960" s="152"/>
    </row>
    <row r="961" ht="12.8" customHeight="1" spans="1:26">
      <c r="A961" s="152"/>
      <c r="B961" s="152"/>
      <c r="C961" s="152"/>
      <c r="D961" s="152"/>
      <c r="E961" s="152"/>
      <c r="F961" s="152"/>
      <c r="G961" s="152"/>
      <c r="H961" s="152"/>
      <c r="I961" s="152"/>
      <c r="J961" s="152"/>
      <c r="K961" s="152"/>
      <c r="L961" s="152"/>
      <c r="M961" s="152"/>
      <c r="N961" s="152"/>
      <c r="O961" s="152"/>
      <c r="P961" s="152"/>
      <c r="Q961" s="152"/>
      <c r="R961" s="152"/>
      <c r="S961" s="152"/>
      <c r="T961" s="152"/>
      <c r="U961" s="152"/>
      <c r="V961" s="152"/>
      <c r="W961" s="152"/>
      <c r="X961" s="152"/>
      <c r="Y961" s="152"/>
      <c r="Z961" s="152"/>
    </row>
    <row r="962" ht="12.8" customHeight="1" spans="1:26">
      <c r="A962" s="152"/>
      <c r="B962" s="152"/>
      <c r="C962" s="152"/>
      <c r="D962" s="152"/>
      <c r="E962" s="152"/>
      <c r="F962" s="152"/>
      <c r="G962" s="152"/>
      <c r="H962" s="152"/>
      <c r="I962" s="152"/>
      <c r="J962" s="152"/>
      <c r="K962" s="152"/>
      <c r="L962" s="152"/>
      <c r="M962" s="152"/>
      <c r="N962" s="152"/>
      <c r="O962" s="152"/>
      <c r="P962" s="152"/>
      <c r="Q962" s="152"/>
      <c r="R962" s="152"/>
      <c r="S962" s="152"/>
      <c r="T962" s="152"/>
      <c r="U962" s="152"/>
      <c r="V962" s="152"/>
      <c r="W962" s="152"/>
      <c r="X962" s="152"/>
      <c r="Y962" s="152"/>
      <c r="Z962" s="152"/>
    </row>
    <row r="963" ht="12.8" customHeight="1" spans="1:26">
      <c r="A963" s="152"/>
      <c r="B963" s="152"/>
      <c r="C963" s="152"/>
      <c r="D963" s="152"/>
      <c r="E963" s="152"/>
      <c r="F963" s="152"/>
      <c r="G963" s="152"/>
      <c r="H963" s="152"/>
      <c r="I963" s="152"/>
      <c r="J963" s="152"/>
      <c r="K963" s="152"/>
      <c r="L963" s="152"/>
      <c r="M963" s="152"/>
      <c r="N963" s="152"/>
      <c r="O963" s="152"/>
      <c r="P963" s="152"/>
      <c r="Q963" s="152"/>
      <c r="R963" s="152"/>
      <c r="S963" s="152"/>
      <c r="T963" s="152"/>
      <c r="U963" s="152"/>
      <c r="V963" s="152"/>
      <c r="W963" s="152"/>
      <c r="X963" s="152"/>
      <c r="Y963" s="152"/>
      <c r="Z963" s="152"/>
    </row>
    <row r="964" ht="12.8" customHeight="1" spans="1:26">
      <c r="A964" s="152"/>
      <c r="B964" s="152"/>
      <c r="C964" s="152"/>
      <c r="D964" s="152"/>
      <c r="E964" s="152"/>
      <c r="F964" s="152"/>
      <c r="G964" s="152"/>
      <c r="H964" s="152"/>
      <c r="I964" s="152"/>
      <c r="J964" s="152"/>
      <c r="K964" s="152"/>
      <c r="L964" s="152"/>
      <c r="M964" s="152"/>
      <c r="N964" s="152"/>
      <c r="O964" s="152"/>
      <c r="P964" s="152"/>
      <c r="Q964" s="152"/>
      <c r="R964" s="152"/>
      <c r="S964" s="152"/>
      <c r="T964" s="152"/>
      <c r="U964" s="152"/>
      <c r="V964" s="152"/>
      <c r="W964" s="152"/>
      <c r="X964" s="152"/>
      <c r="Y964" s="152"/>
      <c r="Z964" s="152"/>
    </row>
    <row r="965" ht="12.8" customHeight="1" spans="1:26">
      <c r="A965" s="152"/>
      <c r="B965" s="152"/>
      <c r="C965" s="152"/>
      <c r="D965" s="152"/>
      <c r="E965" s="152"/>
      <c r="F965" s="152"/>
      <c r="G965" s="152"/>
      <c r="H965" s="152"/>
      <c r="I965" s="152"/>
      <c r="J965" s="152"/>
      <c r="K965" s="152"/>
      <c r="L965" s="152"/>
      <c r="M965" s="152"/>
      <c r="N965" s="152"/>
      <c r="O965" s="152"/>
      <c r="P965" s="152"/>
      <c r="Q965" s="152"/>
      <c r="R965" s="152"/>
      <c r="S965" s="152"/>
      <c r="T965" s="152"/>
      <c r="U965" s="152"/>
      <c r="V965" s="152"/>
      <c r="W965" s="152"/>
      <c r="X965" s="152"/>
      <c r="Y965" s="152"/>
      <c r="Z965" s="152"/>
    </row>
    <row r="966" ht="12.8" customHeight="1" spans="1:26">
      <c r="A966" s="152"/>
      <c r="B966" s="152"/>
      <c r="C966" s="152"/>
      <c r="D966" s="152"/>
      <c r="E966" s="152"/>
      <c r="F966" s="152"/>
      <c r="G966" s="152"/>
      <c r="H966" s="152"/>
      <c r="I966" s="152"/>
      <c r="J966" s="152"/>
      <c r="K966" s="152"/>
      <c r="L966" s="152"/>
      <c r="M966" s="152"/>
      <c r="N966" s="152"/>
      <c r="O966" s="152"/>
      <c r="P966" s="152"/>
      <c r="Q966" s="152"/>
      <c r="R966" s="152"/>
      <c r="S966" s="152"/>
      <c r="T966" s="152"/>
      <c r="U966" s="152"/>
      <c r="V966" s="152"/>
      <c r="W966" s="152"/>
      <c r="X966" s="152"/>
      <c r="Y966" s="152"/>
      <c r="Z966" s="152"/>
    </row>
    <row r="967" ht="12.8" customHeight="1" spans="1:26">
      <c r="A967" s="152"/>
      <c r="B967" s="152"/>
      <c r="C967" s="152"/>
      <c r="D967" s="152"/>
      <c r="E967" s="152"/>
      <c r="F967" s="152"/>
      <c r="G967" s="152"/>
      <c r="H967" s="152"/>
      <c r="I967" s="152"/>
      <c r="J967" s="152"/>
      <c r="K967" s="152"/>
      <c r="L967" s="152"/>
      <c r="M967" s="152"/>
      <c r="N967" s="152"/>
      <c r="O967" s="152"/>
      <c r="P967" s="152"/>
      <c r="Q967" s="152"/>
      <c r="R967" s="152"/>
      <c r="S967" s="152"/>
      <c r="T967" s="152"/>
      <c r="U967" s="152"/>
      <c r="V967" s="152"/>
      <c r="W967" s="152"/>
      <c r="X967" s="152"/>
      <c r="Y967" s="152"/>
      <c r="Z967" s="152"/>
    </row>
    <row r="968" ht="12.8" customHeight="1" spans="1:26">
      <c r="A968" s="152"/>
      <c r="B968" s="152"/>
      <c r="C968" s="152"/>
      <c r="D968" s="152"/>
      <c r="E968" s="152"/>
      <c r="F968" s="152"/>
      <c r="G968" s="152"/>
      <c r="H968" s="152"/>
      <c r="I968" s="152"/>
      <c r="J968" s="152"/>
      <c r="K968" s="152"/>
      <c r="L968" s="152"/>
      <c r="M968" s="152"/>
      <c r="N968" s="152"/>
      <c r="O968" s="152"/>
      <c r="P968" s="152"/>
      <c r="Q968" s="152"/>
      <c r="R968" s="152"/>
      <c r="S968" s="152"/>
      <c r="T968" s="152"/>
      <c r="U968" s="152"/>
      <c r="V968" s="152"/>
      <c r="W968" s="152"/>
      <c r="X968" s="152"/>
      <c r="Y968" s="152"/>
      <c r="Z968" s="152"/>
    </row>
    <row r="969" ht="12.8" customHeight="1" spans="1:26">
      <c r="A969" s="152"/>
      <c r="B969" s="152"/>
      <c r="C969" s="152"/>
      <c r="D969" s="152"/>
      <c r="E969" s="152"/>
      <c r="F969" s="152"/>
      <c r="G969" s="152"/>
      <c r="H969" s="152"/>
      <c r="I969" s="152"/>
      <c r="J969" s="152"/>
      <c r="K969" s="152"/>
      <c r="L969" s="152"/>
      <c r="M969" s="152"/>
      <c r="N969" s="152"/>
      <c r="O969" s="152"/>
      <c r="P969" s="152"/>
      <c r="Q969" s="152"/>
      <c r="R969" s="152"/>
      <c r="S969" s="152"/>
      <c r="T969" s="152"/>
      <c r="U969" s="152"/>
      <c r="V969" s="152"/>
      <c r="W969" s="152"/>
      <c r="X969" s="152"/>
      <c r="Y969" s="152"/>
      <c r="Z969" s="152"/>
    </row>
    <row r="970" ht="12.8" customHeight="1" spans="1:26">
      <c r="A970" s="152"/>
      <c r="B970" s="152"/>
      <c r="C970" s="152"/>
      <c r="D970" s="152"/>
      <c r="E970" s="152"/>
      <c r="F970" s="152"/>
      <c r="G970" s="152"/>
      <c r="H970" s="152"/>
      <c r="I970" s="152"/>
      <c r="J970" s="152"/>
      <c r="K970" s="152"/>
      <c r="L970" s="152"/>
      <c r="M970" s="152"/>
      <c r="N970" s="152"/>
      <c r="O970" s="152"/>
      <c r="P970" s="152"/>
      <c r="Q970" s="152"/>
      <c r="R970" s="152"/>
      <c r="S970" s="152"/>
      <c r="T970" s="152"/>
      <c r="U970" s="152"/>
      <c r="V970" s="152"/>
      <c r="W970" s="152"/>
      <c r="X970" s="152"/>
      <c r="Y970" s="152"/>
      <c r="Z970" s="152"/>
    </row>
    <row r="971" ht="12.8" customHeight="1" spans="1:26">
      <c r="A971" s="152"/>
      <c r="B971" s="152"/>
      <c r="C971" s="152"/>
      <c r="D971" s="152"/>
      <c r="E971" s="152"/>
      <c r="F971" s="152"/>
      <c r="G971" s="152"/>
      <c r="H971" s="152"/>
      <c r="I971" s="152"/>
      <c r="J971" s="152"/>
      <c r="K971" s="152"/>
      <c r="L971" s="152"/>
      <c r="M971" s="152"/>
      <c r="N971" s="152"/>
      <c r="O971" s="152"/>
      <c r="P971" s="152"/>
      <c r="Q971" s="152"/>
      <c r="R971" s="152"/>
      <c r="S971" s="152"/>
      <c r="T971" s="152"/>
      <c r="U971" s="152"/>
      <c r="V971" s="152"/>
      <c r="W971" s="152"/>
      <c r="X971" s="152"/>
      <c r="Y971" s="152"/>
      <c r="Z971" s="152"/>
    </row>
    <row r="972" ht="12.8" customHeight="1" spans="1:26">
      <c r="A972" s="152"/>
      <c r="B972" s="152"/>
      <c r="C972" s="152"/>
      <c r="D972" s="152"/>
      <c r="E972" s="152"/>
      <c r="F972" s="152"/>
      <c r="G972" s="152"/>
      <c r="H972" s="152"/>
      <c r="I972" s="152"/>
      <c r="J972" s="152"/>
      <c r="K972" s="152"/>
      <c r="L972" s="152"/>
      <c r="M972" s="152"/>
      <c r="N972" s="152"/>
      <c r="O972" s="152"/>
      <c r="P972" s="152"/>
      <c r="Q972" s="152"/>
      <c r="R972" s="152"/>
      <c r="S972" s="152"/>
      <c r="T972" s="152"/>
      <c r="U972" s="152"/>
      <c r="V972" s="152"/>
      <c r="W972" s="152"/>
      <c r="X972" s="152"/>
      <c r="Y972" s="152"/>
      <c r="Z972" s="152"/>
    </row>
    <row r="973" ht="12.8" customHeight="1" spans="1:26">
      <c r="A973" s="152"/>
      <c r="B973" s="152"/>
      <c r="C973" s="152"/>
      <c r="D973" s="152"/>
      <c r="E973" s="152"/>
      <c r="F973" s="152"/>
      <c r="G973" s="152"/>
      <c r="H973" s="152"/>
      <c r="I973" s="152"/>
      <c r="J973" s="152"/>
      <c r="K973" s="152"/>
      <c r="L973" s="152"/>
      <c r="M973" s="152"/>
      <c r="N973" s="152"/>
      <c r="O973" s="152"/>
      <c r="P973" s="152"/>
      <c r="Q973" s="152"/>
      <c r="R973" s="152"/>
      <c r="S973" s="152"/>
      <c r="T973" s="152"/>
      <c r="U973" s="152"/>
      <c r="V973" s="152"/>
      <c r="W973" s="152"/>
      <c r="X973" s="152"/>
      <c r="Y973" s="152"/>
      <c r="Z973" s="152"/>
    </row>
    <row r="974" ht="12.8" customHeight="1" spans="1:26">
      <c r="A974" s="152"/>
      <c r="B974" s="152"/>
      <c r="C974" s="152"/>
      <c r="D974" s="152"/>
      <c r="E974" s="152"/>
      <c r="F974" s="152"/>
      <c r="G974" s="152"/>
      <c r="H974" s="152"/>
      <c r="I974" s="152"/>
      <c r="J974" s="152"/>
      <c r="K974" s="152"/>
      <c r="L974" s="152"/>
      <c r="M974" s="152"/>
      <c r="N974" s="152"/>
      <c r="O974" s="152"/>
      <c r="P974" s="152"/>
      <c r="Q974" s="152"/>
      <c r="R974" s="152"/>
      <c r="S974" s="152"/>
      <c r="T974" s="152"/>
      <c r="U974" s="152"/>
      <c r="V974" s="152"/>
      <c r="W974" s="152"/>
      <c r="X974" s="152"/>
      <c r="Y974" s="152"/>
      <c r="Z974" s="152"/>
    </row>
    <row r="975" ht="12.8" customHeight="1" spans="1:26">
      <c r="A975" s="152"/>
      <c r="B975" s="152"/>
      <c r="C975" s="152"/>
      <c r="D975" s="152"/>
      <c r="E975" s="152"/>
      <c r="F975" s="152"/>
      <c r="G975" s="152"/>
      <c r="H975" s="152"/>
      <c r="I975" s="152"/>
      <c r="J975" s="152"/>
      <c r="K975" s="152"/>
      <c r="L975" s="152"/>
      <c r="M975" s="152"/>
      <c r="N975" s="152"/>
      <c r="O975" s="152"/>
      <c r="P975" s="152"/>
      <c r="Q975" s="152"/>
      <c r="R975" s="152"/>
      <c r="S975" s="152"/>
      <c r="T975" s="152"/>
      <c r="U975" s="152"/>
      <c r="V975" s="152"/>
      <c r="W975" s="152"/>
      <c r="X975" s="152"/>
      <c r="Y975" s="152"/>
      <c r="Z975" s="152"/>
    </row>
    <row r="976" ht="12.8" customHeight="1" spans="1:26">
      <c r="A976" s="152"/>
      <c r="B976" s="152"/>
      <c r="C976" s="152"/>
      <c r="D976" s="152"/>
      <c r="E976" s="152"/>
      <c r="F976" s="152"/>
      <c r="G976" s="152"/>
      <c r="H976" s="152"/>
      <c r="I976" s="152"/>
      <c r="J976" s="152"/>
      <c r="K976" s="152"/>
      <c r="L976" s="152"/>
      <c r="M976" s="152"/>
      <c r="N976" s="152"/>
      <c r="O976" s="152"/>
      <c r="P976" s="152"/>
      <c r="Q976" s="152"/>
      <c r="R976" s="152"/>
      <c r="S976" s="152"/>
      <c r="T976" s="152"/>
      <c r="U976" s="152"/>
      <c r="V976" s="152"/>
      <c r="W976" s="152"/>
      <c r="X976" s="152"/>
      <c r="Y976" s="152"/>
      <c r="Z976" s="152"/>
    </row>
    <row r="977" ht="12.8" customHeight="1" spans="1:26">
      <c r="A977" s="152"/>
      <c r="B977" s="152"/>
      <c r="C977" s="152"/>
      <c r="D977" s="152"/>
      <c r="E977" s="152"/>
      <c r="F977" s="152"/>
      <c r="G977" s="152"/>
      <c r="H977" s="152"/>
      <c r="I977" s="152"/>
      <c r="J977" s="152"/>
      <c r="K977" s="152"/>
      <c r="L977" s="152"/>
      <c r="M977" s="152"/>
      <c r="N977" s="152"/>
      <c r="O977" s="152"/>
      <c r="P977" s="152"/>
      <c r="Q977" s="152"/>
      <c r="R977" s="152"/>
      <c r="S977" s="152"/>
      <c r="T977" s="152"/>
      <c r="U977" s="152"/>
      <c r="V977" s="152"/>
      <c r="W977" s="152"/>
      <c r="X977" s="152"/>
      <c r="Y977" s="152"/>
      <c r="Z977" s="152"/>
    </row>
    <row r="978" ht="12.8" customHeight="1" spans="1:26">
      <c r="A978" s="152"/>
      <c r="B978" s="152"/>
      <c r="C978" s="152"/>
      <c r="D978" s="152"/>
      <c r="E978" s="152"/>
      <c r="F978" s="152"/>
      <c r="G978" s="152"/>
      <c r="H978" s="152"/>
      <c r="I978" s="152"/>
      <c r="J978" s="152"/>
      <c r="K978" s="152"/>
      <c r="L978" s="152"/>
      <c r="M978" s="152"/>
      <c r="N978" s="152"/>
      <c r="O978" s="152"/>
      <c r="P978" s="152"/>
      <c r="Q978" s="152"/>
      <c r="R978" s="152"/>
      <c r="S978" s="152"/>
      <c r="T978" s="152"/>
      <c r="U978" s="152"/>
      <c r="V978" s="152"/>
      <c r="W978" s="152"/>
      <c r="X978" s="152"/>
      <c r="Y978" s="152"/>
      <c r="Z978" s="152"/>
    </row>
    <row r="979" ht="12.8" customHeight="1" spans="1:26">
      <c r="A979" s="152"/>
      <c r="B979" s="152"/>
      <c r="C979" s="152"/>
      <c r="D979" s="152"/>
      <c r="E979" s="152"/>
      <c r="F979" s="152"/>
      <c r="G979" s="152"/>
      <c r="H979" s="152"/>
      <c r="I979" s="152"/>
      <c r="J979" s="152"/>
      <c r="K979" s="152"/>
      <c r="L979" s="152"/>
      <c r="M979" s="152"/>
      <c r="N979" s="152"/>
      <c r="O979" s="152"/>
      <c r="P979" s="152"/>
      <c r="Q979" s="152"/>
      <c r="R979" s="152"/>
      <c r="S979" s="152"/>
      <c r="T979" s="152"/>
      <c r="U979" s="152"/>
      <c r="V979" s="152"/>
      <c r="W979" s="152"/>
      <c r="X979" s="152"/>
      <c r="Y979" s="152"/>
      <c r="Z979" s="152"/>
    </row>
    <row r="980" ht="12.8" customHeight="1" spans="1:26">
      <c r="A980" s="152"/>
      <c r="B980" s="152"/>
      <c r="C980" s="152"/>
      <c r="D980" s="152"/>
      <c r="E980" s="152"/>
      <c r="F980" s="152"/>
      <c r="G980" s="152"/>
      <c r="H980" s="152"/>
      <c r="I980" s="152"/>
      <c r="J980" s="152"/>
      <c r="K980" s="152"/>
      <c r="L980" s="152"/>
      <c r="M980" s="152"/>
      <c r="N980" s="152"/>
      <c r="O980" s="152"/>
      <c r="P980" s="152"/>
      <c r="Q980" s="152"/>
      <c r="R980" s="152"/>
      <c r="S980" s="152"/>
      <c r="T980" s="152"/>
      <c r="U980" s="152"/>
      <c r="V980" s="152"/>
      <c r="W980" s="152"/>
      <c r="X980" s="152"/>
      <c r="Y980" s="152"/>
      <c r="Z980" s="152"/>
    </row>
    <row r="981" ht="12.8" customHeight="1" spans="1:26">
      <c r="A981" s="152"/>
      <c r="B981" s="152"/>
      <c r="C981" s="152"/>
      <c r="D981" s="152"/>
      <c r="E981" s="152"/>
      <c r="F981" s="152"/>
      <c r="G981" s="152"/>
      <c r="H981" s="152"/>
      <c r="I981" s="152"/>
      <c r="J981" s="152"/>
      <c r="K981" s="152"/>
      <c r="L981" s="152"/>
      <c r="M981" s="152"/>
      <c r="N981" s="152"/>
      <c r="O981" s="152"/>
      <c r="P981" s="152"/>
      <c r="Q981" s="152"/>
      <c r="R981" s="152"/>
      <c r="S981" s="152"/>
      <c r="T981" s="152"/>
      <c r="U981" s="152"/>
      <c r="V981" s="152"/>
      <c r="W981" s="152"/>
      <c r="X981" s="152"/>
      <c r="Y981" s="152"/>
      <c r="Z981" s="152"/>
    </row>
    <row r="982" ht="12.8" customHeight="1" spans="1:26">
      <c r="A982" s="152"/>
      <c r="B982" s="152"/>
      <c r="C982" s="152"/>
      <c r="D982" s="152"/>
      <c r="E982" s="152"/>
      <c r="F982" s="152"/>
      <c r="G982" s="152"/>
      <c r="H982" s="152"/>
      <c r="I982" s="152"/>
      <c r="J982" s="152"/>
      <c r="K982" s="152"/>
      <c r="L982" s="152"/>
      <c r="M982" s="152"/>
      <c r="N982" s="152"/>
      <c r="O982" s="152"/>
      <c r="P982" s="152"/>
      <c r="Q982" s="152"/>
      <c r="R982" s="152"/>
      <c r="S982" s="152"/>
      <c r="T982" s="152"/>
      <c r="U982" s="152"/>
      <c r="V982" s="152"/>
      <c r="W982" s="152"/>
      <c r="X982" s="152"/>
      <c r="Y982" s="152"/>
      <c r="Z982" s="152"/>
    </row>
    <row r="983" ht="12.8" customHeight="1" spans="1:26">
      <c r="A983" s="152"/>
      <c r="B983" s="152"/>
      <c r="C983" s="152"/>
      <c r="D983" s="152"/>
      <c r="E983" s="152"/>
      <c r="F983" s="152"/>
      <c r="G983" s="152"/>
      <c r="H983" s="152"/>
      <c r="I983" s="152"/>
      <c r="J983" s="152"/>
      <c r="K983" s="152"/>
      <c r="L983" s="152"/>
      <c r="M983" s="152"/>
      <c r="N983" s="152"/>
      <c r="O983" s="152"/>
      <c r="P983" s="152"/>
      <c r="Q983" s="152"/>
      <c r="R983" s="152"/>
      <c r="S983" s="152"/>
      <c r="T983" s="152"/>
      <c r="U983" s="152"/>
      <c r="V983" s="152"/>
      <c r="W983" s="152"/>
      <c r="X983" s="152"/>
      <c r="Y983" s="152"/>
      <c r="Z983" s="152"/>
    </row>
    <row r="984" ht="12.8" customHeight="1" spans="1:26">
      <c r="A984" s="152"/>
      <c r="B984" s="152"/>
      <c r="C984" s="152"/>
      <c r="D984" s="152"/>
      <c r="E984" s="152"/>
      <c r="F984" s="152"/>
      <c r="G984" s="152"/>
      <c r="H984" s="152"/>
      <c r="I984" s="152"/>
      <c r="J984" s="152"/>
      <c r="K984" s="152"/>
      <c r="L984" s="152"/>
      <c r="M984" s="152"/>
      <c r="N984" s="152"/>
      <c r="O984" s="152"/>
      <c r="P984" s="152"/>
      <c r="Q984" s="152"/>
      <c r="R984" s="152"/>
      <c r="S984" s="152"/>
      <c r="T984" s="152"/>
      <c r="U984" s="152"/>
      <c r="V984" s="152"/>
      <c r="W984" s="152"/>
      <c r="X984" s="152"/>
      <c r="Y984" s="152"/>
      <c r="Z984" s="152"/>
    </row>
    <row r="985" ht="12.8" customHeight="1" spans="1:26">
      <c r="A985" s="152"/>
      <c r="B985" s="152"/>
      <c r="C985" s="152"/>
      <c r="D985" s="152"/>
      <c r="E985" s="152"/>
      <c r="F985" s="152"/>
      <c r="G985" s="152"/>
      <c r="H985" s="152"/>
      <c r="I985" s="152"/>
      <c r="J985" s="152"/>
      <c r="K985" s="152"/>
      <c r="L985" s="152"/>
      <c r="M985" s="152"/>
      <c r="N985" s="152"/>
      <c r="O985" s="152"/>
      <c r="P985" s="152"/>
      <c r="Q985" s="152"/>
      <c r="R985" s="152"/>
      <c r="S985" s="152"/>
      <c r="T985" s="152"/>
      <c r="U985" s="152"/>
      <c r="V985" s="152"/>
      <c r="W985" s="152"/>
      <c r="X985" s="152"/>
      <c r="Y985" s="152"/>
      <c r="Z985" s="152"/>
    </row>
    <row r="986" ht="12.8" customHeight="1" spans="1:26">
      <c r="A986" s="152"/>
      <c r="B986" s="152"/>
      <c r="C986" s="152"/>
      <c r="D986" s="152"/>
      <c r="E986" s="152"/>
      <c r="F986" s="152"/>
      <c r="G986" s="152"/>
      <c r="H986" s="152"/>
      <c r="I986" s="152"/>
      <c r="J986" s="152"/>
      <c r="K986" s="152"/>
      <c r="L986" s="152"/>
      <c r="M986" s="152"/>
      <c r="N986" s="152"/>
      <c r="O986" s="152"/>
      <c r="P986" s="152"/>
      <c r="Q986" s="152"/>
      <c r="R986" s="152"/>
      <c r="S986" s="152"/>
      <c r="T986" s="152"/>
      <c r="U986" s="152"/>
      <c r="V986" s="152"/>
      <c r="W986" s="152"/>
      <c r="X986" s="152"/>
      <c r="Y986" s="152"/>
      <c r="Z986" s="152"/>
    </row>
    <row r="987" ht="12.8" customHeight="1" spans="1:26">
      <c r="A987" s="152"/>
      <c r="B987" s="152"/>
      <c r="C987" s="152"/>
      <c r="D987" s="152"/>
      <c r="E987" s="152"/>
      <c r="F987" s="152"/>
      <c r="G987" s="152"/>
      <c r="H987" s="152"/>
      <c r="I987" s="152"/>
      <c r="J987" s="152"/>
      <c r="K987" s="152"/>
      <c r="L987" s="152"/>
      <c r="M987" s="152"/>
      <c r="N987" s="152"/>
      <c r="O987" s="152"/>
      <c r="P987" s="152"/>
      <c r="Q987" s="152"/>
      <c r="R987" s="152"/>
      <c r="S987" s="152"/>
      <c r="T987" s="152"/>
      <c r="U987" s="152"/>
      <c r="V987" s="152"/>
      <c r="W987" s="152"/>
      <c r="X987" s="152"/>
      <c r="Y987" s="152"/>
      <c r="Z987" s="152"/>
    </row>
    <row r="988" ht="12.8" customHeight="1" spans="1:26">
      <c r="A988" s="152"/>
      <c r="B988" s="152"/>
      <c r="C988" s="152"/>
      <c r="D988" s="152"/>
      <c r="E988" s="152"/>
      <c r="F988" s="152"/>
      <c r="G988" s="152"/>
      <c r="H988" s="152"/>
      <c r="I988" s="152"/>
      <c r="J988" s="152"/>
      <c r="K988" s="152"/>
      <c r="L988" s="152"/>
      <c r="M988" s="152"/>
      <c r="N988" s="152"/>
      <c r="O988" s="152"/>
      <c r="P988" s="152"/>
      <c r="Q988" s="152"/>
      <c r="R988" s="152"/>
      <c r="S988" s="152"/>
      <c r="T988" s="152"/>
      <c r="U988" s="152"/>
      <c r="V988" s="152"/>
      <c r="W988" s="152"/>
      <c r="X988" s="152"/>
      <c r="Y988" s="152"/>
      <c r="Z988" s="152"/>
    </row>
    <row r="989" ht="12.8" customHeight="1" spans="1:26">
      <c r="A989" s="152"/>
      <c r="B989" s="152"/>
      <c r="C989" s="152"/>
      <c r="D989" s="152"/>
      <c r="E989" s="152"/>
      <c r="F989" s="152"/>
      <c r="G989" s="152"/>
      <c r="H989" s="152"/>
      <c r="I989" s="152"/>
      <c r="J989" s="152"/>
      <c r="K989" s="152"/>
      <c r="L989" s="152"/>
      <c r="M989" s="152"/>
      <c r="N989" s="152"/>
      <c r="O989" s="152"/>
      <c r="P989" s="152"/>
      <c r="Q989" s="152"/>
      <c r="R989" s="152"/>
      <c r="S989" s="152"/>
      <c r="T989" s="152"/>
      <c r="U989" s="152"/>
      <c r="V989" s="152"/>
      <c r="W989" s="152"/>
      <c r="X989" s="152"/>
      <c r="Y989" s="152"/>
      <c r="Z989" s="152"/>
    </row>
    <row r="990" ht="12.8" customHeight="1" spans="1:26">
      <c r="A990" s="152"/>
      <c r="B990" s="152"/>
      <c r="C990" s="152"/>
      <c r="D990" s="152"/>
      <c r="E990" s="152"/>
      <c r="F990" s="152"/>
      <c r="G990" s="152"/>
      <c r="H990" s="152"/>
      <c r="I990" s="152"/>
      <c r="J990" s="152"/>
      <c r="K990" s="152"/>
      <c r="L990" s="152"/>
      <c r="M990" s="152"/>
      <c r="N990" s="152"/>
      <c r="O990" s="152"/>
      <c r="P990" s="152"/>
      <c r="Q990" s="152"/>
      <c r="R990" s="152"/>
      <c r="S990" s="152"/>
      <c r="T990" s="152"/>
      <c r="U990" s="152"/>
      <c r="V990" s="152"/>
      <c r="W990" s="152"/>
      <c r="X990" s="152"/>
      <c r="Y990" s="152"/>
      <c r="Z990" s="152"/>
    </row>
    <row r="991" ht="12.8" customHeight="1" spans="1:26">
      <c r="A991" s="152"/>
      <c r="B991" s="152"/>
      <c r="C991" s="152"/>
      <c r="D991" s="152"/>
      <c r="E991" s="152"/>
      <c r="F991" s="152"/>
      <c r="G991" s="152"/>
      <c r="H991" s="152"/>
      <c r="I991" s="152"/>
      <c r="J991" s="152"/>
      <c r="K991" s="152"/>
      <c r="L991" s="152"/>
      <c r="M991" s="152"/>
      <c r="N991" s="152"/>
      <c r="O991" s="152"/>
      <c r="P991" s="152"/>
      <c r="Q991" s="152"/>
      <c r="R991" s="152"/>
      <c r="S991" s="152"/>
      <c r="T991" s="152"/>
      <c r="U991" s="152"/>
      <c r="V991" s="152"/>
      <c r="W991" s="152"/>
      <c r="X991" s="152"/>
      <c r="Y991" s="152"/>
      <c r="Z991" s="152"/>
    </row>
    <row r="992" ht="12.8" customHeight="1" spans="1:26">
      <c r="A992" s="152"/>
      <c r="B992" s="152"/>
      <c r="C992" s="152"/>
      <c r="D992" s="152"/>
      <c r="E992" s="152"/>
      <c r="F992" s="152"/>
      <c r="G992" s="152"/>
      <c r="H992" s="152"/>
      <c r="I992" s="152"/>
      <c r="J992" s="152"/>
      <c r="K992" s="152"/>
      <c r="L992" s="152"/>
      <c r="M992" s="152"/>
      <c r="N992" s="152"/>
      <c r="O992" s="152"/>
      <c r="P992" s="152"/>
      <c r="Q992" s="152"/>
      <c r="R992" s="152"/>
      <c r="S992" s="152"/>
      <c r="T992" s="152"/>
      <c r="U992" s="152"/>
      <c r="V992" s="152"/>
      <c r="W992" s="152"/>
      <c r="X992" s="152"/>
      <c r="Y992" s="152"/>
      <c r="Z992" s="152"/>
    </row>
    <row r="993" ht="12.8" customHeight="1" spans="1:26">
      <c r="A993" s="152"/>
      <c r="B993" s="152"/>
      <c r="C993" s="152"/>
      <c r="D993" s="152"/>
      <c r="E993" s="152"/>
      <c r="F993" s="152"/>
      <c r="G993" s="152"/>
      <c r="H993" s="152"/>
      <c r="I993" s="152"/>
      <c r="J993" s="152"/>
      <c r="K993" s="152"/>
      <c r="L993" s="152"/>
      <c r="M993" s="152"/>
      <c r="N993" s="152"/>
      <c r="O993" s="152"/>
      <c r="P993" s="152"/>
      <c r="Q993" s="152"/>
      <c r="R993" s="152"/>
      <c r="S993" s="152"/>
      <c r="T993" s="152"/>
      <c r="U993" s="152"/>
      <c r="V993" s="152"/>
      <c r="W993" s="152"/>
      <c r="X993" s="152"/>
      <c r="Y993" s="152"/>
      <c r="Z993" s="152"/>
    </row>
    <row r="994" ht="12.8" customHeight="1" spans="1:26">
      <c r="A994" s="152"/>
      <c r="B994" s="152"/>
      <c r="C994" s="152"/>
      <c r="D994" s="152"/>
      <c r="E994" s="152"/>
      <c r="F994" s="152"/>
      <c r="G994" s="152"/>
      <c r="H994" s="152"/>
      <c r="I994" s="152"/>
      <c r="J994" s="152"/>
      <c r="K994" s="152"/>
      <c r="L994" s="152"/>
      <c r="M994" s="152"/>
      <c r="N994" s="152"/>
      <c r="O994" s="152"/>
      <c r="P994" s="152"/>
      <c r="Q994" s="152"/>
      <c r="R994" s="152"/>
      <c r="S994" s="152"/>
      <c r="T994" s="152"/>
      <c r="U994" s="152"/>
      <c r="V994" s="152"/>
      <c r="W994" s="152"/>
      <c r="X994" s="152"/>
      <c r="Y994" s="152"/>
      <c r="Z994" s="152"/>
    </row>
    <row r="995" ht="12.8" customHeight="1" spans="1:26">
      <c r="A995" s="152"/>
      <c r="B995" s="152"/>
      <c r="C995" s="152"/>
      <c r="D995" s="152"/>
      <c r="E995" s="152"/>
      <c r="F995" s="152"/>
      <c r="G995" s="152"/>
      <c r="H995" s="152"/>
      <c r="I995" s="152"/>
      <c r="J995" s="152"/>
      <c r="K995" s="152"/>
      <c r="L995" s="152"/>
      <c r="M995" s="152"/>
      <c r="N995" s="152"/>
      <c r="O995" s="152"/>
      <c r="P995" s="152"/>
      <c r="Q995" s="152"/>
      <c r="R995" s="152"/>
      <c r="S995" s="152"/>
      <c r="T995" s="152"/>
      <c r="U995" s="152"/>
      <c r="V995" s="152"/>
      <c r="W995" s="152"/>
      <c r="X995" s="152"/>
      <c r="Y995" s="152"/>
      <c r="Z995" s="152"/>
    </row>
    <row r="996" ht="12.8" customHeight="1" spans="1:26">
      <c r="A996" s="152"/>
      <c r="B996" s="152"/>
      <c r="C996" s="152"/>
      <c r="D996" s="152"/>
      <c r="E996" s="152"/>
      <c r="F996" s="152"/>
      <c r="G996" s="152"/>
      <c r="H996" s="152"/>
      <c r="I996" s="152"/>
      <c r="J996" s="152"/>
      <c r="K996" s="152"/>
      <c r="L996" s="152"/>
      <c r="M996" s="152"/>
      <c r="N996" s="152"/>
      <c r="O996" s="152"/>
      <c r="P996" s="152"/>
      <c r="Q996" s="152"/>
      <c r="R996" s="152"/>
      <c r="S996" s="152"/>
      <c r="T996" s="152"/>
      <c r="U996" s="152"/>
      <c r="V996" s="152"/>
      <c r="W996" s="152"/>
      <c r="X996" s="152"/>
      <c r="Y996" s="152"/>
      <c r="Z996" s="152"/>
    </row>
    <row r="997" ht="12.8" customHeight="1" spans="1:26">
      <c r="A997" s="152"/>
      <c r="B997" s="152"/>
      <c r="C997" s="152"/>
      <c r="D997" s="152"/>
      <c r="E997" s="152"/>
      <c r="F997" s="152"/>
      <c r="G997" s="152"/>
      <c r="H997" s="152"/>
      <c r="I997" s="152"/>
      <c r="J997" s="152"/>
      <c r="K997" s="152"/>
      <c r="L997" s="152"/>
      <c r="M997" s="152"/>
      <c r="N997" s="152"/>
      <c r="O997" s="152"/>
      <c r="P997" s="152"/>
      <c r="Q997" s="152"/>
      <c r="R997" s="152"/>
      <c r="S997" s="152"/>
      <c r="T997" s="152"/>
      <c r="U997" s="152"/>
      <c r="V997" s="152"/>
      <c r="W997" s="152"/>
      <c r="X997" s="152"/>
      <c r="Y997" s="152"/>
      <c r="Z997" s="152"/>
    </row>
    <row r="998" ht="12.8" customHeight="1" spans="1:26">
      <c r="A998" s="152"/>
      <c r="B998" s="152"/>
      <c r="C998" s="152"/>
      <c r="D998" s="152"/>
      <c r="E998" s="152"/>
      <c r="F998" s="152"/>
      <c r="G998" s="152"/>
      <c r="H998" s="152"/>
      <c r="I998" s="152"/>
      <c r="J998" s="152"/>
      <c r="K998" s="152"/>
      <c r="L998" s="152"/>
      <c r="M998" s="152"/>
      <c r="N998" s="152"/>
      <c r="O998" s="152"/>
      <c r="P998" s="152"/>
      <c r="Q998" s="152"/>
      <c r="R998" s="152"/>
      <c r="S998" s="152"/>
      <c r="T998" s="152"/>
      <c r="U998" s="152"/>
      <c r="V998" s="152"/>
      <c r="W998" s="152"/>
      <c r="X998" s="152"/>
      <c r="Y998" s="152"/>
      <c r="Z998" s="152"/>
    </row>
    <row r="999" ht="12.8" customHeight="1" spans="1:26">
      <c r="A999" s="152"/>
      <c r="B999" s="152"/>
      <c r="C999" s="152"/>
      <c r="D999" s="152"/>
      <c r="E999" s="152"/>
      <c r="F999" s="152"/>
      <c r="G999" s="152"/>
      <c r="H999" s="152"/>
      <c r="I999" s="152"/>
      <c r="J999" s="152"/>
      <c r="K999" s="152"/>
      <c r="L999" s="152"/>
      <c r="M999" s="152"/>
      <c r="N999" s="152"/>
      <c r="O999" s="152"/>
      <c r="P999" s="152"/>
      <c r="Q999" s="152"/>
      <c r="R999" s="152"/>
      <c r="S999" s="152"/>
      <c r="T999" s="152"/>
      <c r="U999" s="152"/>
      <c r="V999" s="152"/>
      <c r="W999" s="152"/>
      <c r="X999" s="152"/>
      <c r="Y999" s="152"/>
      <c r="Z999" s="152"/>
    </row>
    <row r="1000" ht="12.8" customHeight="1" spans="1:26">
      <c r="A1000" s="152"/>
      <c r="B1000" s="152"/>
      <c r="C1000" s="152"/>
      <c r="D1000" s="152"/>
      <c r="E1000" s="152"/>
      <c r="F1000" s="152"/>
      <c r="G1000" s="152"/>
      <c r="H1000" s="152"/>
      <c r="I1000" s="152"/>
      <c r="J1000" s="152"/>
      <c r="K1000" s="152"/>
      <c r="L1000" s="152"/>
      <c r="M1000" s="152"/>
      <c r="N1000" s="152"/>
      <c r="O1000" s="152"/>
      <c r="P1000" s="152"/>
      <c r="Q1000" s="152"/>
      <c r="R1000" s="152"/>
      <c r="S1000" s="152"/>
      <c r="T1000" s="152"/>
      <c r="U1000" s="152"/>
      <c r="V1000" s="152"/>
      <c r="W1000" s="152"/>
      <c r="X1000" s="152"/>
      <c r="Y1000" s="152"/>
      <c r="Z1000" s="152"/>
    </row>
  </sheetData>
  <mergeCells count="11">
    <mergeCell ref="A2:I2"/>
    <mergeCell ref="B4:C4"/>
    <mergeCell ref="D4:E4"/>
    <mergeCell ref="F4:I4"/>
    <mergeCell ref="B5:C5"/>
    <mergeCell ref="D5:E5"/>
    <mergeCell ref="F5:I5"/>
    <mergeCell ref="B6:C6"/>
    <mergeCell ref="D6:E6"/>
    <mergeCell ref="F6:I6"/>
    <mergeCell ref="B7:I7"/>
  </mergeCells>
  <pageMargins left="0.7" right="0.7" top="0.75" bottom="0.75" header="0" footer="0"/>
  <pageSetup paperSize="1" orientation="landscape" useFirstPageNumber="1"/>
  <headerFooter>
    <oddFooter>&amp;L 02ae-BM/PM/HDCV/FSOFT v2/1&amp;CInternal use&amp;R&amp;P/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808080"/>
  </sheetPr>
  <dimension ref="A1:Z1000"/>
  <sheetViews>
    <sheetView workbookViewId="0">
      <selection activeCell="A1" sqref="A1:B1"/>
    </sheetView>
  </sheetViews>
  <sheetFormatPr defaultColWidth="14.4406779661017" defaultRowHeight="15.05" customHeight="1"/>
  <cols>
    <col min="1" max="1" width="9.33050847457627" customWidth="1"/>
    <col min="2" max="2" width="15.3305084745763" customWidth="1"/>
    <col min="3" max="3" width="12.3305084745763" customWidth="1"/>
    <col min="4" max="4" width="13" customWidth="1"/>
    <col min="5" max="5" width="2" hidden="1" customWidth="1"/>
    <col min="6" max="6" width="4.44067796610169" customWidth="1"/>
    <col min="7" max="7" width="4.88983050847458" customWidth="1"/>
    <col min="8" max="8" width="4.33050847457627" customWidth="1"/>
    <col min="9" max="9" width="4" customWidth="1"/>
    <col min="10" max="10" width="4.44067796610169" customWidth="1"/>
    <col min="11" max="11" width="5" customWidth="1"/>
    <col min="12" max="12" width="4" customWidth="1"/>
    <col min="13" max="13" width="4.88983050847458" customWidth="1"/>
    <col min="14" max="14" width="4.55084745762712" customWidth="1"/>
    <col min="15" max="16" width="4.33050847457627" customWidth="1"/>
    <col min="17" max="17" width="4.44067796610169" customWidth="1"/>
    <col min="18" max="18" width="4" customWidth="1"/>
    <col min="19" max="19" width="4.33050847457627" customWidth="1"/>
    <col min="20" max="20" width="4.44067796610169" customWidth="1"/>
    <col min="21" max="21" width="3.11016949152542" customWidth="1"/>
    <col min="22" max="23" width="10.3305084745763" customWidth="1"/>
    <col min="24" max="26" width="9.11016949152542" customWidth="1"/>
  </cols>
  <sheetData>
    <row r="1" customHeight="1" spans="1:26">
      <c r="A1" s="46" t="s">
        <v>680</v>
      </c>
      <c r="B1" s="47"/>
      <c r="C1" s="48"/>
      <c r="D1" s="47"/>
      <c r="E1" s="49"/>
      <c r="F1" s="50" t="s">
        <v>681</v>
      </c>
      <c r="G1" s="51"/>
      <c r="H1" s="51"/>
      <c r="I1" s="51"/>
      <c r="J1" s="51"/>
      <c r="K1" s="51"/>
      <c r="L1" s="52"/>
      <c r="M1" s="47"/>
      <c r="N1" s="47"/>
      <c r="O1" s="47"/>
      <c r="P1" s="47"/>
      <c r="Q1" s="47"/>
      <c r="R1" s="47"/>
      <c r="S1" s="47"/>
      <c r="T1" s="53"/>
      <c r="U1" s="54"/>
      <c r="V1" s="54"/>
      <c r="W1" s="54"/>
      <c r="X1" s="54"/>
      <c r="Y1" s="54"/>
      <c r="Z1" s="54"/>
    </row>
    <row r="2" ht="13.6" customHeight="1" spans="1:26">
      <c r="A2" s="55" t="s">
        <v>682</v>
      </c>
      <c r="B2" s="56"/>
      <c r="C2" s="57"/>
      <c r="D2" s="58"/>
      <c r="E2" s="56"/>
      <c r="F2" s="59" t="s">
        <v>683</v>
      </c>
      <c r="G2" s="58"/>
      <c r="H2" s="58"/>
      <c r="I2" s="58"/>
      <c r="J2" s="58"/>
      <c r="K2" s="56"/>
      <c r="L2" s="60"/>
      <c r="M2" s="58"/>
      <c r="N2" s="58"/>
      <c r="O2" s="61"/>
      <c r="P2" s="61"/>
      <c r="Q2" s="61"/>
      <c r="R2" s="61"/>
      <c r="S2" s="61"/>
      <c r="T2" s="62"/>
      <c r="U2" s="54"/>
      <c r="V2" s="54"/>
      <c r="W2" s="54"/>
      <c r="X2" s="54"/>
      <c r="Y2" s="54"/>
      <c r="Z2" s="54"/>
    </row>
    <row r="3" ht="13.6" customHeight="1" spans="1:26">
      <c r="A3" s="63" t="s">
        <v>684</v>
      </c>
      <c r="B3" s="64"/>
      <c r="C3" s="65"/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7"/>
      <c r="U3" s="54"/>
      <c r="V3" s="54"/>
      <c r="W3" s="54"/>
      <c r="X3" s="54"/>
      <c r="Y3" s="54"/>
      <c r="Z3" s="54"/>
    </row>
    <row r="4" ht="13.6" customHeight="1" spans="1:26">
      <c r="A4" s="68" t="s">
        <v>667</v>
      </c>
      <c r="B4" s="64"/>
      <c r="C4" s="69" t="s">
        <v>668</v>
      </c>
      <c r="D4" s="66"/>
      <c r="E4" s="64"/>
      <c r="F4" s="69" t="s">
        <v>669</v>
      </c>
      <c r="G4" s="66"/>
      <c r="H4" s="66"/>
      <c r="I4" s="66"/>
      <c r="J4" s="66"/>
      <c r="K4" s="64"/>
      <c r="L4" s="70" t="s">
        <v>685</v>
      </c>
      <c r="M4" s="66"/>
      <c r="N4" s="66"/>
      <c r="O4" s="69" t="s">
        <v>672</v>
      </c>
      <c r="P4" s="66"/>
      <c r="Q4" s="66"/>
      <c r="R4" s="66"/>
      <c r="S4" s="66"/>
      <c r="T4" s="67"/>
      <c r="U4" s="54"/>
      <c r="V4" s="71"/>
      <c r="W4" s="54"/>
      <c r="X4" s="54"/>
      <c r="Y4" s="54"/>
      <c r="Z4" s="54"/>
    </row>
    <row r="5" ht="13.6" customHeight="1" spans="1:26">
      <c r="A5" s="72">
        <v>0</v>
      </c>
      <c r="B5" s="73"/>
      <c r="C5" s="74">
        <f>COUNTIF(F37:HQ37,"F")</f>
        <v>0</v>
      </c>
      <c r="D5" s="75"/>
      <c r="E5" s="73"/>
      <c r="F5" s="74">
        <v>0</v>
      </c>
      <c r="G5" s="75"/>
      <c r="H5" s="75"/>
      <c r="I5" s="75"/>
      <c r="J5" s="75"/>
      <c r="K5" s="73"/>
      <c r="L5" s="74">
        <v>0</v>
      </c>
      <c r="M5" s="74">
        <v>0</v>
      </c>
      <c r="N5" s="74">
        <f>COUNTIF(E36:HQ36,"B")</f>
        <v>0</v>
      </c>
      <c r="O5" s="74">
        <v>0</v>
      </c>
      <c r="P5" s="75"/>
      <c r="Q5" s="75"/>
      <c r="R5" s="75"/>
      <c r="S5" s="75"/>
      <c r="T5" s="76"/>
      <c r="U5" s="77"/>
      <c r="V5" s="54"/>
      <c r="W5" s="54"/>
      <c r="X5" s="54"/>
      <c r="Y5" s="54"/>
      <c r="Z5" s="54"/>
    </row>
    <row r="6" ht="9.85" customHeight="1" spans="1:26">
      <c r="A6" s="54"/>
      <c r="B6" s="78"/>
      <c r="C6" s="54"/>
      <c r="D6" s="79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54"/>
      <c r="Q6" s="54"/>
      <c r="R6" s="54"/>
      <c r="S6" s="54"/>
      <c r="T6" s="54"/>
      <c r="U6" s="54"/>
      <c r="V6" s="54"/>
      <c r="W6" s="54"/>
      <c r="X6" s="54"/>
      <c r="Y6" s="54"/>
      <c r="Z6" s="54"/>
    </row>
    <row r="7" ht="40.6" customHeight="1" spans="1:26">
      <c r="A7" s="80"/>
      <c r="B7" s="81"/>
      <c r="C7" s="82"/>
      <c r="D7" s="83"/>
      <c r="E7" s="82"/>
      <c r="F7" s="84" t="s">
        <v>686</v>
      </c>
      <c r="G7" s="84" t="s">
        <v>687</v>
      </c>
      <c r="H7" s="84" t="s">
        <v>688</v>
      </c>
      <c r="I7" s="84" t="s">
        <v>689</v>
      </c>
      <c r="J7" s="84"/>
      <c r="K7" s="84"/>
      <c r="L7" s="84"/>
      <c r="M7" s="84"/>
      <c r="N7" s="84"/>
      <c r="O7" s="84"/>
      <c r="P7" s="84"/>
      <c r="Q7" s="84"/>
      <c r="R7" s="84"/>
      <c r="S7" s="84"/>
      <c r="T7" s="85"/>
      <c r="U7" s="86"/>
      <c r="V7" s="71"/>
      <c r="W7" s="54"/>
      <c r="X7" s="54"/>
      <c r="Y7" s="54"/>
      <c r="Z7" s="54"/>
    </row>
    <row r="8" ht="13.6" customHeight="1" spans="1:26">
      <c r="A8" s="87" t="s">
        <v>690</v>
      </c>
      <c r="B8" s="88" t="s">
        <v>691</v>
      </c>
      <c r="C8" s="89"/>
      <c r="D8" s="90"/>
      <c r="E8" s="91"/>
      <c r="F8" s="92"/>
      <c r="G8" s="92"/>
      <c r="H8" s="92"/>
      <c r="I8" s="92"/>
      <c r="J8" s="92"/>
      <c r="K8" s="92"/>
      <c r="L8" s="92"/>
      <c r="M8" s="92"/>
      <c r="N8" s="92"/>
      <c r="O8" s="92"/>
      <c r="P8" s="92"/>
      <c r="Q8" s="92"/>
      <c r="R8" s="92"/>
      <c r="S8" s="92"/>
      <c r="T8" s="93"/>
      <c r="U8" s="54"/>
      <c r="V8" s="54"/>
      <c r="W8" s="54"/>
      <c r="X8" s="54"/>
      <c r="Y8" s="54"/>
      <c r="Z8" s="54"/>
    </row>
    <row r="9" ht="13.6" customHeight="1" spans="1:26">
      <c r="A9" s="94"/>
      <c r="B9" s="88"/>
      <c r="C9" s="89"/>
      <c r="D9" s="90" t="s">
        <v>529</v>
      </c>
      <c r="E9" s="95"/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3"/>
      <c r="U9" s="54"/>
      <c r="V9" s="71"/>
      <c r="W9" s="54"/>
      <c r="X9" s="54"/>
      <c r="Y9" s="54"/>
      <c r="Z9" s="54"/>
    </row>
    <row r="10" ht="13.6" customHeight="1" spans="1:26">
      <c r="A10" s="94"/>
      <c r="B10" s="88"/>
      <c r="C10" s="89"/>
      <c r="D10" s="90"/>
      <c r="E10" s="95"/>
      <c r="F10" s="92"/>
      <c r="G10" s="92"/>
      <c r="H10" s="92"/>
      <c r="I10" s="92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3"/>
      <c r="U10" s="54"/>
      <c r="V10" s="54"/>
      <c r="W10" s="54"/>
      <c r="X10" s="54"/>
      <c r="Y10" s="54"/>
      <c r="Z10" s="54"/>
    </row>
    <row r="11" ht="13.6" customHeight="1" spans="1:26">
      <c r="A11" s="94"/>
      <c r="B11" s="88"/>
      <c r="C11" s="89"/>
      <c r="D11" s="90"/>
      <c r="E11" s="96"/>
      <c r="F11" s="92"/>
      <c r="G11" s="92"/>
      <c r="H11" s="92"/>
      <c r="I11" s="92"/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3"/>
      <c r="U11" s="54"/>
      <c r="V11" s="71"/>
      <c r="W11" s="54"/>
      <c r="X11" s="54"/>
      <c r="Y11" s="54"/>
      <c r="Z11" s="54"/>
    </row>
    <row r="12" ht="13.6" customHeight="1" spans="1:26">
      <c r="A12" s="94"/>
      <c r="B12" s="88"/>
      <c r="C12" s="89"/>
      <c r="D12" s="90"/>
      <c r="E12" s="97"/>
      <c r="F12" s="92"/>
      <c r="G12" s="92"/>
      <c r="H12" s="92"/>
      <c r="I12" s="92"/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3"/>
      <c r="U12" s="54"/>
      <c r="V12" s="54"/>
      <c r="W12" s="54"/>
      <c r="X12" s="54"/>
      <c r="Y12" s="54"/>
      <c r="Z12" s="54"/>
    </row>
    <row r="13" ht="13.6" customHeight="1" spans="1:26">
      <c r="A13" s="94"/>
      <c r="B13" s="88"/>
      <c r="C13" s="89"/>
      <c r="D13" s="90"/>
      <c r="E13" s="97"/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3"/>
      <c r="U13" s="54"/>
      <c r="V13" s="54"/>
      <c r="W13" s="54"/>
      <c r="X13" s="54"/>
      <c r="Y13" s="54"/>
      <c r="Z13" s="54"/>
    </row>
    <row r="14" ht="13.6" customHeight="1" spans="1:26">
      <c r="A14" s="94"/>
      <c r="B14" s="88"/>
      <c r="C14" s="89"/>
      <c r="D14" s="90"/>
      <c r="E14" s="97"/>
      <c r="F14" s="92"/>
      <c r="G14" s="92"/>
      <c r="H14" s="92"/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3"/>
      <c r="U14" s="54"/>
      <c r="V14" s="54"/>
      <c r="W14" s="54"/>
      <c r="X14" s="54"/>
      <c r="Y14" s="54"/>
      <c r="Z14" s="54"/>
    </row>
    <row r="15" ht="13.6" customHeight="1" spans="1:26">
      <c r="A15" s="94"/>
      <c r="B15" s="88"/>
      <c r="C15" s="89"/>
      <c r="D15" s="90"/>
      <c r="E15" s="97"/>
      <c r="F15" s="92"/>
      <c r="G15" s="92"/>
      <c r="H15" s="92"/>
      <c r="I15" s="92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3"/>
      <c r="U15" s="98"/>
      <c r="V15" s="54"/>
      <c r="W15" s="54"/>
      <c r="X15" s="54"/>
      <c r="Y15" s="54"/>
      <c r="Z15" s="54"/>
    </row>
    <row r="16" ht="13.6" customHeight="1" spans="1:26">
      <c r="A16" s="94"/>
      <c r="B16" s="88"/>
      <c r="C16" s="89"/>
      <c r="D16" s="90"/>
      <c r="E16" s="97"/>
      <c r="F16" s="92"/>
      <c r="G16" s="92"/>
      <c r="H16" s="92"/>
      <c r="I16" s="92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3"/>
      <c r="U16" s="98"/>
      <c r="V16" s="54"/>
      <c r="W16" s="54"/>
      <c r="X16" s="54"/>
      <c r="Y16" s="54"/>
      <c r="Z16" s="54"/>
    </row>
    <row r="17" ht="13.6" customHeight="1" spans="1:26">
      <c r="A17" s="94"/>
      <c r="B17" s="88"/>
      <c r="C17" s="89"/>
      <c r="D17" s="90"/>
      <c r="E17" s="97"/>
      <c r="F17" s="92"/>
      <c r="G17" s="92"/>
      <c r="H17" s="92"/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3"/>
      <c r="U17" s="98"/>
      <c r="V17" s="54"/>
      <c r="W17" s="54"/>
      <c r="X17" s="54"/>
      <c r="Y17" s="54"/>
      <c r="Z17" s="54"/>
    </row>
    <row r="18" ht="13.6" customHeight="1" spans="1:26">
      <c r="A18" s="94"/>
      <c r="B18" s="88"/>
      <c r="C18" s="89"/>
      <c r="D18" s="79"/>
      <c r="F18" s="92"/>
      <c r="G18" s="92"/>
      <c r="H18" s="92"/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3"/>
      <c r="U18" s="54"/>
      <c r="V18" s="54"/>
      <c r="W18" s="54"/>
      <c r="X18" s="54"/>
      <c r="Y18" s="54"/>
      <c r="Z18" s="54"/>
    </row>
    <row r="19" ht="13.6" customHeight="1" spans="1:26">
      <c r="A19" s="94"/>
      <c r="B19" s="88"/>
      <c r="C19" s="89"/>
      <c r="D19" s="90"/>
      <c r="E19" s="97"/>
      <c r="F19" s="92"/>
      <c r="G19" s="92"/>
      <c r="H19" s="92"/>
      <c r="I19" s="92"/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3"/>
      <c r="U19" s="54"/>
      <c r="V19" s="54"/>
      <c r="W19" s="54"/>
      <c r="X19" s="54"/>
      <c r="Y19" s="54"/>
      <c r="Z19" s="54"/>
    </row>
    <row r="20" ht="13.6" customHeight="1" spans="1:26">
      <c r="A20" s="94"/>
      <c r="B20" s="88"/>
      <c r="C20" s="89"/>
      <c r="D20" s="90"/>
      <c r="E20" s="97"/>
      <c r="F20" s="92"/>
      <c r="G20" s="92"/>
      <c r="H20" s="92"/>
      <c r="I20" s="92"/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3"/>
      <c r="U20" s="54"/>
      <c r="V20" s="54"/>
      <c r="W20" s="54"/>
      <c r="X20" s="54"/>
      <c r="Y20" s="54"/>
      <c r="Z20" s="54"/>
    </row>
    <row r="21" ht="13.6" customHeight="1" spans="1:26">
      <c r="A21" s="94"/>
      <c r="B21" s="88"/>
      <c r="C21" s="89"/>
      <c r="D21" s="90"/>
      <c r="E21" s="97"/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3"/>
      <c r="U21" s="54"/>
      <c r="V21" s="54"/>
      <c r="W21" s="54"/>
      <c r="X21" s="54"/>
      <c r="Y21" s="54"/>
      <c r="Z21" s="54"/>
    </row>
    <row r="22" ht="13.6" customHeight="1" spans="1:26">
      <c r="A22" s="94"/>
      <c r="B22" s="99"/>
      <c r="C22" s="100"/>
      <c r="D22" s="101"/>
      <c r="E22" s="102"/>
      <c r="F22" s="92"/>
      <c r="G22" s="92"/>
      <c r="H22" s="92"/>
      <c r="I22" s="92"/>
      <c r="J22" s="103"/>
      <c r="K22" s="103"/>
      <c r="L22" s="103"/>
      <c r="M22" s="103"/>
      <c r="N22" s="103"/>
      <c r="O22" s="103"/>
      <c r="P22" s="103"/>
      <c r="Q22" s="103"/>
      <c r="R22" s="103"/>
      <c r="S22" s="103"/>
      <c r="T22" s="104"/>
      <c r="U22" s="54"/>
      <c r="V22" s="54"/>
      <c r="W22" s="54"/>
      <c r="X22" s="54"/>
      <c r="Y22" s="54"/>
      <c r="Z22" s="54"/>
    </row>
    <row r="23" ht="13.6" customHeight="1" spans="1:26">
      <c r="A23" s="105" t="s">
        <v>692</v>
      </c>
      <c r="B23" s="106" t="s">
        <v>693</v>
      </c>
      <c r="C23" s="107"/>
      <c r="D23" s="108"/>
      <c r="E23" s="109"/>
      <c r="F23" s="92"/>
      <c r="G23" s="92"/>
      <c r="H23" s="92"/>
      <c r="I23" s="92"/>
      <c r="J23" s="110"/>
      <c r="K23" s="110"/>
      <c r="L23" s="110"/>
      <c r="M23" s="110"/>
      <c r="N23" s="110"/>
      <c r="O23" s="110"/>
      <c r="P23" s="110"/>
      <c r="Q23" s="110"/>
      <c r="R23" s="110"/>
      <c r="S23" s="110"/>
      <c r="T23" s="111"/>
      <c r="U23" s="54"/>
      <c r="V23" s="54"/>
      <c r="W23" s="54"/>
      <c r="X23" s="54"/>
      <c r="Y23" s="54"/>
      <c r="Z23" s="54"/>
    </row>
    <row r="24" ht="13.6" customHeight="1" spans="1:26">
      <c r="A24" s="112"/>
      <c r="B24" s="113"/>
      <c r="C24" s="114"/>
      <c r="D24" s="115"/>
      <c r="E24" s="116"/>
      <c r="F24" s="92"/>
      <c r="G24" s="92"/>
      <c r="H24" s="92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3"/>
      <c r="U24" s="54"/>
      <c r="V24" s="54"/>
      <c r="W24" s="54"/>
      <c r="X24" s="54"/>
      <c r="Y24" s="54"/>
      <c r="Z24" s="54"/>
    </row>
    <row r="25" ht="13.6" customHeight="1" spans="1:26">
      <c r="A25" s="112"/>
      <c r="B25" s="113"/>
      <c r="C25" s="117"/>
      <c r="D25" s="115"/>
      <c r="E25" s="118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3"/>
      <c r="U25" s="54"/>
      <c r="V25" s="54"/>
      <c r="W25" s="54"/>
      <c r="X25" s="54"/>
      <c r="Y25" s="54"/>
      <c r="Z25" s="54"/>
    </row>
    <row r="26" ht="13.6" customHeight="1" spans="1:26">
      <c r="A26" s="112"/>
      <c r="B26" s="113" t="s">
        <v>694</v>
      </c>
      <c r="C26" s="117"/>
      <c r="D26" s="115"/>
      <c r="E26" s="118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3"/>
      <c r="U26" s="54"/>
      <c r="V26" s="54"/>
      <c r="W26" s="54"/>
      <c r="X26" s="54"/>
      <c r="Y26" s="54"/>
      <c r="Z26" s="54"/>
    </row>
    <row r="27" ht="13.6" customHeight="1" spans="1:26">
      <c r="A27" s="112"/>
      <c r="B27" s="113"/>
      <c r="C27" s="117"/>
      <c r="D27" s="115"/>
      <c r="E27" s="118"/>
      <c r="F27" s="92"/>
      <c r="G27" s="92"/>
      <c r="H27" s="92"/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3"/>
      <c r="U27" s="54"/>
      <c r="V27" s="54"/>
      <c r="W27" s="54"/>
      <c r="X27" s="54"/>
      <c r="Y27" s="54"/>
      <c r="Z27" s="54"/>
    </row>
    <row r="28" ht="13.6" customHeight="1" spans="1:26">
      <c r="A28" s="112"/>
      <c r="B28" s="113"/>
      <c r="C28" s="117"/>
      <c r="D28" s="115"/>
      <c r="E28" s="118"/>
      <c r="F28" s="92"/>
      <c r="G28" s="92"/>
      <c r="H28" s="92"/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3"/>
      <c r="U28" s="54"/>
      <c r="V28" s="54"/>
      <c r="W28" s="54"/>
      <c r="X28" s="54"/>
      <c r="Y28" s="54"/>
      <c r="Z28" s="54"/>
    </row>
    <row r="29" ht="13.6" customHeight="1" spans="1:26">
      <c r="A29" s="112"/>
      <c r="B29" s="113"/>
      <c r="C29" s="117"/>
      <c r="D29" s="115"/>
      <c r="E29" s="118"/>
      <c r="F29" s="92"/>
      <c r="G29" s="92"/>
      <c r="H29" s="92"/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3"/>
      <c r="U29" s="54"/>
      <c r="V29" s="54"/>
      <c r="W29" s="54"/>
      <c r="X29" s="54"/>
      <c r="Y29" s="54"/>
      <c r="Z29" s="54"/>
    </row>
    <row r="30" ht="13.6" customHeight="1" spans="1:26">
      <c r="A30" s="112"/>
      <c r="B30" s="113"/>
      <c r="C30" s="117"/>
      <c r="D30" s="115"/>
      <c r="E30" s="118"/>
      <c r="F30" s="92"/>
      <c r="G30" s="92"/>
      <c r="H30" s="92"/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3"/>
      <c r="U30" s="54"/>
      <c r="V30" s="54"/>
      <c r="W30" s="54"/>
      <c r="X30" s="54"/>
      <c r="Y30" s="54"/>
      <c r="Z30" s="54"/>
    </row>
    <row r="31" ht="13.6" customHeight="1" spans="1:26">
      <c r="A31" s="112"/>
      <c r="B31" s="113"/>
      <c r="C31" s="117"/>
      <c r="D31" s="115"/>
      <c r="E31" s="118"/>
      <c r="F31" s="92"/>
      <c r="G31" s="92"/>
      <c r="H31" s="92"/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3"/>
      <c r="U31" s="54"/>
      <c r="V31" s="54"/>
      <c r="W31" s="54"/>
      <c r="X31" s="54"/>
      <c r="Y31" s="54"/>
      <c r="Z31" s="54"/>
    </row>
    <row r="32" ht="13.6" customHeight="1" spans="1:26">
      <c r="A32" s="112"/>
      <c r="B32" s="113" t="s">
        <v>695</v>
      </c>
      <c r="C32" s="117"/>
      <c r="D32" s="115"/>
      <c r="E32" s="118"/>
      <c r="F32" s="92"/>
      <c r="G32" s="92"/>
      <c r="H32" s="92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3"/>
      <c r="U32" s="54"/>
      <c r="V32" s="54"/>
      <c r="W32" s="54"/>
      <c r="X32" s="54"/>
      <c r="Y32" s="54"/>
      <c r="Z32" s="54"/>
    </row>
    <row r="33" ht="13.6" customHeight="1" spans="1:26">
      <c r="A33" s="112"/>
      <c r="B33" s="113"/>
      <c r="C33" s="117"/>
      <c r="D33" s="115"/>
      <c r="E33" s="118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3"/>
      <c r="U33" s="54"/>
      <c r="V33" s="54"/>
      <c r="W33" s="54"/>
      <c r="X33" s="54"/>
      <c r="Y33" s="54"/>
      <c r="Z33" s="54"/>
    </row>
    <row r="34" ht="13.6" customHeight="1" spans="1:26">
      <c r="A34" s="112"/>
      <c r="B34" s="119"/>
      <c r="C34" s="120"/>
      <c r="D34" s="121"/>
      <c r="E34" s="122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4"/>
      <c r="U34" s="54"/>
      <c r="V34" s="54"/>
      <c r="W34" s="54"/>
      <c r="X34" s="54"/>
      <c r="Y34" s="54"/>
      <c r="Z34" s="54"/>
    </row>
    <row r="35" ht="13.6" customHeight="1" spans="1:26">
      <c r="A35" s="112"/>
      <c r="B35" s="125"/>
      <c r="C35" s="126"/>
      <c r="D35" s="127"/>
      <c r="E35" s="128"/>
      <c r="F35" s="129"/>
      <c r="G35" s="129"/>
      <c r="H35" s="129"/>
      <c r="I35" s="129"/>
      <c r="J35" s="129"/>
      <c r="K35" s="129"/>
      <c r="L35" s="129"/>
      <c r="M35" s="129"/>
      <c r="N35" s="129"/>
      <c r="O35" s="129"/>
      <c r="P35" s="129"/>
      <c r="Q35" s="129"/>
      <c r="R35" s="129"/>
      <c r="S35" s="129"/>
      <c r="T35" s="130"/>
      <c r="U35" s="54"/>
      <c r="V35" s="54"/>
      <c r="W35" s="54"/>
      <c r="X35" s="54"/>
      <c r="Y35" s="54"/>
      <c r="Z35" s="54"/>
    </row>
    <row r="36" ht="13.6" customHeight="1" spans="1:26">
      <c r="A36" s="105" t="s">
        <v>696</v>
      </c>
      <c r="B36" s="131" t="s">
        <v>697</v>
      </c>
      <c r="C36" s="132"/>
      <c r="D36" s="133"/>
      <c r="E36" s="134"/>
      <c r="F36" s="135"/>
      <c r="G36" s="135"/>
      <c r="H36" s="135"/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6"/>
      <c r="U36" s="54"/>
      <c r="V36" s="54"/>
      <c r="W36" s="54"/>
      <c r="X36" s="54"/>
      <c r="Y36" s="54"/>
      <c r="Z36" s="54"/>
    </row>
    <row r="37" ht="13.6" customHeight="1" spans="1:26">
      <c r="A37" s="112"/>
      <c r="B37" s="137" t="s">
        <v>698</v>
      </c>
      <c r="C37" s="66"/>
      <c r="D37" s="64"/>
      <c r="E37" s="138"/>
      <c r="F37" s="139"/>
      <c r="G37" s="139"/>
      <c r="H37" s="139"/>
      <c r="I37" s="139"/>
      <c r="J37" s="139"/>
      <c r="K37" s="139"/>
      <c r="L37" s="139"/>
      <c r="M37" s="139"/>
      <c r="N37" s="139"/>
      <c r="O37" s="139"/>
      <c r="P37" s="139"/>
      <c r="Q37" s="139"/>
      <c r="R37" s="139"/>
      <c r="S37" s="139"/>
      <c r="T37" s="140"/>
      <c r="U37" s="54"/>
      <c r="V37" s="54"/>
      <c r="W37" s="54"/>
      <c r="X37" s="54"/>
      <c r="Y37" s="54"/>
      <c r="Z37" s="54"/>
    </row>
    <row r="38" ht="13.6" customHeight="1" spans="1:26">
      <c r="A38" s="112"/>
      <c r="B38" s="141" t="s">
        <v>699</v>
      </c>
      <c r="C38" s="66"/>
      <c r="D38" s="64"/>
      <c r="E38" s="142"/>
      <c r="F38" s="143"/>
      <c r="G38" s="143"/>
      <c r="H38" s="143"/>
      <c r="I38" s="143"/>
      <c r="J38" s="143"/>
      <c r="K38" s="143"/>
      <c r="L38" s="143"/>
      <c r="M38" s="143"/>
      <c r="N38" s="143"/>
      <c r="O38" s="143"/>
      <c r="P38" s="143"/>
      <c r="Q38" s="143"/>
      <c r="R38" s="143"/>
      <c r="S38" s="143"/>
      <c r="T38" s="144"/>
      <c r="U38" s="54"/>
      <c r="V38" s="54"/>
      <c r="W38" s="54"/>
      <c r="X38" s="54"/>
      <c r="Y38" s="54"/>
      <c r="Z38" s="54"/>
    </row>
    <row r="39" ht="69.05" customHeight="1" spans="1:26">
      <c r="A39" s="145"/>
      <c r="B39" s="146" t="s">
        <v>700</v>
      </c>
      <c r="C39" s="147"/>
      <c r="D39" s="148"/>
      <c r="E39" s="149"/>
      <c r="F39" s="150"/>
      <c r="G39" s="150"/>
      <c r="H39" s="150"/>
      <c r="I39" s="150"/>
      <c r="J39" s="150"/>
      <c r="K39" s="150"/>
      <c r="L39" s="150"/>
      <c r="M39" s="150"/>
      <c r="N39" s="150"/>
      <c r="O39" s="150"/>
      <c r="P39" s="150"/>
      <c r="Q39" s="150"/>
      <c r="R39" s="150"/>
      <c r="S39" s="150"/>
      <c r="T39" s="151"/>
      <c r="U39" s="54"/>
      <c r="V39" s="54"/>
      <c r="W39" s="54"/>
      <c r="X39" s="54"/>
      <c r="Y39" s="54"/>
      <c r="Z39" s="54"/>
    </row>
    <row r="40" ht="9.85" customHeight="1" spans="1:26">
      <c r="A40" s="78"/>
      <c r="B40" s="54"/>
      <c r="C40" s="79"/>
      <c r="D40" s="54"/>
      <c r="E40" s="54"/>
      <c r="F40" s="54"/>
      <c r="G40" s="54"/>
      <c r="H40" s="54"/>
      <c r="I40" s="54"/>
      <c r="J40" s="54"/>
      <c r="K40" s="54"/>
      <c r="L40" s="54"/>
      <c r="M40" s="54"/>
      <c r="N40" s="54"/>
      <c r="O40" s="54"/>
      <c r="P40" s="54"/>
      <c r="Q40" s="54"/>
      <c r="R40" s="54"/>
      <c r="S40" s="54"/>
      <c r="T40" s="54"/>
      <c r="U40" s="54"/>
      <c r="V40" s="54"/>
      <c r="W40" s="54"/>
      <c r="X40" s="54"/>
      <c r="Y40" s="54"/>
      <c r="Z40" s="54"/>
    </row>
    <row r="41" ht="13.6" customHeight="1" spans="1:26">
      <c r="A41" s="54"/>
      <c r="B41" s="78"/>
      <c r="C41" s="54"/>
      <c r="D41" s="79"/>
      <c r="E41" s="54"/>
      <c r="F41" s="54"/>
      <c r="G41" s="54"/>
      <c r="H41" s="54"/>
      <c r="I41" s="54"/>
      <c r="J41" s="54"/>
      <c r="K41" s="54"/>
      <c r="L41" s="54"/>
      <c r="M41" s="54"/>
      <c r="N41" s="54"/>
      <c r="O41" s="54"/>
      <c r="P41" s="54"/>
      <c r="Q41" s="54"/>
      <c r="R41" s="54"/>
      <c r="S41" s="54"/>
      <c r="T41" s="54"/>
      <c r="U41" s="54"/>
      <c r="V41" s="54"/>
      <c r="W41" s="54"/>
      <c r="X41" s="54"/>
      <c r="Y41" s="54"/>
      <c r="Z41" s="54"/>
    </row>
    <row r="42" ht="13.6" customHeight="1" spans="1:26">
      <c r="A42" s="54"/>
      <c r="B42" s="78"/>
      <c r="C42" s="54"/>
      <c r="D42" s="79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4"/>
    </row>
    <row r="43" ht="13.6" customHeight="1" spans="1:26">
      <c r="A43" s="54"/>
      <c r="B43" s="78"/>
      <c r="C43" s="54"/>
      <c r="D43" s="79"/>
      <c r="E43" s="54"/>
      <c r="F43" s="54"/>
      <c r="G43" s="54"/>
      <c r="H43" s="54"/>
      <c r="I43" s="54"/>
      <c r="J43" s="54"/>
      <c r="K43" s="54"/>
      <c r="L43" s="54"/>
      <c r="M43" s="54"/>
      <c r="N43" s="54"/>
      <c r="O43" s="54"/>
      <c r="P43" s="54"/>
      <c r="Q43" s="54"/>
      <c r="R43" s="54"/>
      <c r="S43" s="54"/>
      <c r="T43" s="54"/>
      <c r="U43" s="54"/>
      <c r="V43" s="54"/>
      <c r="W43" s="54"/>
      <c r="X43" s="54"/>
      <c r="Y43" s="54"/>
      <c r="Z43" s="54"/>
    </row>
    <row r="44" ht="13.6" customHeight="1" spans="1:26">
      <c r="A44" s="54"/>
      <c r="B44" s="78"/>
      <c r="C44" s="54"/>
      <c r="D44" s="79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</row>
    <row r="45" ht="13.6" customHeight="1" spans="1:26">
      <c r="A45" s="54"/>
      <c r="B45" s="78"/>
      <c r="C45" s="54"/>
      <c r="D45" s="79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</row>
    <row r="46" ht="13.6" customHeight="1" spans="1:26">
      <c r="A46" s="54"/>
      <c r="B46" s="78"/>
      <c r="C46" s="54"/>
      <c r="D46" s="79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</row>
    <row r="47" ht="13.6" customHeight="1" spans="1:26">
      <c r="A47" s="54"/>
      <c r="B47" s="78"/>
      <c r="C47" s="54"/>
      <c r="D47" s="79"/>
      <c r="E47" s="54"/>
      <c r="F47" s="54"/>
      <c r="G47" s="54"/>
      <c r="H47" s="54"/>
      <c r="I47" s="54"/>
      <c r="J47" s="54"/>
      <c r="K47" s="54"/>
      <c r="L47" s="54"/>
      <c r="M47" s="54"/>
      <c r="N47" s="54"/>
      <c r="O47" s="54"/>
      <c r="P47" s="54"/>
      <c r="Q47" s="54"/>
      <c r="R47" s="54"/>
      <c r="S47" s="54"/>
      <c r="T47" s="54"/>
      <c r="U47" s="54"/>
      <c r="V47" s="54"/>
      <c r="W47" s="54"/>
      <c r="X47" s="54"/>
      <c r="Y47" s="54"/>
      <c r="Z47" s="54"/>
    </row>
    <row r="48" ht="13.6" customHeight="1" spans="1:26">
      <c r="A48" s="54"/>
      <c r="B48" s="78"/>
      <c r="C48" s="54"/>
      <c r="D48" s="79"/>
      <c r="E48" s="54"/>
      <c r="F48" s="54"/>
      <c r="G48" s="54"/>
      <c r="H48" s="54"/>
      <c r="I48" s="54"/>
      <c r="J48" s="54"/>
      <c r="K48" s="54"/>
      <c r="L48" s="54"/>
      <c r="M48" s="54"/>
      <c r="N48" s="54"/>
      <c r="O48" s="54"/>
      <c r="P48" s="54"/>
      <c r="Q48" s="54"/>
      <c r="R48" s="54"/>
      <c r="S48" s="54"/>
      <c r="T48" s="54"/>
      <c r="U48" s="54"/>
      <c r="V48" s="54"/>
      <c r="W48" s="54"/>
      <c r="X48" s="54"/>
      <c r="Y48" s="54"/>
      <c r="Z48" s="54"/>
    </row>
    <row r="49" ht="13.6" customHeight="1" spans="1:26">
      <c r="A49" s="54"/>
      <c r="B49" s="78"/>
      <c r="C49" s="54"/>
      <c r="D49" s="79"/>
      <c r="E49" s="54"/>
      <c r="F49" s="54"/>
      <c r="G49" s="54"/>
      <c r="H49" s="54"/>
      <c r="I49" s="54"/>
      <c r="J49" s="54"/>
      <c r="K49" s="54"/>
      <c r="L49" s="54"/>
      <c r="M49" s="54"/>
      <c r="N49" s="54"/>
      <c r="O49" s="54"/>
      <c r="P49" s="54"/>
      <c r="Q49" s="54"/>
      <c r="R49" s="54"/>
      <c r="S49" s="54"/>
      <c r="T49" s="54"/>
      <c r="U49" s="54"/>
      <c r="V49" s="54"/>
      <c r="W49" s="54"/>
      <c r="X49" s="54"/>
      <c r="Y49" s="54"/>
      <c r="Z49" s="54"/>
    </row>
    <row r="50" ht="13.6" customHeight="1" spans="1:26">
      <c r="A50" s="54"/>
      <c r="B50" s="78"/>
      <c r="C50" s="54"/>
      <c r="D50" s="79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</row>
    <row r="51" ht="13.6" customHeight="1" spans="1:26">
      <c r="A51" s="54"/>
      <c r="B51" s="78"/>
      <c r="C51" s="54"/>
      <c r="D51" s="79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</row>
    <row r="52" ht="13.6" customHeight="1" spans="1:26">
      <c r="A52" s="54"/>
      <c r="B52" s="78"/>
      <c r="C52" s="54"/>
      <c r="D52" s="79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</row>
    <row r="53" ht="13.6" customHeight="1" spans="1:26">
      <c r="A53" s="54"/>
      <c r="B53" s="78"/>
      <c r="C53" s="54"/>
      <c r="D53" s="79"/>
      <c r="E53" s="54"/>
      <c r="F53" s="54"/>
      <c r="G53" s="54"/>
      <c r="H53" s="54"/>
      <c r="I53" s="54"/>
      <c r="J53" s="54"/>
      <c r="K53" s="54"/>
      <c r="L53" s="54"/>
      <c r="M53" s="54"/>
      <c r="N53" s="54"/>
      <c r="O53" s="54"/>
      <c r="P53" s="54"/>
      <c r="Q53" s="54"/>
      <c r="R53" s="54"/>
      <c r="S53" s="54"/>
      <c r="T53" s="54"/>
      <c r="U53" s="54"/>
      <c r="V53" s="54"/>
      <c r="W53" s="54"/>
      <c r="X53" s="54"/>
      <c r="Y53" s="54"/>
      <c r="Z53" s="54"/>
    </row>
    <row r="54" ht="13.6" customHeight="1" spans="1:26">
      <c r="A54" s="54"/>
      <c r="B54" s="78"/>
      <c r="C54" s="54"/>
      <c r="D54" s="79"/>
      <c r="E54" s="54"/>
      <c r="F54" s="54"/>
      <c r="G54" s="54"/>
      <c r="H54" s="54"/>
      <c r="I54" s="54"/>
      <c r="J54" s="54"/>
      <c r="K54" s="54"/>
      <c r="L54" s="54"/>
      <c r="M54" s="54"/>
      <c r="N54" s="54"/>
      <c r="O54" s="54"/>
      <c r="P54" s="54"/>
      <c r="Q54" s="54"/>
      <c r="R54" s="54"/>
      <c r="S54" s="54"/>
      <c r="T54" s="54"/>
      <c r="U54" s="54"/>
      <c r="V54" s="54"/>
      <c r="W54" s="54"/>
      <c r="X54" s="54"/>
      <c r="Y54" s="54"/>
      <c r="Z54" s="54"/>
    </row>
    <row r="55" ht="13.6" customHeight="1" spans="1:26">
      <c r="A55" s="54"/>
      <c r="B55" s="78"/>
      <c r="C55" s="54"/>
      <c r="D55" s="79"/>
      <c r="E55" s="54"/>
      <c r="F55" s="54"/>
      <c r="G55" s="54"/>
      <c r="H55" s="54"/>
      <c r="I55" s="54"/>
      <c r="J55" s="54"/>
      <c r="K55" s="54"/>
      <c r="L55" s="54"/>
      <c r="M55" s="54"/>
      <c r="N55" s="54"/>
      <c r="O55" s="54"/>
      <c r="P55" s="54"/>
      <c r="Q55" s="54"/>
      <c r="R55" s="54"/>
      <c r="S55" s="54"/>
      <c r="T55" s="54"/>
      <c r="U55" s="54"/>
      <c r="V55" s="54"/>
      <c r="W55" s="54"/>
      <c r="X55" s="54"/>
      <c r="Y55" s="54"/>
      <c r="Z55" s="54"/>
    </row>
    <row r="56" ht="13.6" customHeight="1" spans="1:26">
      <c r="A56" s="54"/>
      <c r="B56" s="78"/>
      <c r="C56" s="54"/>
      <c r="D56" s="79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</row>
    <row r="57" ht="13.6" customHeight="1" spans="1:26">
      <c r="A57" s="54"/>
      <c r="B57" s="78"/>
      <c r="C57" s="54"/>
      <c r="D57" s="79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</row>
    <row r="58" ht="13.6" customHeight="1" spans="1:26">
      <c r="A58" s="54"/>
      <c r="B58" s="78"/>
      <c r="C58" s="54"/>
      <c r="D58" s="79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</row>
    <row r="59" ht="13.6" customHeight="1" spans="1:26">
      <c r="A59" s="54"/>
      <c r="B59" s="78"/>
      <c r="C59" s="54"/>
      <c r="D59" s="79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</row>
    <row r="60" ht="13.6" customHeight="1" spans="1:26">
      <c r="A60" s="54"/>
      <c r="B60" s="78"/>
      <c r="C60" s="54"/>
      <c r="D60" s="79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</row>
    <row r="61" ht="13.6" customHeight="1" spans="1:26">
      <c r="A61" s="54"/>
      <c r="B61" s="78"/>
      <c r="C61" s="54"/>
      <c r="D61" s="79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</row>
    <row r="62" ht="13.6" customHeight="1" spans="1:26">
      <c r="A62" s="54"/>
      <c r="B62" s="78"/>
      <c r="C62" s="54"/>
      <c r="D62" s="79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</row>
    <row r="63" ht="13.6" customHeight="1" spans="1:26">
      <c r="A63" s="54"/>
      <c r="B63" s="78"/>
      <c r="C63" s="54"/>
      <c r="D63" s="79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</row>
    <row r="64" ht="13.6" customHeight="1" spans="1:26">
      <c r="A64" s="54"/>
      <c r="B64" s="78"/>
      <c r="C64" s="54"/>
      <c r="D64" s="79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</row>
    <row r="65" ht="13.6" customHeight="1" spans="1:26">
      <c r="A65" s="54"/>
      <c r="B65" s="78"/>
      <c r="C65" s="54"/>
      <c r="D65" s="79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</row>
    <row r="66" ht="13.6" customHeight="1" spans="1:26">
      <c r="A66" s="54"/>
      <c r="B66" s="78"/>
      <c r="C66" s="54"/>
      <c r="D66" s="79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</row>
    <row r="67" ht="13.6" customHeight="1" spans="1:26">
      <c r="A67" s="54"/>
      <c r="B67" s="78"/>
      <c r="C67" s="54"/>
      <c r="D67" s="79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</row>
    <row r="68" ht="13.6" customHeight="1" spans="1:26">
      <c r="A68" s="54"/>
      <c r="B68" s="78"/>
      <c r="C68" s="54"/>
      <c r="D68" s="79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</row>
    <row r="69" ht="13.6" customHeight="1" spans="1:26">
      <c r="A69" s="54"/>
      <c r="B69" s="78"/>
      <c r="C69" s="54"/>
      <c r="D69" s="79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</row>
    <row r="70" ht="13.6" customHeight="1" spans="1:26">
      <c r="A70" s="54"/>
      <c r="B70" s="78"/>
      <c r="C70" s="54"/>
      <c r="D70" s="79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</row>
    <row r="71" ht="13.6" customHeight="1" spans="1:26">
      <c r="A71" s="54"/>
      <c r="B71" s="78"/>
      <c r="C71" s="54"/>
      <c r="D71" s="79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</row>
    <row r="72" ht="13.6" customHeight="1" spans="1:26">
      <c r="A72" s="54"/>
      <c r="B72" s="78"/>
      <c r="C72" s="54"/>
      <c r="D72" s="79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</row>
    <row r="73" ht="13.6" customHeight="1" spans="1:26">
      <c r="A73" s="54"/>
      <c r="B73" s="78"/>
      <c r="C73" s="54"/>
      <c r="D73" s="79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</row>
    <row r="74" ht="13.6" customHeight="1" spans="1:26">
      <c r="A74" s="54"/>
      <c r="B74" s="78"/>
      <c r="C74" s="54"/>
      <c r="D74" s="79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</row>
    <row r="75" ht="13.6" customHeight="1" spans="1:26">
      <c r="A75" s="54"/>
      <c r="B75" s="78"/>
      <c r="C75" s="54"/>
      <c r="D75" s="79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</row>
    <row r="76" ht="13.6" customHeight="1" spans="1:26">
      <c r="A76" s="54"/>
      <c r="B76" s="78"/>
      <c r="C76" s="54"/>
      <c r="D76" s="79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</row>
    <row r="77" ht="13.6" customHeight="1" spans="1:26">
      <c r="A77" s="54"/>
      <c r="B77" s="78"/>
      <c r="C77" s="54"/>
      <c r="D77" s="79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</row>
    <row r="78" ht="13.6" customHeight="1" spans="1:26">
      <c r="A78" s="54"/>
      <c r="B78" s="78"/>
      <c r="C78" s="54"/>
      <c r="D78" s="79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</row>
    <row r="79" ht="13.6" customHeight="1" spans="1:26">
      <c r="A79" s="54"/>
      <c r="B79" s="78"/>
      <c r="C79" s="54"/>
      <c r="D79" s="79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</row>
    <row r="80" ht="13.6" customHeight="1" spans="1:26">
      <c r="A80" s="54"/>
      <c r="B80" s="78"/>
      <c r="C80" s="54"/>
      <c r="D80" s="79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</row>
    <row r="81" ht="13.6" customHeight="1" spans="1:26">
      <c r="A81" s="54"/>
      <c r="B81" s="78"/>
      <c r="C81" s="54"/>
      <c r="D81" s="79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</row>
    <row r="82" ht="13.6" customHeight="1" spans="1:26">
      <c r="A82" s="54"/>
      <c r="B82" s="78"/>
      <c r="C82" s="54"/>
      <c r="D82" s="79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</row>
    <row r="83" ht="13.6" customHeight="1" spans="1:26">
      <c r="A83" s="54"/>
      <c r="B83" s="78"/>
      <c r="C83" s="54"/>
      <c r="D83" s="79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</row>
    <row r="84" ht="13.6" customHeight="1" spans="1:26">
      <c r="A84" s="54"/>
      <c r="B84" s="78"/>
      <c r="C84" s="54"/>
      <c r="D84" s="79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</row>
    <row r="85" ht="13.6" customHeight="1" spans="1:26">
      <c r="A85" s="54"/>
      <c r="B85" s="78"/>
      <c r="C85" s="54"/>
      <c r="D85" s="79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</row>
    <row r="86" ht="13.6" customHeight="1" spans="1:26">
      <c r="A86" s="54"/>
      <c r="B86" s="78"/>
      <c r="C86" s="54"/>
      <c r="D86" s="79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</row>
    <row r="87" ht="13.6" customHeight="1" spans="1:26">
      <c r="A87" s="54"/>
      <c r="B87" s="78"/>
      <c r="C87" s="54"/>
      <c r="D87" s="79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</row>
    <row r="88" ht="13.6" customHeight="1" spans="1:26">
      <c r="A88" s="54"/>
      <c r="B88" s="78"/>
      <c r="C88" s="54"/>
      <c r="D88" s="79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</row>
    <row r="89" ht="13.6" customHeight="1" spans="1:26">
      <c r="A89" s="54"/>
      <c r="B89" s="78"/>
      <c r="C89" s="54"/>
      <c r="D89" s="79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</row>
    <row r="90" ht="13.6" customHeight="1" spans="1:26">
      <c r="A90" s="54"/>
      <c r="B90" s="78"/>
      <c r="C90" s="54"/>
      <c r="D90" s="79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</row>
    <row r="91" ht="13.6" customHeight="1" spans="1:26">
      <c r="A91" s="54"/>
      <c r="B91" s="78"/>
      <c r="C91" s="54"/>
      <c r="D91" s="79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</row>
    <row r="92" ht="13.6" customHeight="1" spans="1:26">
      <c r="A92" s="54"/>
      <c r="B92" s="78"/>
      <c r="C92" s="54"/>
      <c r="D92" s="79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</row>
    <row r="93" ht="13.6" customHeight="1" spans="1:26">
      <c r="A93" s="54"/>
      <c r="B93" s="78"/>
      <c r="C93" s="54"/>
      <c r="D93" s="79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</row>
    <row r="94" ht="13.6" customHeight="1" spans="1:26">
      <c r="A94" s="54"/>
      <c r="B94" s="78"/>
      <c r="C94" s="54"/>
      <c r="D94" s="79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</row>
    <row r="95" ht="13.6" customHeight="1" spans="1:26">
      <c r="A95" s="54"/>
      <c r="B95" s="78"/>
      <c r="C95" s="54"/>
      <c r="D95" s="79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</row>
    <row r="96" ht="13.6" customHeight="1" spans="1:26">
      <c r="A96" s="54"/>
      <c r="B96" s="78"/>
      <c r="C96" s="54"/>
      <c r="D96" s="79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</row>
    <row r="97" ht="13.6" customHeight="1" spans="1:26">
      <c r="A97" s="54"/>
      <c r="B97" s="78"/>
      <c r="C97" s="54"/>
      <c r="D97" s="79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</row>
    <row r="98" ht="13.6" customHeight="1" spans="1:26">
      <c r="A98" s="54"/>
      <c r="B98" s="78"/>
      <c r="C98" s="54"/>
      <c r="D98" s="79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</row>
    <row r="99" ht="13.6" customHeight="1" spans="1:26">
      <c r="A99" s="54"/>
      <c r="B99" s="78"/>
      <c r="C99" s="54"/>
      <c r="D99" s="79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</row>
    <row r="100" ht="13.6" customHeight="1" spans="1:26">
      <c r="A100" s="54"/>
      <c r="B100" s="78"/>
      <c r="C100" s="54"/>
      <c r="D100" s="79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</row>
    <row r="101" ht="13.6" customHeight="1" spans="1:26">
      <c r="A101" s="54"/>
      <c r="B101" s="78"/>
      <c r="C101" s="54"/>
      <c r="D101" s="79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</row>
    <row r="102" ht="13.6" customHeight="1" spans="1:26">
      <c r="A102" s="54"/>
      <c r="B102" s="78"/>
      <c r="C102" s="54"/>
      <c r="D102" s="79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</row>
    <row r="103" ht="13.6" customHeight="1" spans="1:26">
      <c r="A103" s="54"/>
      <c r="B103" s="78"/>
      <c r="C103" s="54"/>
      <c r="D103" s="79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</row>
    <row r="104" ht="13.6" customHeight="1" spans="1:26">
      <c r="A104" s="54"/>
      <c r="B104" s="78"/>
      <c r="C104" s="54"/>
      <c r="D104" s="79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</row>
    <row r="105" ht="13.6" customHeight="1" spans="1:26">
      <c r="A105" s="54"/>
      <c r="B105" s="78"/>
      <c r="C105" s="54"/>
      <c r="D105" s="79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</row>
    <row r="106" ht="13.6" customHeight="1" spans="1:26">
      <c r="A106" s="54"/>
      <c r="B106" s="78"/>
      <c r="C106" s="54"/>
      <c r="D106" s="79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</row>
    <row r="107" ht="13.6" customHeight="1" spans="1:26">
      <c r="A107" s="54"/>
      <c r="B107" s="78"/>
      <c r="C107" s="54"/>
      <c r="D107" s="79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</row>
    <row r="108" ht="13.6" customHeight="1" spans="1:26">
      <c r="A108" s="54"/>
      <c r="B108" s="78"/>
      <c r="C108" s="54"/>
      <c r="D108" s="79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</row>
    <row r="109" ht="13.6" customHeight="1" spans="1:26">
      <c r="A109" s="54"/>
      <c r="B109" s="78"/>
      <c r="C109" s="54"/>
      <c r="D109" s="79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</row>
    <row r="110" ht="13.6" customHeight="1" spans="1:26">
      <c r="A110" s="54"/>
      <c r="B110" s="78"/>
      <c r="C110" s="54"/>
      <c r="D110" s="79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</row>
    <row r="111" ht="13.6" customHeight="1" spans="1:26">
      <c r="A111" s="54"/>
      <c r="B111" s="78"/>
      <c r="C111" s="54"/>
      <c r="D111" s="79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</row>
    <row r="112" ht="13.6" customHeight="1" spans="1:26">
      <c r="A112" s="54"/>
      <c r="B112" s="78"/>
      <c r="C112" s="54"/>
      <c r="D112" s="79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</row>
    <row r="113" ht="13.6" customHeight="1" spans="1:26">
      <c r="A113" s="54"/>
      <c r="B113" s="78"/>
      <c r="C113" s="54"/>
      <c r="D113" s="79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</row>
    <row r="114" ht="13.6" customHeight="1" spans="1:26">
      <c r="A114" s="54"/>
      <c r="B114" s="78"/>
      <c r="C114" s="54"/>
      <c r="D114" s="79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</row>
    <row r="115" ht="13.6" customHeight="1" spans="1:26">
      <c r="A115" s="54"/>
      <c r="B115" s="78"/>
      <c r="C115" s="54"/>
      <c r="D115" s="79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</row>
    <row r="116" ht="13.6" customHeight="1" spans="1:26">
      <c r="A116" s="54"/>
      <c r="B116" s="78"/>
      <c r="C116" s="54"/>
      <c r="D116" s="79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</row>
    <row r="117" ht="13.6" customHeight="1" spans="1:26">
      <c r="A117" s="54"/>
      <c r="B117" s="78"/>
      <c r="C117" s="54"/>
      <c r="D117" s="79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</row>
    <row r="118" ht="13.6" customHeight="1" spans="1:26">
      <c r="A118" s="54"/>
      <c r="B118" s="78"/>
      <c r="C118" s="54"/>
      <c r="D118" s="79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</row>
    <row r="119" ht="13.6" customHeight="1" spans="1:26">
      <c r="A119" s="54"/>
      <c r="B119" s="78"/>
      <c r="C119" s="54"/>
      <c r="D119" s="79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</row>
    <row r="120" ht="13.6" customHeight="1" spans="1:26">
      <c r="A120" s="54"/>
      <c r="B120" s="78"/>
      <c r="C120" s="54"/>
      <c r="D120" s="79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</row>
    <row r="121" ht="13.6" customHeight="1" spans="1:26">
      <c r="A121" s="54"/>
      <c r="B121" s="78"/>
      <c r="C121" s="54"/>
      <c r="D121" s="79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</row>
    <row r="122" ht="13.6" customHeight="1" spans="1:26">
      <c r="A122" s="54"/>
      <c r="B122" s="78"/>
      <c r="C122" s="54"/>
      <c r="D122" s="79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</row>
    <row r="123" ht="13.6" customHeight="1" spans="1:26">
      <c r="A123" s="54"/>
      <c r="B123" s="78"/>
      <c r="C123" s="54"/>
      <c r="D123" s="79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</row>
    <row r="124" ht="13.6" customHeight="1" spans="1:26">
      <c r="A124" s="54"/>
      <c r="B124" s="78"/>
      <c r="C124" s="54"/>
      <c r="D124" s="79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</row>
    <row r="125" ht="13.6" customHeight="1" spans="1:26">
      <c r="A125" s="54"/>
      <c r="B125" s="78"/>
      <c r="C125" s="54"/>
      <c r="D125" s="79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</row>
    <row r="126" ht="13.6" customHeight="1" spans="1:26">
      <c r="A126" s="54"/>
      <c r="B126" s="78"/>
      <c r="C126" s="54"/>
      <c r="D126" s="79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</row>
    <row r="127" ht="13.6" customHeight="1" spans="1:26">
      <c r="A127" s="54"/>
      <c r="B127" s="78"/>
      <c r="C127" s="54"/>
      <c r="D127" s="79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</row>
    <row r="128" ht="13.6" customHeight="1" spans="1:26">
      <c r="A128" s="54"/>
      <c r="B128" s="78"/>
      <c r="C128" s="54"/>
      <c r="D128" s="79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</row>
    <row r="129" ht="13.6" customHeight="1" spans="1:26">
      <c r="A129" s="54"/>
      <c r="B129" s="78"/>
      <c r="C129" s="54"/>
      <c r="D129" s="79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</row>
    <row r="130" ht="13.6" customHeight="1" spans="1:26">
      <c r="A130" s="54"/>
      <c r="B130" s="78"/>
      <c r="C130" s="54"/>
      <c r="D130" s="79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</row>
    <row r="131" ht="13.6" customHeight="1" spans="1:26">
      <c r="A131" s="54"/>
      <c r="B131" s="78"/>
      <c r="C131" s="54"/>
      <c r="D131" s="79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</row>
    <row r="132" ht="13.6" customHeight="1" spans="1:26">
      <c r="A132" s="54"/>
      <c r="B132" s="78"/>
      <c r="C132" s="54"/>
      <c r="D132" s="79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</row>
    <row r="133" ht="13.6" customHeight="1" spans="1:26">
      <c r="A133" s="54"/>
      <c r="B133" s="78"/>
      <c r="C133" s="54"/>
      <c r="D133" s="79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</row>
    <row r="134" ht="13.6" customHeight="1" spans="1:26">
      <c r="A134" s="54"/>
      <c r="B134" s="78"/>
      <c r="C134" s="54"/>
      <c r="D134" s="79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</row>
    <row r="135" ht="13.6" customHeight="1" spans="1:26">
      <c r="A135" s="54"/>
      <c r="B135" s="78"/>
      <c r="C135" s="54"/>
      <c r="D135" s="79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</row>
    <row r="136" ht="13.6" customHeight="1" spans="1:26">
      <c r="A136" s="54"/>
      <c r="B136" s="78"/>
      <c r="C136" s="54"/>
      <c r="D136" s="79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</row>
    <row r="137" ht="13.6" customHeight="1" spans="1:26">
      <c r="A137" s="54"/>
      <c r="B137" s="78"/>
      <c r="C137" s="54"/>
      <c r="D137" s="79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</row>
    <row r="138" ht="13.6" customHeight="1" spans="1:26">
      <c r="A138" s="54"/>
      <c r="B138" s="78"/>
      <c r="C138" s="54"/>
      <c r="D138" s="79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</row>
    <row r="139" ht="13.6" customHeight="1" spans="1:26">
      <c r="A139" s="54"/>
      <c r="B139" s="78"/>
      <c r="C139" s="54"/>
      <c r="D139" s="79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</row>
    <row r="140" ht="13.6" customHeight="1" spans="1:26">
      <c r="A140" s="54"/>
      <c r="B140" s="78"/>
      <c r="C140" s="54"/>
      <c r="D140" s="79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</row>
    <row r="141" ht="13.6" customHeight="1" spans="1:26">
      <c r="A141" s="54"/>
      <c r="B141" s="78"/>
      <c r="C141" s="54"/>
      <c r="D141" s="79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</row>
    <row r="142" ht="13.6" customHeight="1" spans="1:26">
      <c r="A142" s="54"/>
      <c r="B142" s="78"/>
      <c r="C142" s="54"/>
      <c r="D142" s="79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</row>
    <row r="143" ht="13.6" customHeight="1" spans="1:26">
      <c r="A143" s="54"/>
      <c r="B143" s="78"/>
      <c r="C143" s="54"/>
      <c r="D143" s="79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</row>
    <row r="144" ht="13.6" customHeight="1" spans="1:26">
      <c r="A144" s="54"/>
      <c r="B144" s="78"/>
      <c r="C144" s="54"/>
      <c r="D144" s="79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</row>
    <row r="145" ht="13.6" customHeight="1" spans="1:26">
      <c r="A145" s="54"/>
      <c r="B145" s="78"/>
      <c r="C145" s="54"/>
      <c r="D145" s="79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</row>
    <row r="146" ht="13.6" customHeight="1" spans="1:26">
      <c r="A146" s="54"/>
      <c r="B146" s="78"/>
      <c r="C146" s="54"/>
      <c r="D146" s="79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</row>
    <row r="147" ht="13.6" customHeight="1" spans="1:26">
      <c r="A147" s="54"/>
      <c r="B147" s="78"/>
      <c r="C147" s="54"/>
      <c r="D147" s="79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</row>
    <row r="148" ht="13.6" customHeight="1" spans="1:26">
      <c r="A148" s="54"/>
      <c r="B148" s="78"/>
      <c r="C148" s="54"/>
      <c r="D148" s="79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</row>
    <row r="149" ht="13.6" customHeight="1" spans="1:26">
      <c r="A149" s="54"/>
      <c r="B149" s="78"/>
      <c r="C149" s="54"/>
      <c r="D149" s="79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</row>
    <row r="150" ht="13.6" customHeight="1" spans="1:26">
      <c r="A150" s="54"/>
      <c r="B150" s="78"/>
      <c r="C150" s="54"/>
      <c r="D150" s="79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</row>
    <row r="151" ht="13.6" customHeight="1" spans="1:26">
      <c r="A151" s="54"/>
      <c r="B151" s="78"/>
      <c r="C151" s="54"/>
      <c r="D151" s="79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</row>
    <row r="152" ht="13.6" customHeight="1" spans="1:26">
      <c r="A152" s="54"/>
      <c r="B152" s="78"/>
      <c r="C152" s="54"/>
      <c r="D152" s="79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</row>
    <row r="153" ht="13.6" customHeight="1" spans="1:26">
      <c r="A153" s="54"/>
      <c r="B153" s="78"/>
      <c r="C153" s="54"/>
      <c r="D153" s="79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</row>
    <row r="154" ht="13.6" customHeight="1" spans="1:26">
      <c r="A154" s="54"/>
      <c r="B154" s="78"/>
      <c r="C154" s="54"/>
      <c r="D154" s="79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</row>
    <row r="155" ht="13.6" customHeight="1" spans="1:26">
      <c r="A155" s="54"/>
      <c r="B155" s="78"/>
      <c r="C155" s="54"/>
      <c r="D155" s="79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</row>
    <row r="156" ht="13.6" customHeight="1" spans="1:26">
      <c r="A156" s="54"/>
      <c r="B156" s="78"/>
      <c r="C156" s="54"/>
      <c r="D156" s="79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</row>
    <row r="157" ht="13.6" customHeight="1" spans="1:26">
      <c r="A157" s="54"/>
      <c r="B157" s="78"/>
      <c r="C157" s="54"/>
      <c r="D157" s="79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</row>
    <row r="158" ht="13.6" customHeight="1" spans="1:26">
      <c r="A158" s="54"/>
      <c r="B158" s="78"/>
      <c r="C158" s="54"/>
      <c r="D158" s="79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</row>
    <row r="159" ht="13.6" customHeight="1" spans="1:26">
      <c r="A159" s="54"/>
      <c r="B159" s="78"/>
      <c r="C159" s="54"/>
      <c r="D159" s="79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</row>
    <row r="160" ht="13.6" customHeight="1" spans="1:26">
      <c r="A160" s="54"/>
      <c r="B160" s="78"/>
      <c r="C160" s="54"/>
      <c r="D160" s="79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</row>
    <row r="161" ht="13.6" customHeight="1" spans="1:26">
      <c r="A161" s="54"/>
      <c r="B161" s="78"/>
      <c r="C161" s="54"/>
      <c r="D161" s="79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</row>
    <row r="162" ht="13.6" customHeight="1" spans="1:26">
      <c r="A162" s="54"/>
      <c r="B162" s="78"/>
      <c r="C162" s="54"/>
      <c r="D162" s="79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</row>
    <row r="163" ht="13.6" customHeight="1" spans="1:26">
      <c r="A163" s="54"/>
      <c r="B163" s="78"/>
      <c r="C163" s="54"/>
      <c r="D163" s="79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</row>
    <row r="164" ht="13.6" customHeight="1" spans="1:26">
      <c r="A164" s="54"/>
      <c r="B164" s="78"/>
      <c r="C164" s="54"/>
      <c r="D164" s="79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</row>
    <row r="165" ht="13.6" customHeight="1" spans="1:26">
      <c r="A165" s="54"/>
      <c r="B165" s="78"/>
      <c r="C165" s="54"/>
      <c r="D165" s="79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</row>
    <row r="166" ht="13.6" customHeight="1" spans="1:26">
      <c r="A166" s="54"/>
      <c r="B166" s="78"/>
      <c r="C166" s="54"/>
      <c r="D166" s="79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</row>
    <row r="167" ht="13.6" customHeight="1" spans="1:26">
      <c r="A167" s="54"/>
      <c r="B167" s="78"/>
      <c r="C167" s="54"/>
      <c r="D167" s="79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</row>
    <row r="168" ht="13.6" customHeight="1" spans="1:26">
      <c r="A168" s="54"/>
      <c r="B168" s="78"/>
      <c r="C168" s="54"/>
      <c r="D168" s="79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</row>
    <row r="169" ht="13.6" customHeight="1" spans="1:26">
      <c r="A169" s="54"/>
      <c r="B169" s="78"/>
      <c r="C169" s="54"/>
      <c r="D169" s="79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</row>
    <row r="170" ht="13.6" customHeight="1" spans="1:26">
      <c r="A170" s="54"/>
      <c r="B170" s="78"/>
      <c r="C170" s="54"/>
      <c r="D170" s="79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</row>
    <row r="171" ht="13.6" customHeight="1" spans="1:26">
      <c r="A171" s="54"/>
      <c r="B171" s="78"/>
      <c r="C171" s="54"/>
      <c r="D171" s="79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</row>
    <row r="172" ht="13.6" customHeight="1" spans="1:26">
      <c r="A172" s="54"/>
      <c r="B172" s="78"/>
      <c r="C172" s="54"/>
      <c r="D172" s="79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</row>
    <row r="173" ht="13.6" customHeight="1" spans="1:26">
      <c r="A173" s="54"/>
      <c r="B173" s="78"/>
      <c r="C173" s="54"/>
      <c r="D173" s="79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</row>
    <row r="174" ht="13.6" customHeight="1" spans="1:26">
      <c r="A174" s="54"/>
      <c r="B174" s="78"/>
      <c r="C174" s="54"/>
      <c r="D174" s="79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</row>
    <row r="175" ht="13.6" customHeight="1" spans="1:26">
      <c r="A175" s="54"/>
      <c r="B175" s="78"/>
      <c r="C175" s="54"/>
      <c r="D175" s="79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</row>
    <row r="176" ht="13.6" customHeight="1" spans="1:26">
      <c r="A176" s="54"/>
      <c r="B176" s="78"/>
      <c r="C176" s="54"/>
      <c r="D176" s="79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</row>
    <row r="177" ht="13.6" customHeight="1" spans="1:26">
      <c r="A177" s="54"/>
      <c r="B177" s="78"/>
      <c r="C177" s="54"/>
      <c r="D177" s="79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</row>
    <row r="178" ht="13.6" customHeight="1" spans="1:26">
      <c r="A178" s="54"/>
      <c r="B178" s="78"/>
      <c r="C178" s="54"/>
      <c r="D178" s="79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</row>
    <row r="179" ht="13.6" customHeight="1" spans="1:26">
      <c r="A179" s="54"/>
      <c r="B179" s="78"/>
      <c r="C179" s="54"/>
      <c r="D179" s="79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</row>
    <row r="180" ht="13.6" customHeight="1" spans="1:26">
      <c r="A180" s="54"/>
      <c r="B180" s="78"/>
      <c r="C180" s="54"/>
      <c r="D180" s="79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</row>
    <row r="181" ht="13.6" customHeight="1" spans="1:26">
      <c r="A181" s="54"/>
      <c r="B181" s="78"/>
      <c r="C181" s="54"/>
      <c r="D181" s="79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</row>
    <row r="182" ht="13.6" customHeight="1" spans="1:26">
      <c r="A182" s="54"/>
      <c r="B182" s="78"/>
      <c r="C182" s="54"/>
      <c r="D182" s="79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</row>
    <row r="183" ht="13.6" customHeight="1" spans="1:26">
      <c r="A183" s="54"/>
      <c r="B183" s="78"/>
      <c r="C183" s="54"/>
      <c r="D183" s="79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</row>
    <row r="184" ht="13.6" customHeight="1" spans="1:26">
      <c r="A184" s="54"/>
      <c r="B184" s="78"/>
      <c r="C184" s="54"/>
      <c r="D184" s="79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</row>
    <row r="185" ht="13.6" customHeight="1" spans="1:26">
      <c r="A185" s="54"/>
      <c r="B185" s="78"/>
      <c r="C185" s="54"/>
      <c r="D185" s="79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</row>
    <row r="186" ht="13.6" customHeight="1" spans="1:26">
      <c r="A186" s="54"/>
      <c r="B186" s="78"/>
      <c r="C186" s="54"/>
      <c r="D186" s="79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</row>
    <row r="187" ht="13.6" customHeight="1" spans="1:26">
      <c r="A187" s="54"/>
      <c r="B187" s="78"/>
      <c r="C187" s="54"/>
      <c r="D187" s="79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</row>
    <row r="188" ht="13.6" customHeight="1" spans="1:26">
      <c r="A188" s="54"/>
      <c r="B188" s="78"/>
      <c r="C188" s="54"/>
      <c r="D188" s="79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</row>
    <row r="189" ht="13.6" customHeight="1" spans="1:26">
      <c r="A189" s="54"/>
      <c r="B189" s="78"/>
      <c r="C189" s="54"/>
      <c r="D189" s="79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</row>
    <row r="190" ht="13.6" customHeight="1" spans="1:26">
      <c r="A190" s="54"/>
      <c r="B190" s="78"/>
      <c r="C190" s="54"/>
      <c r="D190" s="79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</row>
    <row r="191" ht="13.6" customHeight="1" spans="1:26">
      <c r="A191" s="54"/>
      <c r="B191" s="78"/>
      <c r="C191" s="54"/>
      <c r="D191" s="79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</row>
    <row r="192" ht="13.6" customHeight="1" spans="1:26">
      <c r="A192" s="54"/>
      <c r="B192" s="78"/>
      <c r="C192" s="54"/>
      <c r="D192" s="79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</row>
    <row r="193" ht="13.6" customHeight="1" spans="1:26">
      <c r="A193" s="54"/>
      <c r="B193" s="78"/>
      <c r="C193" s="54"/>
      <c r="D193" s="79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</row>
    <row r="194" ht="13.6" customHeight="1" spans="1:26">
      <c r="A194" s="54"/>
      <c r="B194" s="78"/>
      <c r="C194" s="54"/>
      <c r="D194" s="79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</row>
    <row r="195" ht="13.6" customHeight="1" spans="1:26">
      <c r="A195" s="54"/>
      <c r="B195" s="78"/>
      <c r="C195" s="54"/>
      <c r="D195" s="79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</row>
    <row r="196" ht="13.6" customHeight="1" spans="1:26">
      <c r="A196" s="54"/>
      <c r="B196" s="78"/>
      <c r="C196" s="54"/>
      <c r="D196" s="79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</row>
    <row r="197" ht="13.6" customHeight="1" spans="1:26">
      <c r="A197" s="54"/>
      <c r="B197" s="78"/>
      <c r="C197" s="54"/>
      <c r="D197" s="79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</row>
    <row r="198" ht="13.6" customHeight="1" spans="1:26">
      <c r="A198" s="54"/>
      <c r="B198" s="78"/>
      <c r="C198" s="54"/>
      <c r="D198" s="79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</row>
    <row r="199" ht="13.6" customHeight="1" spans="1:26">
      <c r="A199" s="54"/>
      <c r="B199" s="78"/>
      <c r="C199" s="54"/>
      <c r="D199" s="79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</row>
    <row r="200" ht="13.6" customHeight="1" spans="1:26">
      <c r="A200" s="54"/>
      <c r="B200" s="78"/>
      <c r="C200" s="54"/>
      <c r="D200" s="79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</row>
    <row r="201" ht="13.6" customHeight="1" spans="1:26">
      <c r="A201" s="54"/>
      <c r="B201" s="78"/>
      <c r="C201" s="54"/>
      <c r="D201" s="79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</row>
    <row r="202" ht="13.6" customHeight="1" spans="1:26">
      <c r="A202" s="54"/>
      <c r="B202" s="78"/>
      <c r="C202" s="54"/>
      <c r="D202" s="79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</row>
    <row r="203" ht="13.6" customHeight="1" spans="1:26">
      <c r="A203" s="54"/>
      <c r="B203" s="78"/>
      <c r="C203" s="54"/>
      <c r="D203" s="79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</row>
    <row r="204" ht="13.6" customHeight="1" spans="1:26">
      <c r="A204" s="54"/>
      <c r="B204" s="78"/>
      <c r="C204" s="54"/>
      <c r="D204" s="79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</row>
    <row r="205" ht="13.6" customHeight="1" spans="1:26">
      <c r="A205" s="54"/>
      <c r="B205" s="78"/>
      <c r="C205" s="54"/>
      <c r="D205" s="79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</row>
    <row r="206" ht="13.6" customHeight="1" spans="1:26">
      <c r="A206" s="54"/>
      <c r="B206" s="78"/>
      <c r="C206" s="54"/>
      <c r="D206" s="79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</row>
    <row r="207" ht="13.6" customHeight="1" spans="1:26">
      <c r="A207" s="54"/>
      <c r="B207" s="78"/>
      <c r="C207" s="54"/>
      <c r="D207" s="79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</row>
    <row r="208" ht="13.6" customHeight="1" spans="1:26">
      <c r="A208" s="54"/>
      <c r="B208" s="78"/>
      <c r="C208" s="54"/>
      <c r="D208" s="79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</row>
    <row r="209" ht="13.6" customHeight="1" spans="1:26">
      <c r="A209" s="54"/>
      <c r="B209" s="78"/>
      <c r="C209" s="54"/>
      <c r="D209" s="79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</row>
    <row r="210" ht="13.6" customHeight="1" spans="1:26">
      <c r="A210" s="54"/>
      <c r="B210" s="78"/>
      <c r="C210" s="54"/>
      <c r="D210" s="79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</row>
    <row r="211" ht="13.6" customHeight="1" spans="1:26">
      <c r="A211" s="54"/>
      <c r="B211" s="78"/>
      <c r="C211" s="54"/>
      <c r="D211" s="79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</row>
    <row r="212" ht="13.6" customHeight="1" spans="1:26">
      <c r="A212" s="54"/>
      <c r="B212" s="78"/>
      <c r="C212" s="54"/>
      <c r="D212" s="79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</row>
    <row r="213" ht="13.6" customHeight="1" spans="1:26">
      <c r="A213" s="54"/>
      <c r="B213" s="78"/>
      <c r="C213" s="54"/>
      <c r="D213" s="79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</row>
    <row r="214" ht="13.6" customHeight="1" spans="1:26">
      <c r="A214" s="54"/>
      <c r="B214" s="78"/>
      <c r="C214" s="54"/>
      <c r="D214" s="79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</row>
    <row r="215" ht="13.6" customHeight="1" spans="1:26">
      <c r="A215" s="54"/>
      <c r="B215" s="78"/>
      <c r="C215" s="54"/>
      <c r="D215" s="79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</row>
    <row r="216" ht="13.6" customHeight="1" spans="1:26">
      <c r="A216" s="54"/>
      <c r="B216" s="78"/>
      <c r="C216" s="54"/>
      <c r="D216" s="79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</row>
    <row r="217" ht="13.6" customHeight="1" spans="1:26">
      <c r="A217" s="54"/>
      <c r="B217" s="78"/>
      <c r="C217" s="54"/>
      <c r="D217" s="79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</row>
    <row r="218" ht="13.6" customHeight="1" spans="1:26">
      <c r="A218" s="54"/>
      <c r="B218" s="78"/>
      <c r="C218" s="54"/>
      <c r="D218" s="79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</row>
    <row r="219" ht="13.6" customHeight="1" spans="1:26">
      <c r="A219" s="54"/>
      <c r="B219" s="78"/>
      <c r="C219" s="54"/>
      <c r="D219" s="79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</row>
    <row r="220" ht="13.6" customHeight="1" spans="1:26">
      <c r="A220" s="54"/>
      <c r="B220" s="78"/>
      <c r="C220" s="54"/>
      <c r="D220" s="79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</row>
    <row r="221" ht="13.6" customHeight="1" spans="1:26">
      <c r="A221" s="54"/>
      <c r="B221" s="78"/>
      <c r="C221" s="54"/>
      <c r="D221" s="79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</row>
    <row r="222" ht="13.6" customHeight="1" spans="1:26">
      <c r="A222" s="54"/>
      <c r="B222" s="78"/>
      <c r="C222" s="54"/>
      <c r="D222" s="79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</row>
    <row r="223" ht="13.6" customHeight="1" spans="1:26">
      <c r="A223" s="54"/>
      <c r="B223" s="78"/>
      <c r="C223" s="54"/>
      <c r="D223" s="79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</row>
    <row r="224" ht="13.6" customHeight="1" spans="1:26">
      <c r="A224" s="54"/>
      <c r="B224" s="78"/>
      <c r="C224" s="54"/>
      <c r="D224" s="79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</row>
    <row r="225" ht="13.6" customHeight="1" spans="1:26">
      <c r="A225" s="54"/>
      <c r="B225" s="78"/>
      <c r="C225" s="54"/>
      <c r="D225" s="79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</row>
    <row r="226" ht="13.6" customHeight="1" spans="1:26">
      <c r="A226" s="54"/>
      <c r="B226" s="78"/>
      <c r="C226" s="54"/>
      <c r="D226" s="79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</row>
    <row r="227" ht="13.6" customHeight="1" spans="1:26">
      <c r="A227" s="54"/>
      <c r="B227" s="78"/>
      <c r="C227" s="54"/>
      <c r="D227" s="79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</row>
    <row r="228" ht="13.6" customHeight="1" spans="1:26">
      <c r="A228" s="54"/>
      <c r="B228" s="78"/>
      <c r="C228" s="54"/>
      <c r="D228" s="79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</row>
    <row r="229" ht="13.6" customHeight="1" spans="1:26">
      <c r="A229" s="54"/>
      <c r="B229" s="78"/>
      <c r="C229" s="54"/>
      <c r="D229" s="79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</row>
    <row r="230" ht="13.6" customHeight="1" spans="1:26">
      <c r="A230" s="54"/>
      <c r="B230" s="78"/>
      <c r="C230" s="54"/>
      <c r="D230" s="79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</row>
    <row r="231" ht="13.6" customHeight="1" spans="1:26">
      <c r="A231" s="54"/>
      <c r="B231" s="78"/>
      <c r="C231" s="54"/>
      <c r="D231" s="79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</row>
    <row r="232" ht="13.6" customHeight="1" spans="1:26">
      <c r="A232" s="54"/>
      <c r="B232" s="78"/>
      <c r="C232" s="54"/>
      <c r="D232" s="79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</row>
    <row r="233" ht="13.6" customHeight="1" spans="1:26">
      <c r="A233" s="54"/>
      <c r="B233" s="78"/>
      <c r="C233" s="54"/>
      <c r="D233" s="79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</row>
    <row r="234" ht="13.6" customHeight="1" spans="1:26">
      <c r="A234" s="54"/>
      <c r="B234" s="78"/>
      <c r="C234" s="54"/>
      <c r="D234" s="79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</row>
    <row r="235" ht="13.6" customHeight="1" spans="1:26">
      <c r="A235" s="54"/>
      <c r="B235" s="78"/>
      <c r="C235" s="54"/>
      <c r="D235" s="79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</row>
    <row r="236" ht="13.6" customHeight="1" spans="1:26">
      <c r="A236" s="54"/>
      <c r="B236" s="78"/>
      <c r="C236" s="54"/>
      <c r="D236" s="79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</row>
    <row r="237" ht="13.6" customHeight="1" spans="1:26">
      <c r="A237" s="54"/>
      <c r="B237" s="78"/>
      <c r="C237" s="54"/>
      <c r="D237" s="79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</row>
    <row r="238" ht="13.6" customHeight="1" spans="1:26">
      <c r="A238" s="54"/>
      <c r="B238" s="78"/>
      <c r="C238" s="54"/>
      <c r="D238" s="79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</row>
    <row r="239" ht="13.6" customHeight="1" spans="1:26">
      <c r="A239" s="54"/>
      <c r="B239" s="78"/>
      <c r="C239" s="54"/>
      <c r="D239" s="79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</row>
    <row r="240" ht="13.6" customHeight="1"/>
    <row r="241" ht="13.6" customHeight="1"/>
    <row r="242" ht="13.6" customHeight="1"/>
    <row r="243" ht="13.6" customHeight="1"/>
    <row r="244" ht="13.6" customHeight="1"/>
    <row r="245" ht="13.6" customHeight="1"/>
    <row r="246" ht="13.6" customHeight="1"/>
    <row r="247" ht="13.6" customHeight="1"/>
    <row r="248" ht="13.6" customHeight="1"/>
    <row r="249" ht="13.6" customHeight="1"/>
    <row r="250" ht="13.6" customHeight="1"/>
    <row r="251" ht="13.6" customHeight="1"/>
    <row r="252" ht="13.6" customHeight="1"/>
    <row r="253" ht="13.6" customHeight="1"/>
    <row r="254" ht="13.6" customHeight="1"/>
    <row r="255" ht="13.6" customHeight="1"/>
    <row r="256" ht="13.6" customHeight="1"/>
    <row r="257" ht="13.6" customHeight="1"/>
    <row r="258" ht="13.6" customHeight="1"/>
    <row r="259" ht="13.6" customHeight="1"/>
    <row r="260" ht="13.6" customHeight="1"/>
    <row r="261" ht="13.6" customHeight="1"/>
    <row r="262" ht="13.6" customHeight="1"/>
    <row r="263" ht="13.6" customHeight="1"/>
    <row r="264" ht="13.6" customHeight="1"/>
    <row r="265" ht="13.6" customHeight="1"/>
    <row r="266" ht="13.6" customHeight="1"/>
    <row r="267" ht="13.6" customHeight="1"/>
    <row r="268" ht="13.6" customHeight="1"/>
    <row r="269" ht="13.6" customHeight="1"/>
    <row r="270" ht="13.6" customHeight="1"/>
    <row r="271" ht="13.6" customHeight="1"/>
    <row r="272" ht="13.6" customHeight="1"/>
    <row r="273" ht="13.6" customHeight="1"/>
    <row r="274" ht="13.6" customHeight="1"/>
    <row r="275" ht="13.6" customHeight="1"/>
    <row r="276" ht="13.6" customHeight="1"/>
    <row r="277" ht="13.6" customHeight="1"/>
    <row r="278" ht="13.6" customHeight="1"/>
    <row r="279" ht="13.6" customHeight="1"/>
    <row r="280" ht="13.6" customHeight="1"/>
    <row r="281" ht="13.6" customHeight="1"/>
    <row r="282" ht="13.6" customHeight="1"/>
    <row r="283" ht="13.6" customHeight="1"/>
    <row r="284" ht="13.6" customHeight="1"/>
    <row r="285" ht="13.6" customHeight="1"/>
    <row r="286" ht="13.6" customHeight="1"/>
    <row r="287" ht="13.6" customHeight="1"/>
    <row r="288" ht="13.6" customHeight="1"/>
    <row r="289" ht="13.6" customHeight="1"/>
    <row r="290" ht="13.6" customHeight="1"/>
    <row r="291" ht="13.6" customHeight="1"/>
    <row r="292" ht="13.6" customHeight="1"/>
    <row r="293" ht="13.6" customHeight="1"/>
    <row r="294" ht="13.6" customHeight="1"/>
    <row r="295" ht="13.6" customHeight="1"/>
    <row r="296" ht="13.6" customHeight="1"/>
    <row r="297" ht="13.6" customHeight="1"/>
    <row r="298" ht="13.6" customHeight="1"/>
    <row r="299" ht="13.6" customHeight="1"/>
    <row r="300" ht="13.6" customHeight="1"/>
    <row r="301" ht="13.6" customHeight="1"/>
    <row r="302" ht="13.6" customHeight="1"/>
    <row r="303" ht="13.6" customHeight="1"/>
    <row r="304" ht="13.6" customHeight="1"/>
    <row r="305" ht="13.6" customHeight="1"/>
    <row r="306" ht="13.6" customHeight="1"/>
    <row r="307" ht="13.6" customHeight="1"/>
    <row r="308" ht="13.6" customHeight="1"/>
    <row r="309" ht="13.6" customHeight="1"/>
    <row r="310" ht="13.6" customHeight="1"/>
    <row r="311" ht="13.6" customHeight="1"/>
    <row r="312" ht="13.6" customHeight="1"/>
    <row r="313" ht="13.6" customHeight="1"/>
    <row r="314" ht="13.6" customHeight="1"/>
    <row r="315" ht="13.6" customHeight="1"/>
    <row r="316" ht="13.6" customHeight="1"/>
    <row r="317" ht="13.6" customHeight="1"/>
    <row r="318" ht="13.6" customHeight="1"/>
    <row r="319" ht="13.6" customHeight="1"/>
    <row r="320" ht="13.6" customHeight="1"/>
    <row r="321" ht="13.6" customHeight="1"/>
    <row r="322" ht="13.6" customHeight="1"/>
    <row r="323" ht="13.6" customHeight="1"/>
    <row r="324" ht="13.6" customHeight="1"/>
    <row r="325" ht="13.6" customHeight="1"/>
    <row r="326" ht="13.6" customHeight="1"/>
    <row r="327" ht="13.6" customHeight="1"/>
    <row r="328" ht="13.6" customHeight="1"/>
    <row r="329" ht="13.6" customHeight="1"/>
    <row r="330" ht="13.6" customHeight="1"/>
    <row r="331" ht="13.6" customHeight="1"/>
    <row r="332" ht="13.6" customHeight="1"/>
    <row r="333" ht="13.6" customHeight="1"/>
    <row r="334" ht="13.6" customHeight="1"/>
    <row r="335" ht="13.6" customHeight="1"/>
    <row r="336" ht="13.6" customHeight="1"/>
    <row r="337" ht="13.6" customHeight="1"/>
    <row r="338" ht="13.6" customHeight="1"/>
    <row r="339" ht="13.6" customHeight="1"/>
    <row r="340" ht="13.6" customHeight="1"/>
    <row r="341" ht="13.6" customHeight="1"/>
    <row r="342" ht="13.6" customHeight="1"/>
    <row r="343" ht="13.6" customHeight="1"/>
    <row r="344" ht="13.6" customHeight="1"/>
    <row r="345" ht="13.6" customHeight="1"/>
    <row r="346" ht="13.6" customHeight="1"/>
    <row r="347" ht="13.6" customHeight="1"/>
    <row r="348" ht="13.6" customHeight="1"/>
    <row r="349" ht="13.6" customHeight="1"/>
    <row r="350" ht="13.6" customHeight="1"/>
    <row r="351" ht="13.6" customHeight="1"/>
    <row r="352" ht="13.6" customHeight="1"/>
    <row r="353" ht="13.6" customHeight="1"/>
    <row r="354" ht="13.6" customHeight="1"/>
    <row r="355" ht="13.6" customHeight="1"/>
    <row r="356" ht="13.6" customHeight="1"/>
    <row r="357" ht="13.6" customHeight="1"/>
    <row r="358" ht="13.6" customHeight="1"/>
    <row r="359" ht="13.6" customHeight="1"/>
    <row r="360" ht="13.6" customHeight="1"/>
    <row r="361" ht="13.6" customHeight="1"/>
    <row r="362" ht="13.6" customHeight="1"/>
    <row r="363" ht="13.6" customHeight="1"/>
    <row r="364" ht="13.6" customHeight="1"/>
    <row r="365" ht="13.6" customHeight="1"/>
    <row r="366" ht="13.6" customHeight="1"/>
    <row r="367" ht="13.6" customHeight="1"/>
    <row r="368" ht="13.6" customHeight="1"/>
    <row r="369" ht="13.6" customHeight="1"/>
    <row r="370" ht="13.6" customHeight="1"/>
    <row r="371" ht="13.6" customHeight="1"/>
    <row r="372" ht="13.6" customHeight="1"/>
    <row r="373" ht="13.6" customHeight="1"/>
    <row r="374" ht="13.6" customHeight="1"/>
    <row r="375" ht="13.6" customHeight="1"/>
    <row r="376" ht="13.6" customHeight="1"/>
    <row r="377" ht="13.6" customHeight="1"/>
    <row r="378" ht="13.6" customHeight="1"/>
    <row r="379" ht="13.6" customHeight="1"/>
    <row r="380" ht="13.6" customHeight="1"/>
    <row r="381" ht="13.6" customHeight="1"/>
    <row r="382" ht="13.6" customHeight="1"/>
    <row r="383" ht="13.6" customHeight="1"/>
    <row r="384" ht="13.6" customHeight="1"/>
    <row r="385" ht="13.6" customHeight="1"/>
    <row r="386" ht="13.6" customHeight="1"/>
    <row r="387" ht="13.6" customHeight="1"/>
    <row r="388" ht="13.6" customHeight="1"/>
    <row r="389" ht="13.6" customHeight="1"/>
    <row r="390" ht="13.6" customHeight="1"/>
    <row r="391" ht="13.6" customHeight="1"/>
    <row r="392" ht="13.6" customHeight="1"/>
    <row r="393" ht="13.6" customHeight="1"/>
    <row r="394" ht="13.6" customHeight="1"/>
    <row r="395" ht="13.6" customHeight="1"/>
    <row r="396" ht="13.6" customHeight="1"/>
    <row r="397" ht="13.6" customHeight="1"/>
    <row r="398" ht="13.6" customHeight="1"/>
    <row r="399" ht="13.6" customHeight="1"/>
    <row r="400" ht="13.6" customHeight="1"/>
    <row r="401" ht="13.6" customHeight="1"/>
    <row r="402" ht="13.6" customHeight="1"/>
    <row r="403" ht="13.6" customHeight="1"/>
    <row r="404" ht="13.6" customHeight="1"/>
    <row r="405" ht="13.6" customHeight="1"/>
    <row r="406" ht="13.6" customHeight="1"/>
    <row r="407" ht="13.6" customHeight="1"/>
    <row r="408" ht="13.6" customHeight="1"/>
    <row r="409" ht="13.6" customHeight="1"/>
    <row r="410" ht="13.6" customHeight="1"/>
    <row r="411" ht="13.6" customHeight="1"/>
    <row r="412" ht="13.6" customHeight="1"/>
    <row r="413" ht="13.6" customHeight="1"/>
    <row r="414" ht="13.6" customHeight="1"/>
    <row r="415" ht="13.6" customHeight="1"/>
    <row r="416" ht="13.6" customHeight="1"/>
    <row r="417" ht="13.6" customHeight="1"/>
    <row r="418" ht="13.6" customHeight="1"/>
    <row r="419" ht="13.6" customHeight="1"/>
    <row r="420" ht="13.6" customHeight="1"/>
    <row r="421" ht="13.6" customHeight="1"/>
    <row r="422" ht="13.6" customHeight="1"/>
    <row r="423" ht="13.6" customHeight="1"/>
    <row r="424" ht="13.6" customHeight="1"/>
    <row r="425" ht="13.6" customHeight="1"/>
    <row r="426" ht="13.6" customHeight="1"/>
    <row r="427" ht="13.6" customHeight="1"/>
    <row r="428" ht="13.6" customHeight="1"/>
    <row r="429" ht="13.6" customHeight="1"/>
    <row r="430" ht="13.6" customHeight="1"/>
    <row r="431" ht="13.6" customHeight="1"/>
    <row r="432" ht="13.6" customHeight="1"/>
    <row r="433" ht="13.6" customHeight="1"/>
    <row r="434" ht="13.6" customHeight="1"/>
    <row r="435" ht="13.6" customHeight="1"/>
    <row r="436" ht="13.6" customHeight="1"/>
    <row r="437" ht="13.6" customHeight="1"/>
    <row r="438" ht="13.6" customHeight="1"/>
    <row r="439" ht="13.6" customHeight="1"/>
    <row r="440" ht="13.6" customHeight="1"/>
    <row r="441" ht="13.6" customHeight="1"/>
    <row r="442" ht="13.6" customHeight="1"/>
    <row r="443" ht="13.6" customHeight="1"/>
    <row r="444" ht="13.6" customHeight="1"/>
    <row r="445" ht="13.6" customHeight="1"/>
    <row r="446" ht="13.6" customHeight="1"/>
    <row r="447" ht="13.6" customHeight="1"/>
    <row r="448" ht="13.6" customHeight="1"/>
    <row r="449" ht="13.6" customHeight="1"/>
    <row r="450" ht="13.6" customHeight="1"/>
    <row r="451" ht="13.6" customHeight="1"/>
    <row r="452" ht="13.6" customHeight="1"/>
    <row r="453" ht="13.6" customHeight="1"/>
    <row r="454" ht="13.6" customHeight="1"/>
    <row r="455" ht="13.6" customHeight="1"/>
    <row r="456" ht="13.6" customHeight="1"/>
    <row r="457" ht="13.6" customHeight="1"/>
    <row r="458" ht="13.6" customHeight="1"/>
    <row r="459" ht="13.6" customHeight="1"/>
    <row r="460" ht="13.6" customHeight="1"/>
    <row r="461" ht="13.6" customHeight="1"/>
    <row r="462" ht="13.6" customHeight="1"/>
    <row r="463" ht="13.6" customHeight="1"/>
    <row r="464" ht="13.6" customHeight="1"/>
    <row r="465" ht="13.6" customHeight="1"/>
    <row r="466" ht="13.6" customHeight="1"/>
    <row r="467" ht="13.6" customHeight="1"/>
    <row r="468" ht="13.6" customHeight="1"/>
    <row r="469" ht="13.6" customHeight="1"/>
    <row r="470" ht="13.6" customHeight="1"/>
    <row r="471" ht="13.6" customHeight="1"/>
    <row r="472" ht="13.6" customHeight="1"/>
    <row r="473" ht="13.6" customHeight="1"/>
    <row r="474" ht="13.6" customHeight="1"/>
    <row r="475" ht="13.6" customHeight="1"/>
    <row r="476" ht="13.6" customHeight="1"/>
    <row r="477" ht="13.6" customHeight="1"/>
    <row r="478" ht="13.6" customHeight="1"/>
    <row r="479" ht="13.6" customHeight="1"/>
    <row r="480" ht="13.6" customHeight="1"/>
    <row r="481" ht="13.6" customHeight="1"/>
    <row r="482" ht="13.6" customHeight="1"/>
    <row r="483" ht="13.6" customHeight="1"/>
    <row r="484" ht="13.6" customHeight="1"/>
    <row r="485" ht="13.6" customHeight="1"/>
    <row r="486" ht="13.6" customHeight="1"/>
    <row r="487" ht="13.6" customHeight="1"/>
    <row r="488" ht="13.6" customHeight="1"/>
    <row r="489" ht="13.6" customHeight="1"/>
    <row r="490" ht="13.6" customHeight="1"/>
    <row r="491" ht="13.6" customHeight="1"/>
    <row r="492" ht="13.6" customHeight="1"/>
    <row r="493" ht="13.6" customHeight="1"/>
    <row r="494" ht="13.6" customHeight="1"/>
    <row r="495" ht="13.6" customHeight="1"/>
    <row r="496" ht="13.6" customHeight="1"/>
    <row r="497" ht="13.6" customHeight="1"/>
    <row r="498" ht="13.6" customHeight="1"/>
    <row r="499" ht="13.6" customHeight="1"/>
    <row r="500" ht="13.6" customHeight="1"/>
    <row r="501" ht="13.6" customHeight="1"/>
    <row r="502" ht="13.6" customHeight="1"/>
    <row r="503" ht="13.6" customHeight="1"/>
    <row r="504" ht="13.6" customHeight="1"/>
    <row r="505" ht="13.6" customHeight="1"/>
    <row r="506" ht="13.6" customHeight="1"/>
    <row r="507" ht="13.6" customHeight="1"/>
    <row r="508" ht="13.6" customHeight="1"/>
    <row r="509" ht="13.6" customHeight="1"/>
    <row r="510" ht="13.6" customHeight="1"/>
    <row r="511" ht="13.6" customHeight="1"/>
    <row r="512" ht="13.6" customHeight="1"/>
    <row r="513" ht="13.6" customHeight="1"/>
    <row r="514" ht="13.6" customHeight="1"/>
    <row r="515" ht="13.6" customHeight="1"/>
    <row r="516" ht="13.6" customHeight="1"/>
    <row r="517" ht="13.6" customHeight="1"/>
    <row r="518" ht="13.6" customHeight="1"/>
    <row r="519" ht="13.6" customHeight="1"/>
    <row r="520" ht="13.6" customHeight="1"/>
    <row r="521" ht="13.6" customHeight="1"/>
    <row r="522" ht="13.6" customHeight="1"/>
    <row r="523" ht="13.6" customHeight="1"/>
    <row r="524" ht="13.6" customHeight="1"/>
    <row r="525" ht="13.6" customHeight="1"/>
    <row r="526" ht="13.6" customHeight="1"/>
    <row r="527" ht="13.6" customHeight="1"/>
    <row r="528" ht="13.6" customHeight="1"/>
    <row r="529" ht="13.6" customHeight="1"/>
    <row r="530" ht="13.6" customHeight="1"/>
    <row r="531" ht="13.6" customHeight="1"/>
    <row r="532" ht="13.6" customHeight="1"/>
    <row r="533" ht="13.6" customHeight="1"/>
    <row r="534" ht="13.6" customHeight="1"/>
    <row r="535" ht="13.6" customHeight="1"/>
    <row r="536" ht="13.6" customHeight="1"/>
    <row r="537" ht="13.6" customHeight="1"/>
    <row r="538" ht="13.6" customHeight="1"/>
    <row r="539" ht="13.6" customHeight="1"/>
    <row r="540" ht="13.6" customHeight="1"/>
    <row r="541" ht="13.6" customHeight="1"/>
    <row r="542" ht="13.6" customHeight="1"/>
    <row r="543" ht="13.6" customHeight="1"/>
    <row r="544" ht="13.6" customHeight="1"/>
    <row r="545" ht="13.6" customHeight="1"/>
    <row r="546" ht="13.6" customHeight="1"/>
    <row r="547" ht="13.6" customHeight="1"/>
    <row r="548" ht="13.6" customHeight="1"/>
    <row r="549" ht="13.6" customHeight="1"/>
    <row r="550" ht="13.6" customHeight="1"/>
    <row r="551" ht="13.6" customHeight="1"/>
    <row r="552" ht="13.6" customHeight="1"/>
    <row r="553" ht="13.6" customHeight="1"/>
    <row r="554" ht="13.6" customHeight="1"/>
    <row r="555" ht="13.6" customHeight="1"/>
    <row r="556" ht="13.6" customHeight="1"/>
    <row r="557" ht="13.6" customHeight="1"/>
    <row r="558" ht="13.6" customHeight="1"/>
    <row r="559" ht="13.6" customHeight="1"/>
    <row r="560" ht="13.6" customHeight="1"/>
    <row r="561" ht="13.6" customHeight="1"/>
    <row r="562" ht="13.6" customHeight="1"/>
    <row r="563" ht="13.6" customHeight="1"/>
    <row r="564" ht="13.6" customHeight="1"/>
    <row r="565" ht="13.6" customHeight="1"/>
    <row r="566" ht="13.6" customHeight="1"/>
    <row r="567" ht="13.6" customHeight="1"/>
    <row r="568" ht="13.6" customHeight="1"/>
    <row r="569" ht="13.6" customHeight="1"/>
    <row r="570" ht="13.6" customHeight="1"/>
    <row r="571" ht="13.6" customHeight="1"/>
    <row r="572" ht="13.6" customHeight="1"/>
    <row r="573" ht="13.6" customHeight="1"/>
    <row r="574" ht="13.6" customHeight="1"/>
    <row r="575" ht="13.6" customHeight="1"/>
    <row r="576" ht="13.6" customHeight="1"/>
    <row r="577" ht="13.6" customHeight="1"/>
    <row r="578" ht="13.6" customHeight="1"/>
    <row r="579" ht="13.6" customHeight="1"/>
    <row r="580" ht="13.6" customHeight="1"/>
    <row r="581" ht="13.6" customHeight="1"/>
    <row r="582" ht="13.6" customHeight="1"/>
    <row r="583" ht="13.6" customHeight="1"/>
    <row r="584" ht="13.6" customHeight="1"/>
    <row r="585" ht="13.6" customHeight="1"/>
    <row r="586" ht="13.6" customHeight="1"/>
    <row r="587" ht="13.6" customHeight="1"/>
    <row r="588" ht="13.6" customHeight="1"/>
    <row r="589" ht="13.6" customHeight="1"/>
    <row r="590" ht="13.6" customHeight="1"/>
    <row r="591" ht="13.6" customHeight="1"/>
    <row r="592" ht="13.6" customHeight="1"/>
    <row r="593" ht="13.6" customHeight="1"/>
    <row r="594" ht="13.6" customHeight="1"/>
    <row r="595" ht="13.6" customHeight="1"/>
    <row r="596" ht="13.6" customHeight="1"/>
    <row r="597" ht="13.6" customHeight="1"/>
    <row r="598" ht="13.6" customHeight="1"/>
    <row r="599" ht="13.6" customHeight="1"/>
    <row r="600" ht="13.6" customHeight="1"/>
    <row r="601" ht="13.6" customHeight="1"/>
    <row r="602" ht="13.6" customHeight="1"/>
    <row r="603" ht="13.6" customHeight="1"/>
    <row r="604" ht="13.6" customHeight="1"/>
    <row r="605" ht="13.6" customHeight="1"/>
    <row r="606" ht="13.6" customHeight="1"/>
    <row r="607" ht="13.6" customHeight="1"/>
    <row r="608" ht="13.6" customHeight="1"/>
    <row r="609" ht="13.6" customHeight="1"/>
    <row r="610" ht="13.6" customHeight="1"/>
    <row r="611" ht="13.6" customHeight="1"/>
    <row r="612" ht="13.6" customHeight="1"/>
    <row r="613" ht="13.6" customHeight="1"/>
    <row r="614" ht="13.6" customHeight="1"/>
    <row r="615" ht="13.6" customHeight="1"/>
    <row r="616" ht="13.6" customHeight="1"/>
    <row r="617" ht="13.6" customHeight="1"/>
    <row r="618" ht="13.6" customHeight="1"/>
    <row r="619" ht="13.6" customHeight="1"/>
    <row r="620" ht="13.6" customHeight="1"/>
    <row r="621" ht="13.6" customHeight="1"/>
    <row r="622" ht="13.6" customHeight="1"/>
    <row r="623" ht="13.6" customHeight="1"/>
    <row r="624" ht="13.6" customHeight="1"/>
    <row r="625" ht="13.6" customHeight="1"/>
    <row r="626" ht="13.6" customHeight="1"/>
    <row r="627" ht="13.6" customHeight="1"/>
    <row r="628" ht="13.6" customHeight="1"/>
    <row r="629" ht="13.6" customHeight="1"/>
    <row r="630" ht="13.6" customHeight="1"/>
    <row r="631" ht="13.6" customHeight="1"/>
    <row r="632" ht="13.6" customHeight="1"/>
    <row r="633" ht="13.6" customHeight="1"/>
    <row r="634" ht="13.6" customHeight="1"/>
    <row r="635" ht="13.6" customHeight="1"/>
    <row r="636" ht="13.6" customHeight="1"/>
    <row r="637" ht="13.6" customHeight="1"/>
    <row r="638" ht="13.6" customHeight="1"/>
    <row r="639" ht="13.6" customHeight="1"/>
    <row r="640" ht="13.6" customHeight="1"/>
    <row r="641" ht="13.6" customHeight="1"/>
    <row r="642" ht="13.6" customHeight="1"/>
    <row r="643" ht="13.6" customHeight="1"/>
    <row r="644" ht="13.6" customHeight="1"/>
    <row r="645" ht="13.6" customHeight="1"/>
    <row r="646" ht="13.6" customHeight="1"/>
    <row r="647" ht="13.6" customHeight="1"/>
    <row r="648" ht="13.6" customHeight="1"/>
    <row r="649" ht="13.6" customHeight="1"/>
    <row r="650" ht="13.6" customHeight="1"/>
    <row r="651" ht="13.6" customHeight="1"/>
    <row r="652" ht="13.6" customHeight="1"/>
    <row r="653" ht="13.6" customHeight="1"/>
    <row r="654" ht="13.6" customHeight="1"/>
    <row r="655" ht="13.6" customHeight="1"/>
    <row r="656" ht="13.6" customHeight="1"/>
    <row r="657" ht="13.6" customHeight="1"/>
    <row r="658" ht="13.6" customHeight="1"/>
    <row r="659" ht="13.6" customHeight="1"/>
    <row r="660" ht="13.6" customHeight="1"/>
    <row r="661" ht="13.6" customHeight="1"/>
    <row r="662" ht="13.6" customHeight="1"/>
    <row r="663" ht="13.6" customHeight="1"/>
    <row r="664" ht="13.6" customHeight="1"/>
    <row r="665" ht="13.6" customHeight="1"/>
    <row r="666" ht="13.6" customHeight="1"/>
    <row r="667" ht="13.6" customHeight="1"/>
    <row r="668" ht="13.6" customHeight="1"/>
    <row r="669" ht="13.6" customHeight="1"/>
    <row r="670" ht="13.6" customHeight="1"/>
    <row r="671" ht="13.6" customHeight="1"/>
    <row r="672" ht="13.6" customHeight="1"/>
    <row r="673" ht="13.6" customHeight="1"/>
    <row r="674" ht="13.6" customHeight="1"/>
    <row r="675" ht="13.6" customHeight="1"/>
    <row r="676" ht="13.6" customHeight="1"/>
    <row r="677" ht="13.6" customHeight="1"/>
    <row r="678" ht="13.6" customHeight="1"/>
    <row r="679" ht="13.6" customHeight="1"/>
    <row r="680" ht="13.6" customHeight="1"/>
    <row r="681" ht="13.6" customHeight="1"/>
    <row r="682" ht="13.6" customHeight="1"/>
    <row r="683" ht="13.6" customHeight="1"/>
    <row r="684" ht="13.6" customHeight="1"/>
    <row r="685" ht="13.6" customHeight="1"/>
    <row r="686" ht="13.6" customHeight="1"/>
    <row r="687" ht="13.6" customHeight="1"/>
    <row r="688" ht="13.6" customHeight="1"/>
    <row r="689" ht="13.6" customHeight="1"/>
    <row r="690" ht="13.6" customHeight="1"/>
    <row r="691" ht="13.6" customHeight="1"/>
    <row r="692" ht="13.6" customHeight="1"/>
    <row r="693" ht="13.6" customHeight="1"/>
    <row r="694" ht="13.6" customHeight="1"/>
    <row r="695" ht="13.6" customHeight="1"/>
    <row r="696" ht="13.6" customHeight="1"/>
    <row r="697" ht="13.6" customHeight="1"/>
    <row r="698" ht="13.6" customHeight="1"/>
    <row r="699" ht="13.6" customHeight="1"/>
    <row r="700" ht="13.6" customHeight="1"/>
    <row r="701" ht="13.6" customHeight="1"/>
    <row r="702" ht="13.6" customHeight="1"/>
    <row r="703" ht="13.6" customHeight="1"/>
    <row r="704" ht="13.6" customHeight="1"/>
    <row r="705" ht="13.6" customHeight="1"/>
    <row r="706" ht="13.6" customHeight="1"/>
    <row r="707" ht="13.6" customHeight="1"/>
    <row r="708" ht="13.6" customHeight="1"/>
    <row r="709" ht="13.6" customHeight="1"/>
    <row r="710" ht="13.6" customHeight="1"/>
    <row r="711" ht="13.6" customHeight="1"/>
    <row r="712" ht="13.6" customHeight="1"/>
    <row r="713" ht="13.6" customHeight="1"/>
    <row r="714" ht="13.6" customHeight="1"/>
    <row r="715" ht="13.6" customHeight="1"/>
    <row r="716" ht="13.6" customHeight="1"/>
    <row r="717" ht="13.6" customHeight="1"/>
    <row r="718" ht="13.6" customHeight="1"/>
    <row r="719" ht="13.6" customHeight="1"/>
    <row r="720" ht="13.6" customHeight="1"/>
    <row r="721" ht="13.6" customHeight="1"/>
    <row r="722" ht="13.6" customHeight="1"/>
    <row r="723" ht="13.6" customHeight="1"/>
    <row r="724" ht="13.6" customHeight="1"/>
    <row r="725" ht="13.6" customHeight="1"/>
    <row r="726" ht="13.6" customHeight="1"/>
    <row r="727" ht="13.6" customHeight="1"/>
    <row r="728" ht="13.6" customHeight="1"/>
    <row r="729" ht="13.6" customHeight="1"/>
    <row r="730" ht="13.6" customHeight="1"/>
    <row r="731" ht="13.6" customHeight="1"/>
    <row r="732" ht="13.6" customHeight="1"/>
    <row r="733" ht="13.6" customHeight="1"/>
    <row r="734" ht="13.6" customHeight="1"/>
    <row r="735" ht="13.6" customHeight="1"/>
    <row r="736" ht="13.6" customHeight="1"/>
    <row r="737" ht="13.6" customHeight="1"/>
    <row r="738" ht="13.6" customHeight="1"/>
    <row r="739" ht="13.6" customHeight="1"/>
    <row r="740" ht="13.6" customHeight="1"/>
    <row r="741" ht="13.6" customHeight="1"/>
    <row r="742" ht="13.6" customHeight="1"/>
    <row r="743" ht="13.6" customHeight="1"/>
    <row r="744" ht="13.6" customHeight="1"/>
    <row r="745" ht="13.6" customHeight="1"/>
    <row r="746" ht="13.6" customHeight="1"/>
    <row r="747" ht="13.6" customHeight="1"/>
    <row r="748" ht="13.6" customHeight="1"/>
    <row r="749" ht="13.6" customHeight="1"/>
    <row r="750" ht="13.6" customHeight="1"/>
    <row r="751" ht="13.6" customHeight="1"/>
    <row r="752" ht="13.6" customHeight="1"/>
    <row r="753" ht="13.6" customHeight="1"/>
    <row r="754" ht="13.6" customHeight="1"/>
    <row r="755" ht="13.6" customHeight="1"/>
    <row r="756" ht="13.6" customHeight="1"/>
    <row r="757" ht="13.6" customHeight="1"/>
    <row r="758" ht="13.6" customHeight="1"/>
    <row r="759" ht="13.6" customHeight="1"/>
    <row r="760" ht="13.6" customHeight="1"/>
    <row r="761" ht="13.6" customHeight="1"/>
    <row r="762" ht="13.6" customHeight="1"/>
    <row r="763" ht="13.6" customHeight="1"/>
    <row r="764" ht="13.6" customHeight="1"/>
    <row r="765" ht="13.6" customHeight="1"/>
    <row r="766" ht="13.6" customHeight="1"/>
    <row r="767" ht="13.6" customHeight="1"/>
    <row r="768" ht="13.6" customHeight="1"/>
    <row r="769" ht="13.6" customHeight="1"/>
    <row r="770" ht="13.6" customHeight="1"/>
    <row r="771" ht="13.6" customHeight="1"/>
    <row r="772" ht="13.6" customHeight="1"/>
    <row r="773" ht="13.6" customHeight="1"/>
    <row r="774" ht="13.6" customHeight="1"/>
    <row r="775" ht="13.6" customHeight="1"/>
    <row r="776" ht="13.6" customHeight="1"/>
    <row r="777" ht="13.6" customHeight="1"/>
    <row r="778" ht="13.6" customHeight="1"/>
    <row r="779" ht="13.6" customHeight="1"/>
    <row r="780" ht="13.6" customHeight="1"/>
    <row r="781" ht="13.6" customHeight="1"/>
    <row r="782" ht="13.6" customHeight="1"/>
    <row r="783" ht="13.6" customHeight="1"/>
    <row r="784" ht="13.6" customHeight="1"/>
    <row r="785" ht="13.6" customHeight="1"/>
    <row r="786" ht="13.6" customHeight="1"/>
    <row r="787" ht="13.6" customHeight="1"/>
    <row r="788" ht="13.6" customHeight="1"/>
    <row r="789" ht="13.6" customHeight="1"/>
    <row r="790" ht="13.6" customHeight="1"/>
    <row r="791" ht="13.6" customHeight="1"/>
    <row r="792" ht="13.6" customHeight="1"/>
    <row r="793" ht="13.6" customHeight="1"/>
    <row r="794" ht="13.6" customHeight="1"/>
    <row r="795" ht="13.6" customHeight="1"/>
    <row r="796" ht="13.6" customHeight="1"/>
    <row r="797" ht="13.6" customHeight="1"/>
    <row r="798" ht="13.6" customHeight="1"/>
    <row r="799" ht="13.6" customHeight="1"/>
    <row r="800" ht="13.6" customHeight="1"/>
    <row r="801" ht="13.6" customHeight="1"/>
    <row r="802" ht="13.6" customHeight="1"/>
    <row r="803" ht="13.6" customHeight="1"/>
    <row r="804" ht="13.6" customHeight="1"/>
    <row r="805" ht="13.6" customHeight="1"/>
    <row r="806" ht="13.6" customHeight="1"/>
    <row r="807" ht="13.6" customHeight="1"/>
    <row r="808" ht="13.6" customHeight="1"/>
    <row r="809" ht="13.6" customHeight="1"/>
    <row r="810" ht="13.6" customHeight="1"/>
    <row r="811" ht="13.6" customHeight="1"/>
    <row r="812" ht="13.6" customHeight="1"/>
    <row r="813" ht="13.6" customHeight="1"/>
    <row r="814" ht="13.6" customHeight="1"/>
    <row r="815" ht="13.6" customHeight="1"/>
    <row r="816" ht="13.6" customHeight="1"/>
    <row r="817" ht="13.6" customHeight="1"/>
    <row r="818" ht="13.6" customHeight="1"/>
    <row r="819" ht="13.6" customHeight="1"/>
    <row r="820" ht="13.6" customHeight="1"/>
    <row r="821" ht="13.6" customHeight="1"/>
    <row r="822" ht="13.6" customHeight="1"/>
    <row r="823" ht="13.6" customHeight="1"/>
    <row r="824" ht="13.6" customHeight="1"/>
    <row r="825" ht="13.6" customHeight="1"/>
    <row r="826" ht="13.6" customHeight="1"/>
    <row r="827" ht="13.6" customHeight="1"/>
    <row r="828" ht="13.6" customHeight="1"/>
    <row r="829" ht="13.6" customHeight="1"/>
    <row r="830" ht="13.6" customHeight="1"/>
    <row r="831" ht="13.6" customHeight="1"/>
    <row r="832" ht="13.6" customHeight="1"/>
    <row r="833" ht="13.6" customHeight="1"/>
    <row r="834" ht="13.6" customHeight="1"/>
    <row r="835" ht="13.6" customHeight="1"/>
    <row r="836" ht="13.6" customHeight="1"/>
    <row r="837" ht="13.6" customHeight="1"/>
    <row r="838" ht="13.6" customHeight="1"/>
    <row r="839" ht="13.6" customHeight="1"/>
    <row r="840" ht="13.6" customHeight="1"/>
    <row r="841" ht="13.6" customHeight="1"/>
    <row r="842" ht="13.6" customHeight="1"/>
    <row r="843" ht="13.6" customHeight="1"/>
    <row r="844" ht="13.6" customHeight="1"/>
    <row r="845" ht="13.6" customHeight="1"/>
    <row r="846" ht="13.6" customHeight="1"/>
    <row r="847" ht="13.6" customHeight="1"/>
    <row r="848" ht="13.6" customHeight="1"/>
    <row r="849" ht="13.6" customHeight="1"/>
    <row r="850" ht="13.6" customHeight="1"/>
    <row r="851" ht="13.6" customHeight="1"/>
    <row r="852" ht="13.6" customHeight="1"/>
    <row r="853" ht="13.6" customHeight="1"/>
    <row r="854" ht="13.6" customHeight="1"/>
    <row r="855" ht="13.6" customHeight="1"/>
    <row r="856" ht="13.6" customHeight="1"/>
    <row r="857" ht="13.6" customHeight="1"/>
    <row r="858" ht="13.6" customHeight="1"/>
    <row r="859" ht="13.6" customHeight="1"/>
    <row r="860" ht="13.6" customHeight="1"/>
    <row r="861" ht="13.6" customHeight="1"/>
    <row r="862" ht="13.6" customHeight="1"/>
    <row r="863" ht="13.6" customHeight="1"/>
    <row r="864" ht="13.6" customHeight="1"/>
    <row r="865" ht="13.6" customHeight="1"/>
    <row r="866" ht="13.6" customHeight="1"/>
    <row r="867" ht="13.6" customHeight="1"/>
    <row r="868" ht="13.6" customHeight="1"/>
    <row r="869" ht="13.6" customHeight="1"/>
    <row r="870" ht="13.6" customHeight="1"/>
    <row r="871" ht="13.6" customHeight="1"/>
    <row r="872" ht="13.6" customHeight="1"/>
    <row r="873" ht="13.6" customHeight="1"/>
    <row r="874" ht="13.6" customHeight="1"/>
    <row r="875" ht="13.6" customHeight="1"/>
    <row r="876" ht="13.6" customHeight="1"/>
    <row r="877" ht="13.6" customHeight="1"/>
    <row r="878" ht="13.6" customHeight="1"/>
    <row r="879" ht="13.6" customHeight="1"/>
    <row r="880" ht="13.6" customHeight="1"/>
    <row r="881" ht="13.6" customHeight="1"/>
    <row r="882" ht="13.6" customHeight="1"/>
    <row r="883" ht="13.6" customHeight="1"/>
    <row r="884" ht="13.6" customHeight="1"/>
    <row r="885" ht="13.6" customHeight="1"/>
    <row r="886" ht="13.6" customHeight="1"/>
    <row r="887" ht="13.6" customHeight="1"/>
    <row r="888" ht="13.6" customHeight="1"/>
    <row r="889" ht="13.6" customHeight="1"/>
    <row r="890" ht="13.6" customHeight="1"/>
    <row r="891" ht="13.6" customHeight="1"/>
    <row r="892" ht="13.6" customHeight="1"/>
    <row r="893" ht="13.6" customHeight="1"/>
    <row r="894" ht="13.6" customHeight="1"/>
    <row r="895" ht="13.6" customHeight="1"/>
    <row r="896" ht="13.6" customHeight="1"/>
    <row r="897" ht="13.6" customHeight="1"/>
    <row r="898" ht="13.6" customHeight="1"/>
    <row r="899" ht="13.6" customHeight="1"/>
    <row r="900" ht="13.6" customHeight="1"/>
    <row r="901" ht="13.6" customHeight="1"/>
    <row r="902" ht="13.6" customHeight="1"/>
    <row r="903" ht="13.6" customHeight="1"/>
    <row r="904" ht="13.6" customHeight="1"/>
    <row r="905" ht="13.6" customHeight="1"/>
    <row r="906" ht="13.6" customHeight="1"/>
    <row r="907" ht="13.6" customHeight="1"/>
    <row r="908" ht="13.6" customHeight="1"/>
    <row r="909" ht="13.6" customHeight="1"/>
    <row r="910" ht="13.6" customHeight="1"/>
    <row r="911" ht="13.6" customHeight="1"/>
    <row r="912" ht="13.6" customHeight="1"/>
    <row r="913" ht="13.6" customHeight="1"/>
    <row r="914" ht="13.6" customHeight="1"/>
    <row r="915" ht="13.6" customHeight="1"/>
    <row r="916" ht="13.6" customHeight="1"/>
    <row r="917" ht="13.6" customHeight="1"/>
    <row r="918" ht="13.6" customHeight="1"/>
    <row r="919" ht="13.6" customHeight="1"/>
    <row r="920" ht="13.6" customHeight="1"/>
    <row r="921" ht="13.6" customHeight="1"/>
    <row r="922" ht="13.6" customHeight="1"/>
    <row r="923" ht="13.6" customHeight="1"/>
    <row r="924" ht="13.6" customHeight="1"/>
    <row r="925" ht="13.6" customHeight="1"/>
    <row r="926" ht="13.6" customHeight="1"/>
    <row r="927" ht="13.6" customHeight="1"/>
    <row r="928" ht="13.6" customHeight="1"/>
    <row r="929" ht="13.6" customHeight="1"/>
    <row r="930" ht="13.6" customHeight="1"/>
    <row r="931" ht="13.6" customHeight="1"/>
    <row r="932" ht="13.6" customHeight="1"/>
    <row r="933" ht="13.6" customHeight="1"/>
    <row r="934" ht="13.6" customHeight="1"/>
    <row r="935" ht="13.6" customHeight="1"/>
    <row r="936" ht="13.6" customHeight="1"/>
    <row r="937" ht="13.6" customHeight="1"/>
    <row r="938" ht="13.6" customHeight="1"/>
    <row r="939" ht="13.6" customHeight="1"/>
    <row r="940" ht="13.6" customHeight="1"/>
    <row r="941" ht="13.6" customHeight="1"/>
    <row r="942" ht="13.6" customHeight="1"/>
    <row r="943" ht="13.6" customHeight="1"/>
    <row r="944" ht="13.6" customHeight="1"/>
    <row r="945" ht="13.6" customHeight="1"/>
    <row r="946" ht="13.6" customHeight="1"/>
    <row r="947" ht="13.6" customHeight="1"/>
    <row r="948" ht="13.6" customHeight="1"/>
    <row r="949" ht="13.6" customHeight="1"/>
    <row r="950" ht="13.6" customHeight="1"/>
    <row r="951" ht="13.6" customHeight="1"/>
    <row r="952" ht="13.6" customHeight="1"/>
    <row r="953" ht="13.6" customHeight="1"/>
    <row r="954" ht="13.6" customHeight="1"/>
    <row r="955" ht="13.6" customHeight="1"/>
    <row r="956" ht="13.6" customHeight="1"/>
    <row r="957" ht="13.6" customHeight="1"/>
    <row r="958" ht="13.6" customHeight="1"/>
    <row r="959" ht="13.6" customHeight="1"/>
    <row r="960" ht="13.6" customHeight="1"/>
    <row r="961" ht="13.6" customHeight="1"/>
    <row r="962" ht="13.6" customHeight="1"/>
    <row r="963" ht="13.6" customHeight="1"/>
    <row r="964" ht="13.6" customHeight="1"/>
    <row r="965" ht="13.6" customHeight="1"/>
    <row r="966" ht="13.6" customHeight="1"/>
    <row r="967" ht="13.6" customHeight="1"/>
    <row r="968" ht="13.6" customHeight="1"/>
    <row r="969" ht="13.6" customHeight="1"/>
    <row r="970" ht="13.6" customHeight="1"/>
    <row r="971" ht="13.6" customHeight="1"/>
    <row r="972" ht="13.6" customHeight="1"/>
    <row r="973" ht="13.6" customHeight="1"/>
    <row r="974" ht="13.6" customHeight="1"/>
    <row r="975" ht="13.6" customHeight="1"/>
    <row r="976" ht="13.6" customHeight="1"/>
    <row r="977" ht="13.6" customHeight="1"/>
    <row r="978" ht="13.6" customHeight="1"/>
    <row r="979" ht="13.6" customHeight="1"/>
    <row r="980" ht="13.6" customHeight="1"/>
    <row r="981" ht="13.6" customHeight="1"/>
    <row r="982" ht="13.6" customHeight="1"/>
    <row r="983" ht="13.6" customHeight="1"/>
    <row r="984" ht="13.6" customHeight="1"/>
    <row r="985" ht="13.6" customHeight="1"/>
    <row r="986" ht="13.6" customHeight="1"/>
    <row r="987" ht="13.6" customHeight="1"/>
    <row r="988" ht="13.6" customHeight="1"/>
    <row r="989" ht="13.6" customHeight="1"/>
    <row r="990" ht="13.6" customHeight="1"/>
    <row r="991" ht="13.6" customHeight="1"/>
    <row r="992" ht="13.6" customHeight="1"/>
    <row r="993" ht="13.6" customHeight="1"/>
    <row r="994" ht="13.6" customHeight="1"/>
    <row r="995" ht="13.6" customHeight="1"/>
    <row r="996" ht="13.6" customHeight="1"/>
    <row r="997" ht="13.6" customHeight="1"/>
    <row r="998" ht="13.6" customHeight="1"/>
    <row r="999" ht="13.6" customHeight="1"/>
    <row r="1000" ht="13.6" customHeight="1"/>
  </sheetData>
  <mergeCells count="24">
    <mergeCell ref="A1:B1"/>
    <mergeCell ref="C1:E1"/>
    <mergeCell ref="F1:K1"/>
    <mergeCell ref="L1:T1"/>
    <mergeCell ref="A2:B2"/>
    <mergeCell ref="C2:E2"/>
    <mergeCell ref="F2:K2"/>
    <mergeCell ref="L2:N2"/>
    <mergeCell ref="A3:B3"/>
    <mergeCell ref="C3:T3"/>
    <mergeCell ref="A4:B4"/>
    <mergeCell ref="C4:E4"/>
    <mergeCell ref="F4:K4"/>
    <mergeCell ref="L4:N4"/>
    <mergeCell ref="O4:T4"/>
    <mergeCell ref="A5:B5"/>
    <mergeCell ref="C5:E5"/>
    <mergeCell ref="F5:K5"/>
    <mergeCell ref="O5:T5"/>
    <mergeCell ref="D18:E18"/>
    <mergeCell ref="B36:D36"/>
    <mergeCell ref="B37:D37"/>
    <mergeCell ref="B38:D38"/>
    <mergeCell ref="B39:D39"/>
  </mergeCells>
  <dataValidations count="3">
    <dataValidation type="list" allowBlank="1" showInputMessage="1" showErrorMessage="1" prompt=" -  - " sqref="F37:T37">
      <formula1>"P,F"</formula1>
    </dataValidation>
    <dataValidation type="list" allowBlank="1" showInputMessage="1" showErrorMessage="1" prompt=" -  - " sqref="F10:T34 F8:T9">
      <formula1>"O"</formula1>
    </dataValidation>
    <dataValidation type="list" allowBlank="1" showInputMessage="1" showErrorMessage="1" prompt=" -  - " sqref="F35:T36">
      <formula1>"N,A,B"</formula1>
    </dataValidation>
  </dataValidations>
  <pageMargins left="0.7" right="0.7" top="0.75" bottom="0.75" header="0" footer="0"/>
  <pageSetup paperSize="1" orientation="landscape" useFirstPageNumber="1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33"/>
  <sheetViews>
    <sheetView workbookViewId="0">
      <pane ySplit="1" topLeftCell="A114" activePane="bottomLeft" state="frozen"/>
      <selection/>
      <selection pane="bottomLeft" activeCell="C112" sqref="C112"/>
    </sheetView>
  </sheetViews>
  <sheetFormatPr defaultColWidth="9" defaultRowHeight="15.05" outlineLevelCol="2"/>
  <cols>
    <col min="1" max="1" width="18" customWidth="1"/>
    <col min="2" max="2" width="48" customWidth="1"/>
    <col min="3" max="3" width="95" customWidth="1"/>
  </cols>
  <sheetData>
    <row r="1" ht="22" customHeight="1" spans="1:3">
      <c r="A1" s="24" t="s">
        <v>701</v>
      </c>
      <c r="B1" s="25" t="s">
        <v>681</v>
      </c>
      <c r="C1" s="26" t="s">
        <v>702</v>
      </c>
    </row>
    <row r="2" ht="15.5" customHeight="1" spans="1:3">
      <c r="A2" s="27" t="s">
        <v>80</v>
      </c>
      <c r="B2" s="28" t="s">
        <v>79</v>
      </c>
      <c r="C2" s="29" t="s">
        <v>703</v>
      </c>
    </row>
    <row r="3" ht="15.5" customHeight="1" spans="1:3">
      <c r="A3" s="27" t="s">
        <v>85</v>
      </c>
      <c r="B3" s="28" t="s">
        <v>84</v>
      </c>
      <c r="C3" s="29" t="s">
        <v>703</v>
      </c>
    </row>
    <row r="4" ht="15.5" customHeight="1" spans="1:3">
      <c r="A4" s="27" t="s">
        <v>90</v>
      </c>
      <c r="B4" s="28" t="s">
        <v>89</v>
      </c>
      <c r="C4" s="29" t="s">
        <v>703</v>
      </c>
    </row>
    <row r="5" ht="15.5" customHeight="1" spans="1:3">
      <c r="A5" s="27" t="s">
        <v>95</v>
      </c>
      <c r="B5" s="28" t="s">
        <v>94</v>
      </c>
      <c r="C5" s="29" t="s">
        <v>703</v>
      </c>
    </row>
    <row r="6" ht="15.5" customHeight="1" spans="1:3">
      <c r="A6" s="27" t="s">
        <v>100</v>
      </c>
      <c r="B6" s="28" t="s">
        <v>99</v>
      </c>
      <c r="C6" s="29" t="s">
        <v>703</v>
      </c>
    </row>
    <row r="7" ht="15.5" customHeight="1" spans="1:3">
      <c r="A7" s="27" t="s">
        <v>105</v>
      </c>
      <c r="B7" s="28" t="s">
        <v>104</v>
      </c>
      <c r="C7" s="29" t="s">
        <v>703</v>
      </c>
    </row>
    <row r="8" ht="15.5" customHeight="1" spans="1:3">
      <c r="A8" s="27" t="s">
        <v>110</v>
      </c>
      <c r="B8" s="28" t="s">
        <v>109</v>
      </c>
      <c r="C8" s="29" t="s">
        <v>703</v>
      </c>
    </row>
    <row r="9" ht="15.5" customHeight="1" spans="1:3">
      <c r="A9" s="27" t="s">
        <v>115</v>
      </c>
      <c r="B9" s="28" t="s">
        <v>114</v>
      </c>
      <c r="C9" s="29" t="s">
        <v>703</v>
      </c>
    </row>
    <row r="10" ht="15.5" customHeight="1" spans="1:3">
      <c r="A10" s="27" t="s">
        <v>120</v>
      </c>
      <c r="B10" s="28" t="s">
        <v>119</v>
      </c>
      <c r="C10" s="29" t="s">
        <v>703</v>
      </c>
    </row>
    <row r="11" ht="15.5" customHeight="1" spans="1:3">
      <c r="A11" s="27" t="s">
        <v>125</v>
      </c>
      <c r="B11" s="28" t="s">
        <v>124</v>
      </c>
      <c r="C11" s="29" t="s">
        <v>703</v>
      </c>
    </row>
    <row r="12" ht="15.5" customHeight="1" spans="1:3">
      <c r="A12" s="27" t="s">
        <v>130</v>
      </c>
      <c r="B12" s="28" t="s">
        <v>129</v>
      </c>
      <c r="C12" s="29" t="s">
        <v>703</v>
      </c>
    </row>
    <row r="13" ht="15.5" customHeight="1" spans="1:3">
      <c r="A13" s="27" t="s">
        <v>137</v>
      </c>
      <c r="B13" s="28" t="s">
        <v>136</v>
      </c>
      <c r="C13" s="29" t="s">
        <v>703</v>
      </c>
    </row>
    <row r="14" ht="15.5" customHeight="1" spans="1:3">
      <c r="A14" s="27" t="s">
        <v>142</v>
      </c>
      <c r="B14" s="28" t="s">
        <v>141</v>
      </c>
      <c r="C14" s="29" t="s">
        <v>703</v>
      </c>
    </row>
    <row r="15" ht="15.5" customHeight="1" spans="1:3">
      <c r="A15" s="27" t="s">
        <v>147</v>
      </c>
      <c r="B15" s="28" t="s">
        <v>146</v>
      </c>
      <c r="C15" s="29" t="s">
        <v>703</v>
      </c>
    </row>
    <row r="16" ht="15.5" customHeight="1" spans="1:3">
      <c r="A16" s="27" t="s">
        <v>152</v>
      </c>
      <c r="B16" s="28" t="s">
        <v>151</v>
      </c>
      <c r="C16" s="29" t="s">
        <v>703</v>
      </c>
    </row>
    <row r="17" ht="15.5" customHeight="1" spans="1:3">
      <c r="A17" s="27" t="s">
        <v>157</v>
      </c>
      <c r="B17" s="28" t="s">
        <v>156</v>
      </c>
      <c r="C17" s="29" t="s">
        <v>703</v>
      </c>
    </row>
    <row r="18" ht="15.5" customHeight="1" spans="1:3">
      <c r="A18" s="27" t="s">
        <v>162</v>
      </c>
      <c r="B18" s="28" t="s">
        <v>161</v>
      </c>
      <c r="C18" s="29" t="s">
        <v>703</v>
      </c>
    </row>
    <row r="19" ht="15.5" customHeight="1" spans="1:3">
      <c r="A19" s="27" t="s">
        <v>167</v>
      </c>
      <c r="B19" s="28" t="s">
        <v>166</v>
      </c>
      <c r="C19" s="29" t="s">
        <v>703</v>
      </c>
    </row>
    <row r="20" ht="15.5" customHeight="1" spans="1:3">
      <c r="A20" s="27" t="s">
        <v>172</v>
      </c>
      <c r="B20" s="28" t="s">
        <v>171</v>
      </c>
      <c r="C20" s="30" t="s">
        <v>704</v>
      </c>
    </row>
    <row r="21" ht="15.5" customHeight="1" spans="1:3">
      <c r="A21" s="27" t="s">
        <v>177</v>
      </c>
      <c r="B21" s="28" t="s">
        <v>176</v>
      </c>
      <c r="C21" s="30" t="s">
        <v>705</v>
      </c>
    </row>
    <row r="22" ht="15.5" customHeight="1" spans="1:3">
      <c r="A22" s="27" t="s">
        <v>182</v>
      </c>
      <c r="B22" s="28" t="s">
        <v>181</v>
      </c>
      <c r="C22" s="29" t="s">
        <v>703</v>
      </c>
    </row>
    <row r="23" ht="15.5" customHeight="1" spans="1:3">
      <c r="A23" s="27" t="s">
        <v>187</v>
      </c>
      <c r="B23" s="28" t="s">
        <v>186</v>
      </c>
      <c r="C23" s="29" t="s">
        <v>703</v>
      </c>
    </row>
    <row r="24" ht="15.5" customHeight="1" spans="1:3">
      <c r="A24" s="27" t="s">
        <v>192</v>
      </c>
      <c r="B24" s="28" t="s">
        <v>191</v>
      </c>
      <c r="C24" s="29" t="s">
        <v>703</v>
      </c>
    </row>
    <row r="25" ht="15.5" customHeight="1" spans="1:3">
      <c r="A25" s="27" t="s">
        <v>197</v>
      </c>
      <c r="B25" s="28" t="s">
        <v>196</v>
      </c>
      <c r="C25" s="29" t="s">
        <v>703</v>
      </c>
    </row>
    <row r="26" ht="15.5" customHeight="1" spans="1:3">
      <c r="A26" s="27" t="s">
        <v>202</v>
      </c>
      <c r="B26" s="28" t="s">
        <v>201</v>
      </c>
      <c r="C26" s="29" t="s">
        <v>703</v>
      </c>
    </row>
    <row r="27" ht="15.5" customHeight="1" spans="1:3">
      <c r="A27" s="27" t="s">
        <v>207</v>
      </c>
      <c r="B27" s="28" t="s">
        <v>206</v>
      </c>
      <c r="C27" s="29" t="s">
        <v>703</v>
      </c>
    </row>
    <row r="28" ht="15.5" customHeight="1" spans="1:3">
      <c r="A28" s="27" t="s">
        <v>212</v>
      </c>
      <c r="B28" s="28" t="s">
        <v>211</v>
      </c>
      <c r="C28" s="29" t="s">
        <v>703</v>
      </c>
    </row>
    <row r="29" ht="15.5" customHeight="1" spans="1:3">
      <c r="A29" s="27" t="s">
        <v>217</v>
      </c>
      <c r="B29" s="28" t="s">
        <v>216</v>
      </c>
      <c r="C29" s="29" t="s">
        <v>703</v>
      </c>
    </row>
    <row r="30" ht="15.5" customHeight="1" spans="1:3">
      <c r="A30" s="27" t="s">
        <v>222</v>
      </c>
      <c r="B30" s="28" t="s">
        <v>221</v>
      </c>
      <c r="C30" s="31" t="s">
        <v>706</v>
      </c>
    </row>
    <row r="31" ht="15.5" customHeight="1" spans="1:3">
      <c r="A31" s="27" t="s">
        <v>227</v>
      </c>
      <c r="B31" s="28" t="s">
        <v>226</v>
      </c>
      <c r="C31" s="29" t="s">
        <v>703</v>
      </c>
    </row>
    <row r="32" ht="15.5" customHeight="1" spans="1:3">
      <c r="A32" s="27" t="s">
        <v>232</v>
      </c>
      <c r="B32" s="28" t="s">
        <v>231</v>
      </c>
      <c r="C32" s="29" t="s">
        <v>703</v>
      </c>
    </row>
    <row r="33" ht="15.5" customHeight="1" spans="1:3">
      <c r="A33" s="27" t="s">
        <v>237</v>
      </c>
      <c r="B33" s="28" t="s">
        <v>236</v>
      </c>
      <c r="C33" s="29" t="s">
        <v>703</v>
      </c>
    </row>
    <row r="34" ht="15.5" customHeight="1" spans="1:3">
      <c r="A34" s="27" t="s">
        <v>242</v>
      </c>
      <c r="B34" s="28" t="s">
        <v>241</v>
      </c>
      <c r="C34" s="30" t="s">
        <v>707</v>
      </c>
    </row>
    <row r="35" ht="15.5" customHeight="1" spans="1:3">
      <c r="A35" s="27" t="s">
        <v>247</v>
      </c>
      <c r="B35" s="28" t="s">
        <v>246</v>
      </c>
      <c r="C35" s="29" t="s">
        <v>703</v>
      </c>
    </row>
    <row r="36" ht="15.5" customHeight="1" spans="1:3">
      <c r="A36" s="27" t="s">
        <v>252</v>
      </c>
      <c r="B36" s="28" t="s">
        <v>251</v>
      </c>
      <c r="C36" s="29" t="s">
        <v>703</v>
      </c>
    </row>
    <row r="37" ht="15.5" customHeight="1" spans="1:3">
      <c r="A37" s="27" t="s">
        <v>259</v>
      </c>
      <c r="B37" s="28" t="s">
        <v>258</v>
      </c>
      <c r="C37" s="29" t="s">
        <v>703</v>
      </c>
    </row>
    <row r="38" ht="15.5" customHeight="1" spans="1:3">
      <c r="A38" s="27" t="s">
        <v>264</v>
      </c>
      <c r="B38" s="28" t="s">
        <v>263</v>
      </c>
      <c r="C38" s="29" t="s">
        <v>703</v>
      </c>
    </row>
    <row r="39" ht="15.5" customHeight="1" spans="1:3">
      <c r="A39" s="27" t="s">
        <v>269</v>
      </c>
      <c r="B39" s="28" t="s">
        <v>268</v>
      </c>
      <c r="C39" s="29" t="s">
        <v>703</v>
      </c>
    </row>
    <row r="40" ht="15.5" customHeight="1" spans="1:3">
      <c r="A40" s="27" t="s">
        <v>274</v>
      </c>
      <c r="B40" s="28" t="s">
        <v>273</v>
      </c>
      <c r="C40" s="29" t="s">
        <v>703</v>
      </c>
    </row>
    <row r="41" ht="15.5" customHeight="1" spans="1:3">
      <c r="A41" s="27" t="s">
        <v>279</v>
      </c>
      <c r="B41" s="28" t="s">
        <v>278</v>
      </c>
      <c r="C41" s="29" t="s">
        <v>703</v>
      </c>
    </row>
    <row r="42" ht="15.5" customHeight="1" spans="1:3">
      <c r="A42" s="27" t="s">
        <v>284</v>
      </c>
      <c r="B42" s="28" t="s">
        <v>283</v>
      </c>
      <c r="C42" s="29" t="s">
        <v>703</v>
      </c>
    </row>
    <row r="43" ht="15.5" customHeight="1" spans="1:3">
      <c r="A43" s="27" t="s">
        <v>289</v>
      </c>
      <c r="B43" s="28" t="s">
        <v>288</v>
      </c>
      <c r="C43" s="29" t="s">
        <v>703</v>
      </c>
    </row>
    <row r="44" ht="15.5" customHeight="1" spans="1:3">
      <c r="A44" s="27" t="s">
        <v>294</v>
      </c>
      <c r="B44" s="28" t="s">
        <v>293</v>
      </c>
      <c r="C44" s="29" t="s">
        <v>703</v>
      </c>
    </row>
    <row r="45" ht="15.5" customHeight="1" spans="1:3">
      <c r="A45" s="27" t="s">
        <v>299</v>
      </c>
      <c r="B45" s="28" t="s">
        <v>298</v>
      </c>
      <c r="C45" s="29" t="s">
        <v>703</v>
      </c>
    </row>
    <row r="46" ht="15.5" customHeight="1" spans="1:3">
      <c r="A46" s="27" t="s">
        <v>304</v>
      </c>
      <c r="B46" s="28" t="s">
        <v>303</v>
      </c>
      <c r="C46" s="29" t="s">
        <v>703</v>
      </c>
    </row>
    <row r="47" ht="15.5" customHeight="1" spans="1:3">
      <c r="A47" s="27" t="s">
        <v>309</v>
      </c>
      <c r="B47" s="28" t="s">
        <v>308</v>
      </c>
      <c r="C47" s="29" t="s">
        <v>703</v>
      </c>
    </row>
    <row r="48" ht="15.5" customHeight="1" spans="1:3">
      <c r="A48" s="27" t="s">
        <v>314</v>
      </c>
      <c r="B48" s="28" t="s">
        <v>313</v>
      </c>
      <c r="C48" s="30" t="s">
        <v>708</v>
      </c>
    </row>
    <row r="49" ht="15.5" customHeight="1" spans="1:3">
      <c r="A49" s="27" t="s">
        <v>319</v>
      </c>
      <c r="B49" s="28" t="s">
        <v>318</v>
      </c>
      <c r="C49" s="29" t="s">
        <v>703</v>
      </c>
    </row>
    <row r="50" ht="15.5" customHeight="1" spans="1:3">
      <c r="A50" s="27" t="s">
        <v>324</v>
      </c>
      <c r="B50" s="28" t="s">
        <v>323</v>
      </c>
      <c r="C50" s="30" t="s">
        <v>709</v>
      </c>
    </row>
    <row r="51" ht="15.5" customHeight="1" spans="1:3">
      <c r="A51" s="27" t="s">
        <v>329</v>
      </c>
      <c r="B51" s="28" t="s">
        <v>328</v>
      </c>
      <c r="C51" s="29" t="s">
        <v>703</v>
      </c>
    </row>
    <row r="52" ht="15.5" customHeight="1" spans="1:3">
      <c r="A52" s="27" t="s">
        <v>334</v>
      </c>
      <c r="B52" s="28" t="s">
        <v>333</v>
      </c>
      <c r="C52" s="29" t="s">
        <v>703</v>
      </c>
    </row>
    <row r="53" ht="15.5" customHeight="1" spans="1:3">
      <c r="A53" s="27" t="s">
        <v>339</v>
      </c>
      <c r="B53" s="28" t="s">
        <v>338</v>
      </c>
      <c r="C53" s="31" t="s">
        <v>710</v>
      </c>
    </row>
    <row r="54" ht="15.5" customHeight="1" spans="1:3">
      <c r="A54" s="27" t="s">
        <v>344</v>
      </c>
      <c r="B54" s="28" t="s">
        <v>343</v>
      </c>
      <c r="C54" s="29" t="s">
        <v>703</v>
      </c>
    </row>
    <row r="55" ht="15.5" customHeight="1" spans="1:3">
      <c r="A55" s="27" t="s">
        <v>349</v>
      </c>
      <c r="B55" s="28" t="s">
        <v>348</v>
      </c>
      <c r="C55" s="29" t="s">
        <v>703</v>
      </c>
    </row>
    <row r="56" ht="15.5" customHeight="1" spans="1:3">
      <c r="A56" s="27" t="s">
        <v>354</v>
      </c>
      <c r="B56" s="28" t="s">
        <v>353</v>
      </c>
      <c r="C56" s="29" t="s">
        <v>703</v>
      </c>
    </row>
    <row r="57" ht="15.5" customHeight="1" spans="1:3">
      <c r="A57" s="27" t="s">
        <v>359</v>
      </c>
      <c r="B57" s="28" t="s">
        <v>358</v>
      </c>
      <c r="C57" s="29" t="s">
        <v>703</v>
      </c>
    </row>
    <row r="58" ht="15.5" customHeight="1" spans="1:3">
      <c r="A58" s="27" t="s">
        <v>364</v>
      </c>
      <c r="B58" s="28" t="s">
        <v>363</v>
      </c>
      <c r="C58" s="29" t="s">
        <v>703</v>
      </c>
    </row>
    <row r="59" ht="15.5" customHeight="1" spans="1:3">
      <c r="A59" s="27" t="s">
        <v>369</v>
      </c>
      <c r="B59" s="28" t="s">
        <v>368</v>
      </c>
      <c r="C59" s="29" t="s">
        <v>703</v>
      </c>
    </row>
    <row r="60" ht="15.5" customHeight="1" spans="1:3">
      <c r="A60" s="27" t="s">
        <v>374</v>
      </c>
      <c r="B60" s="28" t="s">
        <v>373</v>
      </c>
      <c r="C60" s="31" t="s">
        <v>711</v>
      </c>
    </row>
    <row r="61" ht="15.5" customHeight="1" spans="1:3">
      <c r="A61" s="27" t="s">
        <v>379</v>
      </c>
      <c r="B61" s="28" t="s">
        <v>378</v>
      </c>
      <c r="C61" s="29" t="s">
        <v>703</v>
      </c>
    </row>
    <row r="62" ht="15.5" customHeight="1" spans="1:3">
      <c r="A62" s="27" t="s">
        <v>384</v>
      </c>
      <c r="B62" s="28" t="s">
        <v>383</v>
      </c>
      <c r="C62" s="29" t="s">
        <v>703</v>
      </c>
    </row>
    <row r="63" ht="15.5" customHeight="1" spans="1:3">
      <c r="A63" s="27" t="s">
        <v>389</v>
      </c>
      <c r="B63" s="28" t="s">
        <v>388</v>
      </c>
      <c r="C63" s="29" t="s">
        <v>703</v>
      </c>
    </row>
    <row r="64" ht="15.5" customHeight="1" spans="1:3">
      <c r="A64" s="27" t="s">
        <v>394</v>
      </c>
      <c r="B64" s="28" t="s">
        <v>393</v>
      </c>
      <c r="C64" s="29" t="s">
        <v>703</v>
      </c>
    </row>
    <row r="65" ht="15.5" customHeight="1" spans="1:3">
      <c r="A65" s="27" t="s">
        <v>399</v>
      </c>
      <c r="B65" s="28" t="s">
        <v>398</v>
      </c>
      <c r="C65" s="29" t="s">
        <v>703</v>
      </c>
    </row>
    <row r="66" ht="15.5" customHeight="1" spans="1:3">
      <c r="A66" s="27" t="s">
        <v>404</v>
      </c>
      <c r="B66" s="28" t="s">
        <v>403</v>
      </c>
      <c r="C66" s="29" t="s">
        <v>703</v>
      </c>
    </row>
    <row r="67" ht="15.5" customHeight="1" spans="1:3">
      <c r="A67" s="27" t="s">
        <v>409</v>
      </c>
      <c r="B67" s="28" t="s">
        <v>408</v>
      </c>
      <c r="C67" s="30" t="s">
        <v>712</v>
      </c>
    </row>
    <row r="68" ht="15.5" customHeight="1" spans="1:3">
      <c r="A68" s="27" t="s">
        <v>414</v>
      </c>
      <c r="B68" s="28" t="s">
        <v>413</v>
      </c>
      <c r="C68" s="29" t="s">
        <v>703</v>
      </c>
    </row>
    <row r="69" ht="15.5" customHeight="1" spans="1:3">
      <c r="A69" s="27" t="s">
        <v>419</v>
      </c>
      <c r="B69" s="28" t="s">
        <v>418</v>
      </c>
      <c r="C69" s="30" t="s">
        <v>713</v>
      </c>
    </row>
    <row r="70" ht="15.5" customHeight="1" spans="1:3">
      <c r="A70" s="27" t="s">
        <v>424</v>
      </c>
      <c r="B70" s="28" t="s">
        <v>423</v>
      </c>
      <c r="C70" s="29" t="s">
        <v>703</v>
      </c>
    </row>
    <row r="71" ht="15.5" customHeight="1" spans="1:3">
      <c r="A71" s="27" t="s">
        <v>429</v>
      </c>
      <c r="B71" s="28" t="s">
        <v>428</v>
      </c>
      <c r="C71" s="29" t="s">
        <v>703</v>
      </c>
    </row>
    <row r="72" ht="15.5" customHeight="1" spans="1:3">
      <c r="A72" s="27" t="s">
        <v>436</v>
      </c>
      <c r="B72" s="28" t="s">
        <v>435</v>
      </c>
      <c r="C72" s="29" t="s">
        <v>703</v>
      </c>
    </row>
    <row r="73" ht="15.5" customHeight="1" spans="1:3">
      <c r="A73" s="27" t="s">
        <v>441</v>
      </c>
      <c r="B73" s="28" t="s">
        <v>440</v>
      </c>
      <c r="C73" s="29" t="s">
        <v>703</v>
      </c>
    </row>
    <row r="74" ht="15.5" customHeight="1" spans="1:3">
      <c r="A74" s="27" t="s">
        <v>446</v>
      </c>
      <c r="B74" s="28" t="s">
        <v>445</v>
      </c>
      <c r="C74" s="29" t="s">
        <v>703</v>
      </c>
    </row>
    <row r="75" ht="15.5" customHeight="1" spans="1:3">
      <c r="A75" s="27" t="s">
        <v>451</v>
      </c>
      <c r="B75" s="28" t="s">
        <v>450</v>
      </c>
      <c r="C75" s="29" t="s">
        <v>703</v>
      </c>
    </row>
    <row r="76" ht="15.5" customHeight="1" spans="1:3">
      <c r="A76" s="27" t="s">
        <v>455</v>
      </c>
      <c r="B76" s="28" t="s">
        <v>454</v>
      </c>
      <c r="C76" s="29" t="s">
        <v>703</v>
      </c>
    </row>
    <row r="77" ht="15.5" customHeight="1" spans="1:3">
      <c r="A77" s="27" t="s">
        <v>460</v>
      </c>
      <c r="B77" s="28" t="s">
        <v>459</v>
      </c>
      <c r="C77" s="29" t="s">
        <v>703</v>
      </c>
    </row>
    <row r="78" ht="15.5" customHeight="1" spans="1:3">
      <c r="A78" s="27" t="s">
        <v>464</v>
      </c>
      <c r="B78" s="28" t="s">
        <v>463</v>
      </c>
      <c r="C78" s="29" t="s">
        <v>703</v>
      </c>
    </row>
    <row r="79" ht="15.5" customHeight="1" spans="1:3">
      <c r="A79" s="27" t="s">
        <v>469</v>
      </c>
      <c r="B79" s="28" t="s">
        <v>468</v>
      </c>
      <c r="C79" s="29" t="s">
        <v>703</v>
      </c>
    </row>
    <row r="80" ht="15.5" customHeight="1" spans="1:3">
      <c r="A80" s="27" t="s">
        <v>474</v>
      </c>
      <c r="B80" s="28" t="s">
        <v>473</v>
      </c>
      <c r="C80" s="29" t="s">
        <v>703</v>
      </c>
    </row>
    <row r="81" ht="15.5" customHeight="1" spans="1:3">
      <c r="A81" s="27" t="s">
        <v>479</v>
      </c>
      <c r="B81" s="28" t="s">
        <v>478</v>
      </c>
      <c r="C81" s="31" t="s">
        <v>714</v>
      </c>
    </row>
    <row r="82" ht="15.5" customHeight="1" spans="1:3">
      <c r="A82" s="27" t="s">
        <v>484</v>
      </c>
      <c r="B82" s="28" t="s">
        <v>483</v>
      </c>
      <c r="C82" s="30" t="s">
        <v>715</v>
      </c>
    </row>
    <row r="83" ht="15.5" customHeight="1" spans="1:3">
      <c r="A83" s="27" t="s">
        <v>489</v>
      </c>
      <c r="B83" s="28" t="s">
        <v>488</v>
      </c>
      <c r="C83" s="29" t="s">
        <v>703</v>
      </c>
    </row>
    <row r="84" ht="15.5" customHeight="1" spans="1:3">
      <c r="A84" s="27" t="s">
        <v>494</v>
      </c>
      <c r="B84" s="28" t="s">
        <v>493</v>
      </c>
      <c r="C84" s="31" t="s">
        <v>716</v>
      </c>
    </row>
    <row r="85" ht="15.5" customHeight="1" spans="1:3">
      <c r="A85" s="27" t="s">
        <v>499</v>
      </c>
      <c r="B85" s="28" t="s">
        <v>498</v>
      </c>
      <c r="C85" s="30" t="s">
        <v>717</v>
      </c>
    </row>
    <row r="86" ht="15.5" customHeight="1" spans="1:3">
      <c r="A86" s="27" t="s">
        <v>504</v>
      </c>
      <c r="B86" s="28" t="s">
        <v>503</v>
      </c>
      <c r="C86" s="30" t="s">
        <v>718</v>
      </c>
    </row>
    <row r="87" ht="15.5" customHeight="1" spans="1:3">
      <c r="A87" s="27" t="s">
        <v>509</v>
      </c>
      <c r="B87" s="28" t="s">
        <v>508</v>
      </c>
      <c r="C87" s="29" t="s">
        <v>703</v>
      </c>
    </row>
    <row r="88" ht="15.5" customHeight="1" spans="1:3">
      <c r="A88" s="27" t="s">
        <v>514</v>
      </c>
      <c r="B88" s="28" t="s">
        <v>513</v>
      </c>
      <c r="C88" s="31" t="s">
        <v>719</v>
      </c>
    </row>
    <row r="89" ht="15.5" customHeight="1" spans="1:3">
      <c r="A89" s="27" t="s">
        <v>519</v>
      </c>
      <c r="B89" s="28" t="s">
        <v>518</v>
      </c>
      <c r="C89" s="29" t="s">
        <v>703</v>
      </c>
    </row>
    <row r="90" ht="15.5" customHeight="1" spans="1:3">
      <c r="A90" s="27" t="s">
        <v>526</v>
      </c>
      <c r="B90" s="28" t="s">
        <v>525</v>
      </c>
      <c r="C90" s="29" t="s">
        <v>703</v>
      </c>
    </row>
    <row r="91" ht="15.5" customHeight="1" spans="1:3">
      <c r="A91" s="27" t="s">
        <v>531</v>
      </c>
      <c r="B91" s="28" t="s">
        <v>530</v>
      </c>
      <c r="C91" s="29" t="s">
        <v>703</v>
      </c>
    </row>
    <row r="92" ht="15.5" customHeight="1" spans="1:3">
      <c r="A92" s="27" t="s">
        <v>535</v>
      </c>
      <c r="B92" s="28" t="s">
        <v>534</v>
      </c>
      <c r="C92" s="29" t="s">
        <v>703</v>
      </c>
    </row>
    <row r="93" ht="15.5" customHeight="1" spans="1:3">
      <c r="A93" s="27" t="s">
        <v>539</v>
      </c>
      <c r="B93" s="28" t="s">
        <v>538</v>
      </c>
      <c r="C93" s="29" t="s">
        <v>703</v>
      </c>
    </row>
    <row r="94" ht="15.5" customHeight="1" spans="1:3">
      <c r="A94" s="27" t="s">
        <v>544</v>
      </c>
      <c r="B94" s="28" t="s">
        <v>543</v>
      </c>
      <c r="C94" s="29" t="s">
        <v>703</v>
      </c>
    </row>
    <row r="95" ht="15.5" customHeight="1" spans="1:3">
      <c r="A95" s="27" t="s">
        <v>551</v>
      </c>
      <c r="B95" s="28" t="s">
        <v>550</v>
      </c>
      <c r="C95" s="29" t="s">
        <v>703</v>
      </c>
    </row>
    <row r="96" ht="15.5" customHeight="1" spans="1:3">
      <c r="A96" s="27" t="s">
        <v>558</v>
      </c>
      <c r="B96" s="28" t="s">
        <v>557</v>
      </c>
      <c r="C96" s="29" t="s">
        <v>703</v>
      </c>
    </row>
    <row r="97" ht="15.5" customHeight="1" spans="1:3">
      <c r="A97" s="27" t="s">
        <v>565</v>
      </c>
      <c r="B97" s="28" t="s">
        <v>564</v>
      </c>
      <c r="C97" s="29" t="s">
        <v>703</v>
      </c>
    </row>
    <row r="98" ht="15.5" customHeight="1" spans="1:3">
      <c r="A98" s="27" t="s">
        <v>572</v>
      </c>
      <c r="B98" s="28" t="s">
        <v>571</v>
      </c>
      <c r="C98" s="29" t="s">
        <v>703</v>
      </c>
    </row>
    <row r="99" ht="15.5" customHeight="1" spans="1:3">
      <c r="A99" s="27" t="s">
        <v>577</v>
      </c>
      <c r="B99" s="28" t="s">
        <v>576</v>
      </c>
      <c r="C99" s="29" t="s">
        <v>703</v>
      </c>
    </row>
    <row r="100" ht="15.5" customHeight="1" spans="1:3">
      <c r="A100" s="27" t="s">
        <v>582</v>
      </c>
      <c r="B100" s="28" t="s">
        <v>581</v>
      </c>
      <c r="C100" s="29" t="s">
        <v>703</v>
      </c>
    </row>
    <row r="101" ht="15.5" customHeight="1" spans="1:3">
      <c r="A101" s="27" t="s">
        <v>587</v>
      </c>
      <c r="B101" s="28" t="s">
        <v>586</v>
      </c>
      <c r="C101" s="29" t="s">
        <v>703</v>
      </c>
    </row>
    <row r="102" ht="15.5" customHeight="1" spans="1:3">
      <c r="A102" s="27" t="s">
        <v>592</v>
      </c>
      <c r="B102" s="28" t="s">
        <v>591</v>
      </c>
      <c r="C102" s="31" t="s">
        <v>720</v>
      </c>
    </row>
    <row r="103" ht="28" customHeight="1" spans="1:3">
      <c r="A103" s="27" t="s">
        <v>597</v>
      </c>
      <c r="B103" s="28" t="s">
        <v>596</v>
      </c>
      <c r="C103" s="32" t="s">
        <v>721</v>
      </c>
    </row>
    <row r="104" ht="15.5" customHeight="1" spans="1:3">
      <c r="A104" s="27" t="s">
        <v>602</v>
      </c>
      <c r="B104" s="28" t="s">
        <v>601</v>
      </c>
      <c r="C104" s="29" t="s">
        <v>703</v>
      </c>
    </row>
    <row r="105" ht="15.5" customHeight="1" spans="1:3">
      <c r="A105" s="27" t="s">
        <v>607</v>
      </c>
      <c r="B105" s="28" t="s">
        <v>606</v>
      </c>
      <c r="C105" s="30" t="s">
        <v>722</v>
      </c>
    </row>
    <row r="106" ht="15.5" customHeight="1" spans="1:3">
      <c r="A106" s="27" t="s">
        <v>612</v>
      </c>
      <c r="B106" s="28" t="s">
        <v>611</v>
      </c>
      <c r="C106" s="30" t="s">
        <v>722</v>
      </c>
    </row>
    <row r="107" ht="15.5" customHeight="1" spans="1:3">
      <c r="A107" s="27" t="s">
        <v>617</v>
      </c>
      <c r="B107" s="28" t="s">
        <v>616</v>
      </c>
      <c r="C107" s="29" t="s">
        <v>703</v>
      </c>
    </row>
    <row r="108" ht="15.5" customHeight="1" spans="1:3">
      <c r="A108" s="27" t="s">
        <v>622</v>
      </c>
      <c r="B108" s="28" t="s">
        <v>621</v>
      </c>
      <c r="C108" s="29" t="s">
        <v>703</v>
      </c>
    </row>
    <row r="109" ht="15.5" customHeight="1" spans="1:3">
      <c r="A109" s="27" t="s">
        <v>627</v>
      </c>
      <c r="B109" s="28" t="s">
        <v>626</v>
      </c>
      <c r="C109" s="30" t="s">
        <v>722</v>
      </c>
    </row>
    <row r="110" ht="15.5" customHeight="1" spans="1:3">
      <c r="A110" s="27" t="s">
        <v>632</v>
      </c>
      <c r="B110" s="28" t="s">
        <v>631</v>
      </c>
      <c r="C110" s="29" t="s">
        <v>703</v>
      </c>
    </row>
    <row r="111" ht="28" customHeight="1" spans="1:3">
      <c r="A111" s="27" t="s">
        <v>637</v>
      </c>
      <c r="B111" s="28" t="s">
        <v>636</v>
      </c>
      <c r="C111" s="30" t="s">
        <v>723</v>
      </c>
    </row>
    <row r="112" ht="15.5" customHeight="1" spans="1:3">
      <c r="A112" s="27" t="s">
        <v>642</v>
      </c>
      <c r="B112" s="28" t="s">
        <v>641</v>
      </c>
      <c r="C112" s="29" t="s">
        <v>703</v>
      </c>
    </row>
    <row r="113" ht="15.5" customHeight="1" spans="1:3">
      <c r="A113" s="27" t="s">
        <v>647</v>
      </c>
      <c r="B113" s="28" t="s">
        <v>646</v>
      </c>
      <c r="C113" s="29" t="s">
        <v>703</v>
      </c>
    </row>
    <row r="114" ht="15.5" customHeight="1" spans="1:3">
      <c r="A114" s="27" t="s">
        <v>652</v>
      </c>
      <c r="B114" s="28" t="s">
        <v>651</v>
      </c>
      <c r="C114" s="29" t="s">
        <v>703</v>
      </c>
    </row>
    <row r="115" ht="28" customHeight="1" spans="1:3">
      <c r="A115" s="33" t="s">
        <v>657</v>
      </c>
      <c r="B115" s="34" t="s">
        <v>656</v>
      </c>
      <c r="C115" s="35" t="s">
        <v>724</v>
      </c>
    </row>
    <row r="116" ht="15.8"/>
    <row r="117" ht="20" customHeight="1" spans="1:3">
      <c r="A117" s="36" t="s">
        <v>725</v>
      </c>
      <c r="B117" s="37" t="s">
        <v>726</v>
      </c>
      <c r="C117" s="38" t="s">
        <v>727</v>
      </c>
    </row>
    <row r="118" ht="28" customHeight="1" spans="1:3">
      <c r="A118" s="39" t="s">
        <v>728</v>
      </c>
      <c r="B118" s="40" t="s">
        <v>729</v>
      </c>
      <c r="C118" s="41" t="s">
        <v>730</v>
      </c>
    </row>
    <row r="120" ht="15.8"/>
    <row r="121" ht="24" customHeight="1" spans="1:3">
      <c r="A121" s="42" t="s">
        <v>731</v>
      </c>
      <c r="B121" s="42"/>
      <c r="C121" s="42"/>
    </row>
    <row r="122" ht="15.8"/>
    <row r="123" ht="20" customHeight="1" spans="1:3">
      <c r="A123" s="43" t="s">
        <v>732</v>
      </c>
      <c r="B123" s="38" t="s">
        <v>733</v>
      </c>
      <c r="C123" s="38"/>
    </row>
    <row r="124" ht="15.5" customHeight="1" spans="1:3">
      <c r="A124" s="27" t="s">
        <v>734</v>
      </c>
      <c r="B124" s="44" t="s">
        <v>735</v>
      </c>
      <c r="C124" s="44"/>
    </row>
    <row r="125" ht="20" customHeight="1" spans="1:3">
      <c r="A125" s="27" t="s">
        <v>736</v>
      </c>
      <c r="B125" s="45" t="s">
        <v>737</v>
      </c>
      <c r="C125" s="45"/>
    </row>
    <row r="126" ht="53" customHeight="1" spans="1:3">
      <c r="A126" s="27" t="s">
        <v>738</v>
      </c>
      <c r="B126" s="45" t="s">
        <v>739</v>
      </c>
      <c r="C126" s="45"/>
    </row>
    <row r="127" ht="20" customHeight="1" spans="1:3">
      <c r="A127" s="33" t="s">
        <v>740</v>
      </c>
      <c r="B127" s="41" t="s">
        <v>741</v>
      </c>
      <c r="C127" s="41"/>
    </row>
    <row r="128" ht="15.8"/>
    <row r="129" ht="20" customHeight="1" spans="1:3">
      <c r="A129" s="43" t="s">
        <v>742</v>
      </c>
      <c r="B129" s="38" t="s">
        <v>743</v>
      </c>
      <c r="C129" s="38"/>
    </row>
    <row r="130" ht="28" customHeight="1" spans="1:3">
      <c r="A130" s="27" t="s">
        <v>734</v>
      </c>
      <c r="B130" s="44" t="s">
        <v>744</v>
      </c>
      <c r="C130" s="44"/>
    </row>
    <row r="131" ht="20" customHeight="1" spans="1:3">
      <c r="A131" s="27" t="s">
        <v>736</v>
      </c>
      <c r="B131" s="45" t="s">
        <v>745</v>
      </c>
      <c r="C131" s="45"/>
    </row>
    <row r="132" ht="65.5" customHeight="1" spans="1:3">
      <c r="A132" s="27" t="s">
        <v>738</v>
      </c>
      <c r="B132" s="45" t="s">
        <v>746</v>
      </c>
      <c r="C132" s="45"/>
    </row>
    <row r="133" ht="20" customHeight="1" spans="1:3">
      <c r="A133" s="33" t="s">
        <v>740</v>
      </c>
      <c r="B133" s="41" t="s">
        <v>747</v>
      </c>
      <c r="C133" s="41"/>
    </row>
  </sheetData>
  <mergeCells count="11">
    <mergeCell ref="A121:C121"/>
    <mergeCell ref="B123:C123"/>
    <mergeCell ref="B124:C124"/>
    <mergeCell ref="B125:C125"/>
    <mergeCell ref="B126:C126"/>
    <mergeCell ref="B127:C127"/>
    <mergeCell ref="B129:C129"/>
    <mergeCell ref="B130:C130"/>
    <mergeCell ref="B131:C131"/>
    <mergeCell ref="B132:C132"/>
    <mergeCell ref="B133:C133"/>
  </mergeCells>
  <pageMargins left="0.7" right="0.7" top="0.75" bottom="0.75" header="0.3" footer="0.3"/>
  <pageSetup paperSize="1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5"/>
  <sheetViews>
    <sheetView topLeftCell="A6"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78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79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749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3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3</v>
      </c>
      <c r="M5" s="11">
        <v>0</v>
      </c>
      <c r="N5" s="11">
        <v>0</v>
      </c>
      <c r="O5" s="12">
        <v>3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687</v>
      </c>
      <c r="H6" s="14" t="s">
        <v>688</v>
      </c>
      <c r="I6" s="14" t="s">
        <v>729</v>
      </c>
      <c r="J6" s="14" t="s">
        <v>729</v>
      </c>
      <c r="K6" s="14" t="s">
        <v>729</v>
      </c>
      <c r="L6" s="14" t="s">
        <v>729</v>
      </c>
      <c r="M6" s="14" t="s">
        <v>729</v>
      </c>
      <c r="N6" s="14" t="s">
        <v>729</v>
      </c>
      <c r="O6" s="14" t="s">
        <v>729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15.5" customHeight="1" spans="1:22">
      <c r="A7" s="16" t="s">
        <v>690</v>
      </c>
      <c r="B7" s="17" t="s">
        <v>750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28" customHeight="1" spans="1:22">
      <c r="A8" s="16"/>
      <c r="B8" s="6" t="s">
        <v>729</v>
      </c>
      <c r="C8" s="6" t="s">
        <v>729</v>
      </c>
      <c r="D8" s="18" t="s">
        <v>751</v>
      </c>
      <c r="E8" s="6" t="s">
        <v>729</v>
      </c>
      <c r="F8" s="11" t="s">
        <v>752</v>
      </c>
      <c r="G8" s="11" t="s">
        <v>752</v>
      </c>
      <c r="H8" s="11" t="s">
        <v>752</v>
      </c>
      <c r="I8" s="11" t="s">
        <v>729</v>
      </c>
      <c r="J8" s="11" t="s">
        <v>729</v>
      </c>
      <c r="K8" s="11" t="s">
        <v>729</v>
      </c>
      <c r="L8" s="11" t="s">
        <v>729</v>
      </c>
      <c r="M8" s="11" t="s">
        <v>729</v>
      </c>
      <c r="N8" s="11" t="s">
        <v>729</v>
      </c>
      <c r="O8" s="11" t="s">
        <v>729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28" customHeight="1" spans="1:22">
      <c r="A9" s="16"/>
      <c r="B9" s="6" t="s">
        <v>729</v>
      </c>
      <c r="C9" s="6" t="s">
        <v>729</v>
      </c>
      <c r="D9" s="18" t="s">
        <v>753</v>
      </c>
      <c r="E9" s="6" t="s">
        <v>729</v>
      </c>
      <c r="F9" s="11" t="s">
        <v>752</v>
      </c>
      <c r="G9" s="11" t="s">
        <v>752</v>
      </c>
      <c r="H9" s="11" t="s">
        <v>752</v>
      </c>
      <c r="I9" s="11" t="s">
        <v>729</v>
      </c>
      <c r="J9" s="11" t="s">
        <v>729</v>
      </c>
      <c r="K9" s="11" t="s">
        <v>729</v>
      </c>
      <c r="L9" s="11" t="s">
        <v>729</v>
      </c>
      <c r="M9" s="11" t="s">
        <v>729</v>
      </c>
      <c r="N9" s="11" t="s">
        <v>729</v>
      </c>
      <c r="O9" s="11" t="s">
        <v>729</v>
      </c>
      <c r="P9" s="11" t="s">
        <v>729</v>
      </c>
      <c r="Q9" s="11" t="s">
        <v>729</v>
      </c>
      <c r="R9" s="11" t="s">
        <v>729</v>
      </c>
      <c r="S9" s="11" t="s">
        <v>729</v>
      </c>
      <c r="T9" s="11" t="s">
        <v>729</v>
      </c>
      <c r="U9" s="11" t="s">
        <v>729</v>
      </c>
      <c r="V9" s="12" t="s">
        <v>729</v>
      </c>
    </row>
    <row r="10" ht="15.5" customHeight="1" spans="1:22">
      <c r="A10" s="16"/>
      <c r="B10" s="17" t="s">
        <v>754</v>
      </c>
      <c r="C10" s="6" t="s">
        <v>729</v>
      </c>
      <c r="D10" s="6" t="s">
        <v>729</v>
      </c>
      <c r="E10" s="6" t="s">
        <v>729</v>
      </c>
      <c r="F10" s="6" t="s">
        <v>729</v>
      </c>
      <c r="G10" s="6" t="s">
        <v>729</v>
      </c>
      <c r="H10" s="6" t="s">
        <v>729</v>
      </c>
      <c r="I10" s="6" t="s">
        <v>729</v>
      </c>
      <c r="J10" s="6" t="s">
        <v>729</v>
      </c>
      <c r="K10" s="6" t="s">
        <v>729</v>
      </c>
      <c r="L10" s="6" t="s">
        <v>729</v>
      </c>
      <c r="M10" s="6" t="s">
        <v>729</v>
      </c>
      <c r="N10" s="6" t="s">
        <v>729</v>
      </c>
      <c r="O10" s="6" t="s">
        <v>729</v>
      </c>
      <c r="P10" s="6" t="s">
        <v>729</v>
      </c>
      <c r="Q10" s="6" t="s">
        <v>729</v>
      </c>
      <c r="R10" s="6" t="s">
        <v>729</v>
      </c>
      <c r="S10" s="6" t="s">
        <v>729</v>
      </c>
      <c r="T10" s="6" t="s">
        <v>729</v>
      </c>
      <c r="U10" s="6" t="s">
        <v>729</v>
      </c>
      <c r="V10" s="8" t="s">
        <v>729</v>
      </c>
    </row>
    <row r="11" ht="15.5" customHeight="1" spans="1:22">
      <c r="A11" s="16"/>
      <c r="B11" s="6" t="s">
        <v>729</v>
      </c>
      <c r="C11" s="6" t="s">
        <v>729</v>
      </c>
      <c r="D11" s="18" t="s">
        <v>755</v>
      </c>
      <c r="E11" s="6" t="s">
        <v>729</v>
      </c>
      <c r="F11" s="11" t="s">
        <v>752</v>
      </c>
      <c r="G11" s="11" t="s">
        <v>756</v>
      </c>
      <c r="H11" s="11" t="s">
        <v>756</v>
      </c>
      <c r="I11" s="11" t="s">
        <v>729</v>
      </c>
      <c r="J11" s="11" t="s">
        <v>729</v>
      </c>
      <c r="K11" s="11" t="s">
        <v>729</v>
      </c>
      <c r="L11" s="11" t="s">
        <v>729</v>
      </c>
      <c r="M11" s="11" t="s">
        <v>729</v>
      </c>
      <c r="N11" s="11" t="s">
        <v>729</v>
      </c>
      <c r="O11" s="11" t="s">
        <v>729</v>
      </c>
      <c r="P11" s="11" t="s">
        <v>729</v>
      </c>
      <c r="Q11" s="11" t="s">
        <v>729</v>
      </c>
      <c r="R11" s="11" t="s">
        <v>729</v>
      </c>
      <c r="S11" s="11" t="s">
        <v>729</v>
      </c>
      <c r="T11" s="11" t="s">
        <v>729</v>
      </c>
      <c r="U11" s="11" t="s">
        <v>729</v>
      </c>
      <c r="V11" s="12" t="s">
        <v>729</v>
      </c>
    </row>
    <row r="12" ht="15.5" customHeight="1" spans="1:22">
      <c r="A12" s="16"/>
      <c r="B12" s="6" t="s">
        <v>729</v>
      </c>
      <c r="C12" s="6" t="s">
        <v>729</v>
      </c>
      <c r="D12" s="18" t="s">
        <v>757</v>
      </c>
      <c r="E12" s="6" t="s">
        <v>729</v>
      </c>
      <c r="F12" s="11" t="s">
        <v>756</v>
      </c>
      <c r="G12" s="11" t="s">
        <v>752</v>
      </c>
      <c r="H12" s="11" t="s">
        <v>756</v>
      </c>
      <c r="I12" s="11" t="s">
        <v>729</v>
      </c>
      <c r="J12" s="11" t="s">
        <v>729</v>
      </c>
      <c r="K12" s="11" t="s">
        <v>729</v>
      </c>
      <c r="L12" s="11" t="s">
        <v>729</v>
      </c>
      <c r="M12" s="11" t="s">
        <v>729</v>
      </c>
      <c r="N12" s="11" t="s">
        <v>729</v>
      </c>
      <c r="O12" s="11" t="s">
        <v>729</v>
      </c>
      <c r="P12" s="11" t="s">
        <v>729</v>
      </c>
      <c r="Q12" s="11" t="s">
        <v>729</v>
      </c>
      <c r="R12" s="11" t="s">
        <v>729</v>
      </c>
      <c r="S12" s="11" t="s">
        <v>729</v>
      </c>
      <c r="T12" s="11" t="s">
        <v>729</v>
      </c>
      <c r="U12" s="11" t="s">
        <v>729</v>
      </c>
      <c r="V12" s="12" t="s">
        <v>729</v>
      </c>
    </row>
    <row r="13" ht="15.5" customHeight="1" spans="1:22">
      <c r="A13" s="16"/>
      <c r="B13" s="6" t="s">
        <v>729</v>
      </c>
      <c r="C13" s="6" t="s">
        <v>729</v>
      </c>
      <c r="D13" s="18" t="s">
        <v>758</v>
      </c>
      <c r="E13" s="6" t="s">
        <v>729</v>
      </c>
      <c r="F13" s="11" t="s">
        <v>756</v>
      </c>
      <c r="G13" s="11" t="s">
        <v>756</v>
      </c>
      <c r="H13" s="11" t="s">
        <v>752</v>
      </c>
      <c r="I13" s="11" t="s">
        <v>729</v>
      </c>
      <c r="J13" s="11" t="s">
        <v>729</v>
      </c>
      <c r="K13" s="11" t="s">
        <v>729</v>
      </c>
      <c r="L13" s="11" t="s">
        <v>729</v>
      </c>
      <c r="M13" s="11" t="s">
        <v>729</v>
      </c>
      <c r="N13" s="11" t="s">
        <v>729</v>
      </c>
      <c r="O13" s="11" t="s">
        <v>729</v>
      </c>
      <c r="P13" s="11" t="s">
        <v>729</v>
      </c>
      <c r="Q13" s="11" t="s">
        <v>729</v>
      </c>
      <c r="R13" s="11" t="s">
        <v>729</v>
      </c>
      <c r="S13" s="11" t="s">
        <v>729</v>
      </c>
      <c r="T13" s="11" t="s">
        <v>729</v>
      </c>
      <c r="U13" s="11" t="s">
        <v>729</v>
      </c>
      <c r="V13" s="12" t="s">
        <v>729</v>
      </c>
    </row>
    <row r="14" ht="15.5" customHeight="1" spans="1:22">
      <c r="A14" s="16" t="s">
        <v>692</v>
      </c>
      <c r="B14" s="17" t="s">
        <v>693</v>
      </c>
      <c r="C14" s="6" t="s">
        <v>729</v>
      </c>
      <c r="D14" s="6" t="s">
        <v>729</v>
      </c>
      <c r="E14" s="6" t="s">
        <v>729</v>
      </c>
      <c r="F14" s="6" t="s">
        <v>729</v>
      </c>
      <c r="G14" s="6" t="s">
        <v>729</v>
      </c>
      <c r="H14" s="6" t="s">
        <v>729</v>
      </c>
      <c r="I14" s="6" t="s">
        <v>729</v>
      </c>
      <c r="J14" s="6" t="s">
        <v>729</v>
      </c>
      <c r="K14" s="6" t="s">
        <v>729</v>
      </c>
      <c r="L14" s="6" t="s">
        <v>729</v>
      </c>
      <c r="M14" s="6" t="s">
        <v>729</v>
      </c>
      <c r="N14" s="6" t="s">
        <v>729</v>
      </c>
      <c r="O14" s="6" t="s">
        <v>729</v>
      </c>
      <c r="P14" s="6" t="s">
        <v>729</v>
      </c>
      <c r="Q14" s="6" t="s">
        <v>729</v>
      </c>
      <c r="R14" s="6" t="s">
        <v>729</v>
      </c>
      <c r="S14" s="6" t="s">
        <v>729</v>
      </c>
      <c r="T14" s="6" t="s">
        <v>729</v>
      </c>
      <c r="U14" s="6" t="s">
        <v>729</v>
      </c>
      <c r="V14" s="8" t="s">
        <v>729</v>
      </c>
    </row>
    <row r="15" ht="40.5" customHeight="1" spans="1:22">
      <c r="A15" s="16"/>
      <c r="B15" s="6" t="s">
        <v>729</v>
      </c>
      <c r="C15" s="6" t="s">
        <v>729</v>
      </c>
      <c r="D15" s="18" t="s">
        <v>759</v>
      </c>
      <c r="E15" s="6" t="s">
        <v>729</v>
      </c>
      <c r="F15" s="11" t="s">
        <v>752</v>
      </c>
      <c r="G15" s="11" t="s">
        <v>752</v>
      </c>
      <c r="H15" s="11" t="s">
        <v>752</v>
      </c>
      <c r="I15" s="11" t="s">
        <v>729</v>
      </c>
      <c r="J15" s="11" t="s">
        <v>729</v>
      </c>
      <c r="K15" s="11" t="s">
        <v>729</v>
      </c>
      <c r="L15" s="11" t="s">
        <v>729</v>
      </c>
      <c r="M15" s="11" t="s">
        <v>729</v>
      </c>
      <c r="N15" s="11" t="s">
        <v>729</v>
      </c>
      <c r="O15" s="11" t="s">
        <v>729</v>
      </c>
      <c r="P15" s="11" t="s">
        <v>729</v>
      </c>
      <c r="Q15" s="11" t="s">
        <v>729</v>
      </c>
      <c r="R15" s="11" t="s">
        <v>729</v>
      </c>
      <c r="S15" s="11" t="s">
        <v>729</v>
      </c>
      <c r="T15" s="11" t="s">
        <v>729</v>
      </c>
      <c r="U15" s="11" t="s">
        <v>729</v>
      </c>
      <c r="V15" s="12" t="s">
        <v>729</v>
      </c>
    </row>
    <row r="16" ht="40.5" customHeight="1" spans="1:22">
      <c r="A16" s="16"/>
      <c r="B16" s="6" t="s">
        <v>729</v>
      </c>
      <c r="C16" s="6" t="s">
        <v>729</v>
      </c>
      <c r="D16" s="18" t="s">
        <v>760</v>
      </c>
      <c r="E16" s="6" t="s">
        <v>729</v>
      </c>
      <c r="F16" s="11" t="s">
        <v>752</v>
      </c>
      <c r="G16" s="11" t="s">
        <v>752</v>
      </c>
      <c r="H16" s="11" t="s">
        <v>752</v>
      </c>
      <c r="I16" s="11" t="s">
        <v>729</v>
      </c>
      <c r="J16" s="11" t="s">
        <v>729</v>
      </c>
      <c r="K16" s="11" t="s">
        <v>729</v>
      </c>
      <c r="L16" s="11" t="s">
        <v>729</v>
      </c>
      <c r="M16" s="11" t="s">
        <v>729</v>
      </c>
      <c r="N16" s="11" t="s">
        <v>729</v>
      </c>
      <c r="O16" s="11" t="s">
        <v>729</v>
      </c>
      <c r="P16" s="11" t="s">
        <v>729</v>
      </c>
      <c r="Q16" s="11" t="s">
        <v>729</v>
      </c>
      <c r="R16" s="11" t="s">
        <v>729</v>
      </c>
      <c r="S16" s="11" t="s">
        <v>729</v>
      </c>
      <c r="T16" s="11" t="s">
        <v>729</v>
      </c>
      <c r="U16" s="11" t="s">
        <v>729</v>
      </c>
      <c r="V16" s="12" t="s">
        <v>729</v>
      </c>
    </row>
    <row r="17" ht="40.5" customHeight="1" spans="1:22">
      <c r="A17" s="16"/>
      <c r="B17" s="6" t="s">
        <v>729</v>
      </c>
      <c r="C17" s="6" t="s">
        <v>729</v>
      </c>
      <c r="D17" s="18" t="s">
        <v>761</v>
      </c>
      <c r="E17" s="6" t="s">
        <v>729</v>
      </c>
      <c r="F17" s="11" t="s">
        <v>752</v>
      </c>
      <c r="G17" s="11" t="s">
        <v>752</v>
      </c>
      <c r="H17" s="11" t="s">
        <v>752</v>
      </c>
      <c r="I17" s="11" t="s">
        <v>729</v>
      </c>
      <c r="J17" s="11" t="s">
        <v>729</v>
      </c>
      <c r="K17" s="11" t="s">
        <v>729</v>
      </c>
      <c r="L17" s="11" t="s">
        <v>729</v>
      </c>
      <c r="M17" s="11" t="s">
        <v>729</v>
      </c>
      <c r="N17" s="11" t="s">
        <v>729</v>
      </c>
      <c r="O17" s="11" t="s">
        <v>729</v>
      </c>
      <c r="P17" s="11" t="s">
        <v>729</v>
      </c>
      <c r="Q17" s="11" t="s">
        <v>729</v>
      </c>
      <c r="R17" s="11" t="s">
        <v>729</v>
      </c>
      <c r="S17" s="11" t="s">
        <v>729</v>
      </c>
      <c r="T17" s="11" t="s">
        <v>729</v>
      </c>
      <c r="U17" s="11" t="s">
        <v>729</v>
      </c>
      <c r="V17" s="12" t="s">
        <v>729</v>
      </c>
    </row>
    <row r="18" ht="40.5" customHeight="1" spans="1:22">
      <c r="A18" s="16"/>
      <c r="B18" s="6" t="s">
        <v>729</v>
      </c>
      <c r="C18" s="6" t="s">
        <v>729</v>
      </c>
      <c r="D18" s="18" t="s">
        <v>762</v>
      </c>
      <c r="E18" s="6" t="s">
        <v>729</v>
      </c>
      <c r="F18" s="11" t="s">
        <v>752</v>
      </c>
      <c r="G18" s="11" t="s">
        <v>752</v>
      </c>
      <c r="H18" s="11" t="s">
        <v>752</v>
      </c>
      <c r="I18" s="11" t="s">
        <v>729</v>
      </c>
      <c r="J18" s="11" t="s">
        <v>729</v>
      </c>
      <c r="K18" s="11" t="s">
        <v>729</v>
      </c>
      <c r="L18" s="11" t="s">
        <v>729</v>
      </c>
      <c r="M18" s="11" t="s">
        <v>729</v>
      </c>
      <c r="N18" s="11" t="s">
        <v>729</v>
      </c>
      <c r="O18" s="11" t="s">
        <v>729</v>
      </c>
      <c r="P18" s="11" t="s">
        <v>729</v>
      </c>
      <c r="Q18" s="11" t="s">
        <v>729</v>
      </c>
      <c r="R18" s="11" t="s">
        <v>729</v>
      </c>
      <c r="S18" s="11" t="s">
        <v>729</v>
      </c>
      <c r="T18" s="11" t="s">
        <v>729</v>
      </c>
      <c r="U18" s="11" t="s">
        <v>729</v>
      </c>
      <c r="V18" s="12" t="s">
        <v>729</v>
      </c>
    </row>
    <row r="19" ht="65.5" customHeight="1" spans="1:22">
      <c r="A19" s="16"/>
      <c r="B19" s="6" t="s">
        <v>729</v>
      </c>
      <c r="C19" s="6" t="s">
        <v>729</v>
      </c>
      <c r="D19" s="18" t="s">
        <v>763</v>
      </c>
      <c r="E19" s="6" t="s">
        <v>729</v>
      </c>
      <c r="F19" s="11" t="s">
        <v>752</v>
      </c>
      <c r="G19" s="11" t="s">
        <v>752</v>
      </c>
      <c r="H19" s="11" t="s">
        <v>752</v>
      </c>
      <c r="I19" s="11" t="s">
        <v>729</v>
      </c>
      <c r="J19" s="11" t="s">
        <v>729</v>
      </c>
      <c r="K19" s="11" t="s">
        <v>729</v>
      </c>
      <c r="L19" s="11" t="s">
        <v>729</v>
      </c>
      <c r="M19" s="11" t="s">
        <v>729</v>
      </c>
      <c r="N19" s="11" t="s">
        <v>729</v>
      </c>
      <c r="O19" s="11" t="s">
        <v>729</v>
      </c>
      <c r="P19" s="11" t="s">
        <v>729</v>
      </c>
      <c r="Q19" s="11" t="s">
        <v>729</v>
      </c>
      <c r="R19" s="11" t="s">
        <v>729</v>
      </c>
      <c r="S19" s="11" t="s">
        <v>729</v>
      </c>
      <c r="T19" s="11" t="s">
        <v>729</v>
      </c>
      <c r="U19" s="11" t="s">
        <v>729</v>
      </c>
      <c r="V19" s="12" t="s">
        <v>729</v>
      </c>
    </row>
    <row r="20" ht="15.5" customHeight="1" spans="1:22">
      <c r="A20" s="16"/>
      <c r="B20" s="17" t="s">
        <v>695</v>
      </c>
      <c r="C20" s="6" t="s">
        <v>729</v>
      </c>
      <c r="D20" s="6" t="s">
        <v>729</v>
      </c>
      <c r="E20" s="6" t="s">
        <v>729</v>
      </c>
      <c r="F20" s="6" t="s">
        <v>729</v>
      </c>
      <c r="G20" s="6" t="s">
        <v>729</v>
      </c>
      <c r="H20" s="6" t="s">
        <v>729</v>
      </c>
      <c r="I20" s="6" t="s">
        <v>729</v>
      </c>
      <c r="J20" s="6" t="s">
        <v>729</v>
      </c>
      <c r="K20" s="6" t="s">
        <v>729</v>
      </c>
      <c r="L20" s="6" t="s">
        <v>729</v>
      </c>
      <c r="M20" s="6" t="s">
        <v>729</v>
      </c>
      <c r="N20" s="6" t="s">
        <v>729</v>
      </c>
      <c r="O20" s="6" t="s">
        <v>729</v>
      </c>
      <c r="P20" s="6" t="s">
        <v>729</v>
      </c>
      <c r="Q20" s="6" t="s">
        <v>729</v>
      </c>
      <c r="R20" s="6" t="s">
        <v>729</v>
      </c>
      <c r="S20" s="6" t="s">
        <v>729</v>
      </c>
      <c r="T20" s="6" t="s">
        <v>729</v>
      </c>
      <c r="U20" s="6" t="s">
        <v>729</v>
      </c>
      <c r="V20" s="8" t="s">
        <v>729</v>
      </c>
    </row>
    <row r="21" ht="53" customHeight="1" spans="1:22">
      <c r="A21" s="16"/>
      <c r="B21" s="6" t="s">
        <v>729</v>
      </c>
      <c r="C21" s="6" t="s">
        <v>729</v>
      </c>
      <c r="D21" s="18" t="s">
        <v>764</v>
      </c>
      <c r="E21" s="6" t="s">
        <v>729</v>
      </c>
      <c r="F21" s="11" t="s">
        <v>752</v>
      </c>
      <c r="G21" s="11" t="s">
        <v>752</v>
      </c>
      <c r="H21" s="11" t="s">
        <v>752</v>
      </c>
      <c r="I21" s="11" t="s">
        <v>729</v>
      </c>
      <c r="J21" s="11" t="s">
        <v>729</v>
      </c>
      <c r="K21" s="11" t="s">
        <v>729</v>
      </c>
      <c r="L21" s="11" t="s">
        <v>729</v>
      </c>
      <c r="M21" s="11" t="s">
        <v>729</v>
      </c>
      <c r="N21" s="11" t="s">
        <v>729</v>
      </c>
      <c r="O21" s="11" t="s">
        <v>729</v>
      </c>
      <c r="P21" s="11" t="s">
        <v>729</v>
      </c>
      <c r="Q21" s="11" t="s">
        <v>729</v>
      </c>
      <c r="R21" s="11" t="s">
        <v>729</v>
      </c>
      <c r="S21" s="11" t="s">
        <v>729</v>
      </c>
      <c r="T21" s="11" t="s">
        <v>729</v>
      </c>
      <c r="U21" s="11" t="s">
        <v>729</v>
      </c>
      <c r="V21" s="12" t="s">
        <v>729</v>
      </c>
    </row>
    <row r="22" ht="18" customHeight="1" spans="1:22">
      <c r="A22" s="19" t="s">
        <v>696</v>
      </c>
      <c r="B22" s="20" t="s">
        <v>765</v>
      </c>
      <c r="C22" s="20"/>
      <c r="D22" s="20"/>
      <c r="E22" s="6" t="s">
        <v>729</v>
      </c>
      <c r="F22" s="11" t="s">
        <v>670</v>
      </c>
      <c r="G22" s="11" t="s">
        <v>670</v>
      </c>
      <c r="H22" s="11" t="s">
        <v>670</v>
      </c>
      <c r="I22" s="11" t="s">
        <v>729</v>
      </c>
      <c r="J22" s="11" t="s">
        <v>729</v>
      </c>
      <c r="K22" s="11" t="s">
        <v>729</v>
      </c>
      <c r="L22" s="11" t="s">
        <v>729</v>
      </c>
      <c r="M22" s="11" t="s">
        <v>729</v>
      </c>
      <c r="N22" s="11" t="s">
        <v>729</v>
      </c>
      <c r="O22" s="11" t="s">
        <v>729</v>
      </c>
      <c r="P22" s="11" t="s">
        <v>729</v>
      </c>
      <c r="Q22" s="11" t="s">
        <v>729</v>
      </c>
      <c r="R22" s="11" t="s">
        <v>729</v>
      </c>
      <c r="S22" s="11" t="s">
        <v>729</v>
      </c>
      <c r="T22" s="11" t="s">
        <v>729</v>
      </c>
      <c r="U22" s="11" t="s">
        <v>729</v>
      </c>
      <c r="V22" s="12" t="s">
        <v>729</v>
      </c>
    </row>
    <row r="23" ht="18" customHeight="1" spans="1:22">
      <c r="A23" s="19"/>
      <c r="B23" s="20" t="s">
        <v>698</v>
      </c>
      <c r="C23" s="20"/>
      <c r="D23" s="20"/>
      <c r="E23" s="6" t="s">
        <v>729</v>
      </c>
      <c r="F23" s="11" t="s">
        <v>766</v>
      </c>
      <c r="G23" s="11" t="s">
        <v>766</v>
      </c>
      <c r="H23" s="11" t="s">
        <v>766</v>
      </c>
      <c r="I23" s="11" t="s">
        <v>729</v>
      </c>
      <c r="J23" s="11" t="s">
        <v>729</v>
      </c>
      <c r="K23" s="11" t="s">
        <v>729</v>
      </c>
      <c r="L23" s="11" t="s">
        <v>729</v>
      </c>
      <c r="M23" s="11" t="s">
        <v>729</v>
      </c>
      <c r="N23" s="11" t="s">
        <v>729</v>
      </c>
      <c r="O23" s="11" t="s">
        <v>729</v>
      </c>
      <c r="P23" s="11" t="s">
        <v>729</v>
      </c>
      <c r="Q23" s="11" t="s">
        <v>729</v>
      </c>
      <c r="R23" s="11" t="s">
        <v>729</v>
      </c>
      <c r="S23" s="11" t="s">
        <v>729</v>
      </c>
      <c r="T23" s="11" t="s">
        <v>729</v>
      </c>
      <c r="U23" s="11" t="s">
        <v>729</v>
      </c>
      <c r="V23" s="12" t="s">
        <v>729</v>
      </c>
    </row>
    <row r="24" ht="18" customHeight="1" spans="1:22">
      <c r="A24" s="19"/>
      <c r="B24" s="20" t="s">
        <v>699</v>
      </c>
      <c r="C24" s="20"/>
      <c r="D24" s="20"/>
      <c r="E24" s="6" t="s">
        <v>729</v>
      </c>
      <c r="F24" s="6" t="s">
        <v>729</v>
      </c>
      <c r="G24" s="6" t="s">
        <v>729</v>
      </c>
      <c r="H24" s="6" t="s">
        <v>729</v>
      </c>
      <c r="I24" s="6" t="s">
        <v>729</v>
      </c>
      <c r="J24" s="6" t="s">
        <v>729</v>
      </c>
      <c r="K24" s="6" t="s">
        <v>729</v>
      </c>
      <c r="L24" s="6" t="s">
        <v>729</v>
      </c>
      <c r="M24" s="6" t="s">
        <v>729</v>
      </c>
      <c r="N24" s="6" t="s">
        <v>729</v>
      </c>
      <c r="O24" s="6" t="s">
        <v>729</v>
      </c>
      <c r="P24" s="6" t="s">
        <v>729</v>
      </c>
      <c r="Q24" s="6" t="s">
        <v>729</v>
      </c>
      <c r="R24" s="6" t="s">
        <v>729</v>
      </c>
      <c r="S24" s="6" t="s">
        <v>729</v>
      </c>
      <c r="T24" s="6" t="s">
        <v>729</v>
      </c>
      <c r="U24" s="6" t="s">
        <v>729</v>
      </c>
      <c r="V24" s="8" t="s">
        <v>729</v>
      </c>
    </row>
    <row r="25" ht="18" customHeight="1" spans="1:22">
      <c r="A25" s="19"/>
      <c r="B25" s="21" t="s">
        <v>700</v>
      </c>
      <c r="C25" s="21"/>
      <c r="D25" s="21"/>
      <c r="E25" s="22" t="s">
        <v>729</v>
      </c>
      <c r="F25" s="22" t="s">
        <v>729</v>
      </c>
      <c r="G25" s="22" t="s">
        <v>729</v>
      </c>
      <c r="H25" s="22" t="s">
        <v>729</v>
      </c>
      <c r="I25" s="22" t="s">
        <v>729</v>
      </c>
      <c r="J25" s="22" t="s">
        <v>729</v>
      </c>
      <c r="K25" s="22" t="s">
        <v>729</v>
      </c>
      <c r="L25" s="22" t="s">
        <v>729</v>
      </c>
      <c r="M25" s="22" t="s">
        <v>729</v>
      </c>
      <c r="N25" s="22" t="s">
        <v>729</v>
      </c>
      <c r="O25" s="22" t="s">
        <v>729</v>
      </c>
      <c r="P25" s="22" t="s">
        <v>729</v>
      </c>
      <c r="Q25" s="22" t="s">
        <v>729</v>
      </c>
      <c r="R25" s="22" t="s">
        <v>729</v>
      </c>
      <c r="S25" s="22" t="s">
        <v>729</v>
      </c>
      <c r="T25" s="22" t="s">
        <v>729</v>
      </c>
      <c r="U25" s="22" t="s">
        <v>729</v>
      </c>
      <c r="V25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22:D22"/>
    <mergeCell ref="B23:D23"/>
    <mergeCell ref="B24:D24"/>
    <mergeCell ref="B25:D25"/>
    <mergeCell ref="A7:A13"/>
    <mergeCell ref="A14:A21"/>
    <mergeCell ref="A22:A25"/>
  </mergeCells>
  <dataValidations count="3">
    <dataValidation type="list" allowBlank="1" sqref="F21:V21 F11:V13 F15:V19 F8:V9">
      <formula1>"O,-"</formula1>
    </dataValidation>
    <dataValidation type="list" allowBlank="1" sqref="F22:V22">
      <formula1>"N,A,B"</formula1>
    </dataValidation>
    <dataValidation type="list" allowBlank="1" sqref="F23:V23">
      <formula1>"P,F"</formula1>
    </dataValidation>
  </dataValidations>
  <pageMargins left="0.7" right="0.7" top="0.75" bottom="0.75" header="0.3" footer="0.3"/>
  <pageSetup paperSize="1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3"/>
  <sheetViews>
    <sheetView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78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84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767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3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1</v>
      </c>
      <c r="M5" s="11">
        <v>2</v>
      </c>
      <c r="N5" s="11">
        <v>0</v>
      </c>
      <c r="O5" s="12">
        <v>3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687</v>
      </c>
      <c r="H6" s="14" t="s">
        <v>688</v>
      </c>
      <c r="I6" s="14" t="s">
        <v>729</v>
      </c>
      <c r="J6" s="14" t="s">
        <v>729</v>
      </c>
      <c r="K6" s="14" t="s">
        <v>729</v>
      </c>
      <c r="L6" s="14" t="s">
        <v>729</v>
      </c>
      <c r="M6" s="14" t="s">
        <v>729</v>
      </c>
      <c r="N6" s="14" t="s">
        <v>729</v>
      </c>
      <c r="O6" s="14" t="s">
        <v>729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15.5" customHeight="1" spans="1:22">
      <c r="A7" s="16" t="s">
        <v>690</v>
      </c>
      <c r="B7" s="17" t="s">
        <v>750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40.5" customHeight="1" spans="1:22">
      <c r="A8" s="16"/>
      <c r="B8" s="6" t="s">
        <v>729</v>
      </c>
      <c r="C8" s="6" t="s">
        <v>729</v>
      </c>
      <c r="D8" s="18" t="s">
        <v>768</v>
      </c>
      <c r="E8" s="6" t="s">
        <v>729</v>
      </c>
      <c r="F8" s="11" t="s">
        <v>752</v>
      </c>
      <c r="G8" s="11" t="s">
        <v>752</v>
      </c>
      <c r="H8" s="11" t="s">
        <v>752</v>
      </c>
      <c r="I8" s="11" t="s">
        <v>729</v>
      </c>
      <c r="J8" s="11" t="s">
        <v>729</v>
      </c>
      <c r="K8" s="11" t="s">
        <v>729</v>
      </c>
      <c r="L8" s="11" t="s">
        <v>729</v>
      </c>
      <c r="M8" s="11" t="s">
        <v>729</v>
      </c>
      <c r="N8" s="11" t="s">
        <v>729</v>
      </c>
      <c r="O8" s="11" t="s">
        <v>729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40.5" customHeight="1" spans="1:22">
      <c r="A9" s="16"/>
      <c r="B9" s="6" t="s">
        <v>729</v>
      </c>
      <c r="C9" s="6" t="s">
        <v>729</v>
      </c>
      <c r="D9" s="18" t="s">
        <v>769</v>
      </c>
      <c r="E9" s="6" t="s">
        <v>729</v>
      </c>
      <c r="F9" s="11" t="s">
        <v>752</v>
      </c>
      <c r="G9" s="11" t="s">
        <v>752</v>
      </c>
      <c r="H9" s="11" t="s">
        <v>752</v>
      </c>
      <c r="I9" s="11" t="s">
        <v>729</v>
      </c>
      <c r="J9" s="11" t="s">
        <v>729</v>
      </c>
      <c r="K9" s="11" t="s">
        <v>729</v>
      </c>
      <c r="L9" s="11" t="s">
        <v>729</v>
      </c>
      <c r="M9" s="11" t="s">
        <v>729</v>
      </c>
      <c r="N9" s="11" t="s">
        <v>729</v>
      </c>
      <c r="O9" s="11" t="s">
        <v>729</v>
      </c>
      <c r="P9" s="11" t="s">
        <v>729</v>
      </c>
      <c r="Q9" s="11" t="s">
        <v>729</v>
      </c>
      <c r="R9" s="11" t="s">
        <v>729</v>
      </c>
      <c r="S9" s="11" t="s">
        <v>729</v>
      </c>
      <c r="T9" s="11" t="s">
        <v>729</v>
      </c>
      <c r="U9" s="11" t="s">
        <v>729</v>
      </c>
      <c r="V9" s="12" t="s">
        <v>729</v>
      </c>
    </row>
    <row r="10" ht="15.5" customHeight="1" spans="1:22">
      <c r="A10" s="16"/>
      <c r="B10" s="17" t="s">
        <v>770</v>
      </c>
      <c r="C10" s="6" t="s">
        <v>729</v>
      </c>
      <c r="D10" s="6" t="s">
        <v>729</v>
      </c>
      <c r="E10" s="6" t="s">
        <v>729</v>
      </c>
      <c r="F10" s="6" t="s">
        <v>729</v>
      </c>
      <c r="G10" s="6" t="s">
        <v>729</v>
      </c>
      <c r="H10" s="6" t="s">
        <v>729</v>
      </c>
      <c r="I10" s="6" t="s">
        <v>729</v>
      </c>
      <c r="J10" s="6" t="s">
        <v>729</v>
      </c>
      <c r="K10" s="6" t="s">
        <v>729</v>
      </c>
      <c r="L10" s="6" t="s">
        <v>729</v>
      </c>
      <c r="M10" s="6" t="s">
        <v>729</v>
      </c>
      <c r="N10" s="6" t="s">
        <v>729</v>
      </c>
      <c r="O10" s="6" t="s">
        <v>729</v>
      </c>
      <c r="P10" s="6" t="s">
        <v>729</v>
      </c>
      <c r="Q10" s="6" t="s">
        <v>729</v>
      </c>
      <c r="R10" s="6" t="s">
        <v>729</v>
      </c>
      <c r="S10" s="6" t="s">
        <v>729</v>
      </c>
      <c r="T10" s="6" t="s">
        <v>729</v>
      </c>
      <c r="U10" s="6" t="s">
        <v>729</v>
      </c>
      <c r="V10" s="8" t="s">
        <v>729</v>
      </c>
    </row>
    <row r="11" ht="15.5" customHeight="1" spans="1:22">
      <c r="A11" s="16"/>
      <c r="B11" s="6" t="s">
        <v>729</v>
      </c>
      <c r="C11" s="6" t="s">
        <v>729</v>
      </c>
      <c r="D11" s="18" t="s">
        <v>771</v>
      </c>
      <c r="E11" s="6" t="s">
        <v>729</v>
      </c>
      <c r="F11" s="11" t="s">
        <v>752</v>
      </c>
      <c r="G11" s="11" t="s">
        <v>756</v>
      </c>
      <c r="H11" s="11" t="s">
        <v>756</v>
      </c>
      <c r="I11" s="11" t="s">
        <v>729</v>
      </c>
      <c r="J11" s="11" t="s">
        <v>729</v>
      </c>
      <c r="K11" s="11" t="s">
        <v>729</v>
      </c>
      <c r="L11" s="11" t="s">
        <v>729</v>
      </c>
      <c r="M11" s="11" t="s">
        <v>729</v>
      </c>
      <c r="N11" s="11" t="s">
        <v>729</v>
      </c>
      <c r="O11" s="11" t="s">
        <v>729</v>
      </c>
      <c r="P11" s="11" t="s">
        <v>729</v>
      </c>
      <c r="Q11" s="11" t="s">
        <v>729</v>
      </c>
      <c r="R11" s="11" t="s">
        <v>729</v>
      </c>
      <c r="S11" s="11" t="s">
        <v>729</v>
      </c>
      <c r="T11" s="11" t="s">
        <v>729</v>
      </c>
      <c r="U11" s="11" t="s">
        <v>729</v>
      </c>
      <c r="V11" s="12" t="s">
        <v>729</v>
      </c>
    </row>
    <row r="12" ht="28" customHeight="1" spans="1:22">
      <c r="A12" s="16"/>
      <c r="B12" s="6" t="s">
        <v>729</v>
      </c>
      <c r="C12" s="6" t="s">
        <v>729</v>
      </c>
      <c r="D12" s="18" t="s">
        <v>772</v>
      </c>
      <c r="E12" s="6" t="s">
        <v>729</v>
      </c>
      <c r="F12" s="11" t="s">
        <v>756</v>
      </c>
      <c r="G12" s="11" t="s">
        <v>752</v>
      </c>
      <c r="H12" s="11" t="s">
        <v>756</v>
      </c>
      <c r="I12" s="11" t="s">
        <v>729</v>
      </c>
      <c r="J12" s="11" t="s">
        <v>729</v>
      </c>
      <c r="K12" s="11" t="s">
        <v>729</v>
      </c>
      <c r="L12" s="11" t="s">
        <v>729</v>
      </c>
      <c r="M12" s="11" t="s">
        <v>729</v>
      </c>
      <c r="N12" s="11" t="s">
        <v>729</v>
      </c>
      <c r="O12" s="11" t="s">
        <v>729</v>
      </c>
      <c r="P12" s="11" t="s">
        <v>729</v>
      </c>
      <c r="Q12" s="11" t="s">
        <v>729</v>
      </c>
      <c r="R12" s="11" t="s">
        <v>729</v>
      </c>
      <c r="S12" s="11" t="s">
        <v>729</v>
      </c>
      <c r="T12" s="11" t="s">
        <v>729</v>
      </c>
      <c r="U12" s="11" t="s">
        <v>729</v>
      </c>
      <c r="V12" s="12" t="s">
        <v>729</v>
      </c>
    </row>
    <row r="13" ht="28" customHeight="1" spans="1:22">
      <c r="A13" s="16"/>
      <c r="B13" s="6" t="s">
        <v>729</v>
      </c>
      <c r="C13" s="6" t="s">
        <v>729</v>
      </c>
      <c r="D13" s="18" t="s">
        <v>773</v>
      </c>
      <c r="E13" s="6" t="s">
        <v>729</v>
      </c>
      <c r="F13" s="11" t="s">
        <v>756</v>
      </c>
      <c r="G13" s="11" t="s">
        <v>756</v>
      </c>
      <c r="H13" s="11" t="s">
        <v>752</v>
      </c>
      <c r="I13" s="11" t="s">
        <v>729</v>
      </c>
      <c r="J13" s="11" t="s">
        <v>729</v>
      </c>
      <c r="K13" s="11" t="s">
        <v>729</v>
      </c>
      <c r="L13" s="11" t="s">
        <v>729</v>
      </c>
      <c r="M13" s="11" t="s">
        <v>729</v>
      </c>
      <c r="N13" s="11" t="s">
        <v>729</v>
      </c>
      <c r="O13" s="11" t="s">
        <v>729</v>
      </c>
      <c r="P13" s="11" t="s">
        <v>729</v>
      </c>
      <c r="Q13" s="11" t="s">
        <v>729</v>
      </c>
      <c r="R13" s="11" t="s">
        <v>729</v>
      </c>
      <c r="S13" s="11" t="s">
        <v>729</v>
      </c>
      <c r="T13" s="11" t="s">
        <v>729</v>
      </c>
      <c r="U13" s="11" t="s">
        <v>729</v>
      </c>
      <c r="V13" s="12" t="s">
        <v>729</v>
      </c>
    </row>
    <row r="14" ht="15.5" customHeight="1" spans="1:22">
      <c r="A14" s="16"/>
      <c r="B14" s="17" t="s">
        <v>774</v>
      </c>
      <c r="C14" s="6" t="s">
        <v>729</v>
      </c>
      <c r="D14" s="6" t="s">
        <v>729</v>
      </c>
      <c r="E14" s="6" t="s">
        <v>729</v>
      </c>
      <c r="F14" s="6" t="s">
        <v>729</v>
      </c>
      <c r="G14" s="6" t="s">
        <v>729</v>
      </c>
      <c r="H14" s="6" t="s">
        <v>729</v>
      </c>
      <c r="I14" s="6" t="s">
        <v>729</v>
      </c>
      <c r="J14" s="6" t="s">
        <v>729</v>
      </c>
      <c r="K14" s="6" t="s">
        <v>729</v>
      </c>
      <c r="L14" s="6" t="s">
        <v>729</v>
      </c>
      <c r="M14" s="6" t="s">
        <v>729</v>
      </c>
      <c r="N14" s="6" t="s">
        <v>729</v>
      </c>
      <c r="O14" s="6" t="s">
        <v>729</v>
      </c>
      <c r="P14" s="6" t="s">
        <v>729</v>
      </c>
      <c r="Q14" s="6" t="s">
        <v>729</v>
      </c>
      <c r="R14" s="6" t="s">
        <v>729</v>
      </c>
      <c r="S14" s="6" t="s">
        <v>729</v>
      </c>
      <c r="T14" s="6" t="s">
        <v>729</v>
      </c>
      <c r="U14" s="6" t="s">
        <v>729</v>
      </c>
      <c r="V14" s="8" t="s">
        <v>729</v>
      </c>
    </row>
    <row r="15" ht="28" customHeight="1" spans="1:22">
      <c r="A15" s="16"/>
      <c r="B15" s="6" t="s">
        <v>729</v>
      </c>
      <c r="C15" s="6" t="s">
        <v>729</v>
      </c>
      <c r="D15" s="18" t="s">
        <v>775</v>
      </c>
      <c r="E15" s="6" t="s">
        <v>729</v>
      </c>
      <c r="F15" s="11" t="s">
        <v>752</v>
      </c>
      <c r="G15" s="11" t="s">
        <v>752</v>
      </c>
      <c r="H15" s="11" t="s">
        <v>752</v>
      </c>
      <c r="I15" s="11" t="s">
        <v>729</v>
      </c>
      <c r="J15" s="11" t="s">
        <v>729</v>
      </c>
      <c r="K15" s="11" t="s">
        <v>729</v>
      </c>
      <c r="L15" s="11" t="s">
        <v>729</v>
      </c>
      <c r="M15" s="11" t="s">
        <v>729</v>
      </c>
      <c r="N15" s="11" t="s">
        <v>729</v>
      </c>
      <c r="O15" s="11" t="s">
        <v>729</v>
      </c>
      <c r="P15" s="11" t="s">
        <v>729</v>
      </c>
      <c r="Q15" s="11" t="s">
        <v>729</v>
      </c>
      <c r="R15" s="11" t="s">
        <v>729</v>
      </c>
      <c r="S15" s="11" t="s">
        <v>729</v>
      </c>
      <c r="T15" s="11" t="s">
        <v>729</v>
      </c>
      <c r="U15" s="11" t="s">
        <v>729</v>
      </c>
      <c r="V15" s="12" t="s">
        <v>729</v>
      </c>
    </row>
    <row r="16" ht="15.5" customHeight="1" spans="1:22">
      <c r="A16" s="16" t="s">
        <v>692</v>
      </c>
      <c r="B16" s="17" t="s">
        <v>693</v>
      </c>
      <c r="C16" s="6" t="s">
        <v>729</v>
      </c>
      <c r="D16" s="6" t="s">
        <v>729</v>
      </c>
      <c r="E16" s="6" t="s">
        <v>729</v>
      </c>
      <c r="F16" s="6" t="s">
        <v>729</v>
      </c>
      <c r="G16" s="6" t="s">
        <v>729</v>
      </c>
      <c r="H16" s="6" t="s">
        <v>729</v>
      </c>
      <c r="I16" s="6" t="s">
        <v>729</v>
      </c>
      <c r="J16" s="6" t="s">
        <v>729</v>
      </c>
      <c r="K16" s="6" t="s">
        <v>729</v>
      </c>
      <c r="L16" s="6" t="s">
        <v>729</v>
      </c>
      <c r="M16" s="6" t="s">
        <v>729</v>
      </c>
      <c r="N16" s="6" t="s">
        <v>729</v>
      </c>
      <c r="O16" s="6" t="s">
        <v>729</v>
      </c>
      <c r="P16" s="6" t="s">
        <v>729</v>
      </c>
      <c r="Q16" s="6" t="s">
        <v>729</v>
      </c>
      <c r="R16" s="6" t="s">
        <v>729</v>
      </c>
      <c r="S16" s="6" t="s">
        <v>729</v>
      </c>
      <c r="T16" s="6" t="s">
        <v>729</v>
      </c>
      <c r="U16" s="6" t="s">
        <v>729</v>
      </c>
      <c r="V16" s="8" t="s">
        <v>729</v>
      </c>
    </row>
    <row r="17" ht="40.5" customHeight="1" spans="1:22">
      <c r="A17" s="16"/>
      <c r="B17" s="6" t="s">
        <v>729</v>
      </c>
      <c r="C17" s="6" t="s">
        <v>729</v>
      </c>
      <c r="D17" s="18" t="s">
        <v>776</v>
      </c>
      <c r="E17" s="6" t="s">
        <v>729</v>
      </c>
      <c r="F17" s="11" t="s">
        <v>756</v>
      </c>
      <c r="G17" s="11" t="s">
        <v>756</v>
      </c>
      <c r="H17" s="11" t="s">
        <v>752</v>
      </c>
      <c r="I17" s="11" t="s">
        <v>729</v>
      </c>
      <c r="J17" s="11" t="s">
        <v>729</v>
      </c>
      <c r="K17" s="11" t="s">
        <v>729</v>
      </c>
      <c r="L17" s="11" t="s">
        <v>729</v>
      </c>
      <c r="M17" s="11" t="s">
        <v>729</v>
      </c>
      <c r="N17" s="11" t="s">
        <v>729</v>
      </c>
      <c r="O17" s="11" t="s">
        <v>729</v>
      </c>
      <c r="P17" s="11" t="s">
        <v>729</v>
      </c>
      <c r="Q17" s="11" t="s">
        <v>729</v>
      </c>
      <c r="R17" s="11" t="s">
        <v>729</v>
      </c>
      <c r="S17" s="11" t="s">
        <v>729</v>
      </c>
      <c r="T17" s="11" t="s">
        <v>729</v>
      </c>
      <c r="U17" s="11" t="s">
        <v>729</v>
      </c>
      <c r="V17" s="12" t="s">
        <v>729</v>
      </c>
    </row>
    <row r="18" ht="15.5" customHeight="1" spans="1:22">
      <c r="A18" s="16"/>
      <c r="B18" s="17" t="s">
        <v>694</v>
      </c>
      <c r="C18" s="6" t="s">
        <v>729</v>
      </c>
      <c r="D18" s="6" t="s">
        <v>729</v>
      </c>
      <c r="E18" s="6" t="s">
        <v>729</v>
      </c>
      <c r="F18" s="6" t="s">
        <v>729</v>
      </c>
      <c r="G18" s="6" t="s">
        <v>729</v>
      </c>
      <c r="H18" s="6" t="s">
        <v>729</v>
      </c>
      <c r="I18" s="6" t="s">
        <v>729</v>
      </c>
      <c r="J18" s="6" t="s">
        <v>729</v>
      </c>
      <c r="K18" s="6" t="s">
        <v>729</v>
      </c>
      <c r="L18" s="6" t="s">
        <v>729</v>
      </c>
      <c r="M18" s="6" t="s">
        <v>729</v>
      </c>
      <c r="N18" s="6" t="s">
        <v>729</v>
      </c>
      <c r="O18" s="6" t="s">
        <v>729</v>
      </c>
      <c r="P18" s="6" t="s">
        <v>729</v>
      </c>
      <c r="Q18" s="6" t="s">
        <v>729</v>
      </c>
      <c r="R18" s="6" t="s">
        <v>729</v>
      </c>
      <c r="S18" s="6" t="s">
        <v>729</v>
      </c>
      <c r="T18" s="6" t="s">
        <v>729</v>
      </c>
      <c r="U18" s="6" t="s">
        <v>729</v>
      </c>
      <c r="V18" s="8" t="s">
        <v>729</v>
      </c>
    </row>
    <row r="19" ht="53" customHeight="1" spans="1:22">
      <c r="A19" s="16"/>
      <c r="B19" s="6" t="s">
        <v>729</v>
      </c>
      <c r="C19" s="6" t="s">
        <v>729</v>
      </c>
      <c r="D19" s="18" t="s">
        <v>777</v>
      </c>
      <c r="E19" s="6" t="s">
        <v>729</v>
      </c>
      <c r="F19" s="11" t="s">
        <v>752</v>
      </c>
      <c r="G19" s="11" t="s">
        <v>752</v>
      </c>
      <c r="H19" s="11" t="s">
        <v>756</v>
      </c>
      <c r="I19" s="11" t="s">
        <v>729</v>
      </c>
      <c r="J19" s="11" t="s">
        <v>729</v>
      </c>
      <c r="K19" s="11" t="s">
        <v>729</v>
      </c>
      <c r="L19" s="11" t="s">
        <v>729</v>
      </c>
      <c r="M19" s="11" t="s">
        <v>729</v>
      </c>
      <c r="N19" s="11" t="s">
        <v>729</v>
      </c>
      <c r="O19" s="11" t="s">
        <v>729</v>
      </c>
      <c r="P19" s="11" t="s">
        <v>729</v>
      </c>
      <c r="Q19" s="11" t="s">
        <v>729</v>
      </c>
      <c r="R19" s="11" t="s">
        <v>729</v>
      </c>
      <c r="S19" s="11" t="s">
        <v>729</v>
      </c>
      <c r="T19" s="11" t="s">
        <v>729</v>
      </c>
      <c r="U19" s="11" t="s">
        <v>729</v>
      </c>
      <c r="V19" s="12" t="s">
        <v>729</v>
      </c>
    </row>
    <row r="20" ht="18" customHeight="1" spans="1:22">
      <c r="A20" s="19" t="s">
        <v>696</v>
      </c>
      <c r="B20" s="20" t="s">
        <v>765</v>
      </c>
      <c r="C20" s="20"/>
      <c r="D20" s="20"/>
      <c r="E20" s="6" t="s">
        <v>729</v>
      </c>
      <c r="F20" s="11" t="s">
        <v>63</v>
      </c>
      <c r="G20" s="11" t="s">
        <v>63</v>
      </c>
      <c r="H20" s="11" t="s">
        <v>670</v>
      </c>
      <c r="I20" s="11" t="s">
        <v>729</v>
      </c>
      <c r="J20" s="11" t="s">
        <v>729</v>
      </c>
      <c r="K20" s="11" t="s">
        <v>729</v>
      </c>
      <c r="L20" s="11" t="s">
        <v>729</v>
      </c>
      <c r="M20" s="11" t="s">
        <v>729</v>
      </c>
      <c r="N20" s="11" t="s">
        <v>729</v>
      </c>
      <c r="O20" s="11" t="s">
        <v>729</v>
      </c>
      <c r="P20" s="11" t="s">
        <v>729</v>
      </c>
      <c r="Q20" s="11" t="s">
        <v>729</v>
      </c>
      <c r="R20" s="11" t="s">
        <v>729</v>
      </c>
      <c r="S20" s="11" t="s">
        <v>729</v>
      </c>
      <c r="T20" s="11" t="s">
        <v>729</v>
      </c>
      <c r="U20" s="11" t="s">
        <v>729</v>
      </c>
      <c r="V20" s="12" t="s">
        <v>729</v>
      </c>
    </row>
    <row r="21" ht="18" customHeight="1" spans="1:22">
      <c r="A21" s="19"/>
      <c r="B21" s="20" t="s">
        <v>698</v>
      </c>
      <c r="C21" s="20"/>
      <c r="D21" s="20"/>
      <c r="E21" s="6" t="s">
        <v>729</v>
      </c>
      <c r="F21" s="11" t="s">
        <v>766</v>
      </c>
      <c r="G21" s="11" t="s">
        <v>766</v>
      </c>
      <c r="H21" s="11" t="s">
        <v>766</v>
      </c>
      <c r="I21" s="11" t="s">
        <v>729</v>
      </c>
      <c r="J21" s="11" t="s">
        <v>729</v>
      </c>
      <c r="K21" s="11" t="s">
        <v>729</v>
      </c>
      <c r="L21" s="11" t="s">
        <v>729</v>
      </c>
      <c r="M21" s="11" t="s">
        <v>729</v>
      </c>
      <c r="N21" s="11" t="s">
        <v>729</v>
      </c>
      <c r="O21" s="11" t="s">
        <v>729</v>
      </c>
      <c r="P21" s="11" t="s">
        <v>729</v>
      </c>
      <c r="Q21" s="11" t="s">
        <v>729</v>
      </c>
      <c r="R21" s="11" t="s">
        <v>729</v>
      </c>
      <c r="S21" s="11" t="s">
        <v>729</v>
      </c>
      <c r="T21" s="11" t="s">
        <v>729</v>
      </c>
      <c r="U21" s="11" t="s">
        <v>729</v>
      </c>
      <c r="V21" s="12" t="s">
        <v>729</v>
      </c>
    </row>
    <row r="22" ht="18" customHeight="1" spans="1:22">
      <c r="A22" s="19"/>
      <c r="B22" s="20" t="s">
        <v>699</v>
      </c>
      <c r="C22" s="20"/>
      <c r="D22" s="20"/>
      <c r="E22" s="6" t="s">
        <v>729</v>
      </c>
      <c r="F22" s="6" t="s">
        <v>729</v>
      </c>
      <c r="G22" s="6" t="s">
        <v>729</v>
      </c>
      <c r="H22" s="6" t="s">
        <v>729</v>
      </c>
      <c r="I22" s="6" t="s">
        <v>729</v>
      </c>
      <c r="J22" s="6" t="s">
        <v>729</v>
      </c>
      <c r="K22" s="6" t="s">
        <v>729</v>
      </c>
      <c r="L22" s="6" t="s">
        <v>729</v>
      </c>
      <c r="M22" s="6" t="s">
        <v>729</v>
      </c>
      <c r="N22" s="6" t="s">
        <v>729</v>
      </c>
      <c r="O22" s="6" t="s">
        <v>729</v>
      </c>
      <c r="P22" s="6" t="s">
        <v>729</v>
      </c>
      <c r="Q22" s="6" t="s">
        <v>729</v>
      </c>
      <c r="R22" s="6" t="s">
        <v>729</v>
      </c>
      <c r="S22" s="6" t="s">
        <v>729</v>
      </c>
      <c r="T22" s="6" t="s">
        <v>729</v>
      </c>
      <c r="U22" s="6" t="s">
        <v>729</v>
      </c>
      <c r="V22" s="8" t="s">
        <v>729</v>
      </c>
    </row>
    <row r="23" ht="18" customHeight="1" spans="1:22">
      <c r="A23" s="19"/>
      <c r="B23" s="21" t="s">
        <v>700</v>
      </c>
      <c r="C23" s="21"/>
      <c r="D23" s="21"/>
      <c r="E23" s="22" t="s">
        <v>729</v>
      </c>
      <c r="F23" s="22" t="s">
        <v>729</v>
      </c>
      <c r="G23" s="22" t="s">
        <v>729</v>
      </c>
      <c r="H23" s="22" t="s">
        <v>729</v>
      </c>
      <c r="I23" s="22" t="s">
        <v>729</v>
      </c>
      <c r="J23" s="22" t="s">
        <v>729</v>
      </c>
      <c r="K23" s="22" t="s">
        <v>729</v>
      </c>
      <c r="L23" s="22" t="s">
        <v>729</v>
      </c>
      <c r="M23" s="22" t="s">
        <v>729</v>
      </c>
      <c r="N23" s="22" t="s">
        <v>729</v>
      </c>
      <c r="O23" s="22" t="s">
        <v>729</v>
      </c>
      <c r="P23" s="22" t="s">
        <v>729</v>
      </c>
      <c r="Q23" s="22" t="s">
        <v>729</v>
      </c>
      <c r="R23" s="22" t="s">
        <v>729</v>
      </c>
      <c r="S23" s="22" t="s">
        <v>729</v>
      </c>
      <c r="T23" s="22" t="s">
        <v>729</v>
      </c>
      <c r="U23" s="22" t="s">
        <v>729</v>
      </c>
      <c r="V23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20:D20"/>
    <mergeCell ref="B21:D21"/>
    <mergeCell ref="B22:D22"/>
    <mergeCell ref="B23:D23"/>
    <mergeCell ref="A7:A15"/>
    <mergeCell ref="A16:A19"/>
    <mergeCell ref="A20:A23"/>
  </mergeCells>
  <dataValidations count="3">
    <dataValidation type="list" allowBlank="1" sqref="F15:V15 F17:V17 F19:V19 F11:V13 F8:V9">
      <formula1>"O,-"</formula1>
    </dataValidation>
    <dataValidation type="list" allowBlank="1" sqref="F20:V20">
      <formula1>"N,A,B"</formula1>
    </dataValidation>
    <dataValidation type="list" allowBlank="1" sqref="F21:V21">
      <formula1>"P,F"</formula1>
    </dataValidation>
  </dataValidations>
  <pageMargins left="0.7" right="0.7" top="0.75" bottom="0.75" header="0.3" footer="0.3"/>
  <pageSetup paperSize="1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3"/>
  <sheetViews>
    <sheetView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78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89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778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3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1</v>
      </c>
      <c r="M5" s="11">
        <v>2</v>
      </c>
      <c r="N5" s="11">
        <v>0</v>
      </c>
      <c r="O5" s="12">
        <v>3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687</v>
      </c>
      <c r="H6" s="14" t="s">
        <v>688</v>
      </c>
      <c r="I6" s="14" t="s">
        <v>729</v>
      </c>
      <c r="J6" s="14" t="s">
        <v>729</v>
      </c>
      <c r="K6" s="14" t="s">
        <v>729</v>
      </c>
      <c r="L6" s="14" t="s">
        <v>729</v>
      </c>
      <c r="M6" s="14" t="s">
        <v>729</v>
      </c>
      <c r="N6" s="14" t="s">
        <v>729</v>
      </c>
      <c r="O6" s="14" t="s">
        <v>729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15.5" customHeight="1" spans="1:22">
      <c r="A7" s="16" t="s">
        <v>690</v>
      </c>
      <c r="B7" s="17" t="s">
        <v>750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40.5" customHeight="1" spans="1:22">
      <c r="A8" s="16"/>
      <c r="B8" s="6" t="s">
        <v>729</v>
      </c>
      <c r="C8" s="6" t="s">
        <v>729</v>
      </c>
      <c r="D8" s="18" t="s">
        <v>93</v>
      </c>
      <c r="E8" s="6" t="s">
        <v>729</v>
      </c>
      <c r="F8" s="11" t="s">
        <v>752</v>
      </c>
      <c r="G8" s="11" t="s">
        <v>752</v>
      </c>
      <c r="H8" s="11" t="s">
        <v>752</v>
      </c>
      <c r="I8" s="11" t="s">
        <v>729</v>
      </c>
      <c r="J8" s="11" t="s">
        <v>729</v>
      </c>
      <c r="K8" s="11" t="s">
        <v>729</v>
      </c>
      <c r="L8" s="11" t="s">
        <v>729</v>
      </c>
      <c r="M8" s="11" t="s">
        <v>729</v>
      </c>
      <c r="N8" s="11" t="s">
        <v>729</v>
      </c>
      <c r="O8" s="11" t="s">
        <v>729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15.5" customHeight="1" spans="1:22">
      <c r="A9" s="16"/>
      <c r="B9" s="17" t="s">
        <v>779</v>
      </c>
      <c r="C9" s="6" t="s">
        <v>729</v>
      </c>
      <c r="D9" s="6" t="s">
        <v>729</v>
      </c>
      <c r="E9" s="6" t="s">
        <v>729</v>
      </c>
      <c r="F9" s="6" t="s">
        <v>729</v>
      </c>
      <c r="G9" s="6" t="s">
        <v>729</v>
      </c>
      <c r="H9" s="6" t="s">
        <v>729</v>
      </c>
      <c r="I9" s="6" t="s">
        <v>729</v>
      </c>
      <c r="J9" s="6" t="s">
        <v>729</v>
      </c>
      <c r="K9" s="6" t="s">
        <v>729</v>
      </c>
      <c r="L9" s="6" t="s">
        <v>729</v>
      </c>
      <c r="M9" s="6" t="s">
        <v>729</v>
      </c>
      <c r="N9" s="6" t="s">
        <v>729</v>
      </c>
      <c r="O9" s="6" t="s">
        <v>729</v>
      </c>
      <c r="P9" s="6" t="s">
        <v>729</v>
      </c>
      <c r="Q9" s="6" t="s">
        <v>729</v>
      </c>
      <c r="R9" s="6" t="s">
        <v>729</v>
      </c>
      <c r="S9" s="6" t="s">
        <v>729</v>
      </c>
      <c r="T9" s="6" t="s">
        <v>729</v>
      </c>
      <c r="U9" s="6" t="s">
        <v>729</v>
      </c>
      <c r="V9" s="8" t="s">
        <v>729</v>
      </c>
    </row>
    <row r="10" ht="53" customHeight="1" spans="1:22">
      <c r="A10" s="16"/>
      <c r="B10" s="6" t="s">
        <v>729</v>
      </c>
      <c r="C10" s="6" t="s">
        <v>729</v>
      </c>
      <c r="D10" s="18" t="s">
        <v>780</v>
      </c>
      <c r="E10" s="6" t="s">
        <v>729</v>
      </c>
      <c r="F10" s="11" t="s">
        <v>752</v>
      </c>
      <c r="G10" s="11" t="s">
        <v>756</v>
      </c>
      <c r="H10" s="11" t="s">
        <v>756</v>
      </c>
      <c r="I10" s="11" t="s">
        <v>729</v>
      </c>
      <c r="J10" s="11" t="s">
        <v>729</v>
      </c>
      <c r="K10" s="11" t="s">
        <v>729</v>
      </c>
      <c r="L10" s="11" t="s">
        <v>729</v>
      </c>
      <c r="M10" s="11" t="s">
        <v>729</v>
      </c>
      <c r="N10" s="11" t="s">
        <v>729</v>
      </c>
      <c r="O10" s="11" t="s">
        <v>729</v>
      </c>
      <c r="P10" s="11" t="s">
        <v>729</v>
      </c>
      <c r="Q10" s="11" t="s">
        <v>729</v>
      </c>
      <c r="R10" s="11" t="s">
        <v>729</v>
      </c>
      <c r="S10" s="11" t="s">
        <v>729</v>
      </c>
      <c r="T10" s="11" t="s">
        <v>729</v>
      </c>
      <c r="U10" s="11" t="s">
        <v>729</v>
      </c>
      <c r="V10" s="12" t="s">
        <v>729</v>
      </c>
    </row>
    <row r="11" ht="40.5" customHeight="1" spans="1:22">
      <c r="A11" s="16"/>
      <c r="B11" s="6" t="s">
        <v>729</v>
      </c>
      <c r="C11" s="6" t="s">
        <v>729</v>
      </c>
      <c r="D11" s="18" t="s">
        <v>781</v>
      </c>
      <c r="E11" s="6" t="s">
        <v>729</v>
      </c>
      <c r="F11" s="11" t="s">
        <v>756</v>
      </c>
      <c r="G11" s="11" t="s">
        <v>752</v>
      </c>
      <c r="H11" s="11" t="s">
        <v>756</v>
      </c>
      <c r="I11" s="11" t="s">
        <v>729</v>
      </c>
      <c r="J11" s="11" t="s">
        <v>729</v>
      </c>
      <c r="K11" s="11" t="s">
        <v>729</v>
      </c>
      <c r="L11" s="11" t="s">
        <v>729</v>
      </c>
      <c r="M11" s="11" t="s">
        <v>729</v>
      </c>
      <c r="N11" s="11" t="s">
        <v>729</v>
      </c>
      <c r="O11" s="11" t="s">
        <v>729</v>
      </c>
      <c r="P11" s="11" t="s">
        <v>729</v>
      </c>
      <c r="Q11" s="11" t="s">
        <v>729</v>
      </c>
      <c r="R11" s="11" t="s">
        <v>729</v>
      </c>
      <c r="S11" s="11" t="s">
        <v>729</v>
      </c>
      <c r="T11" s="11" t="s">
        <v>729</v>
      </c>
      <c r="U11" s="11" t="s">
        <v>729</v>
      </c>
      <c r="V11" s="12" t="s">
        <v>729</v>
      </c>
    </row>
    <row r="12" ht="40.5" customHeight="1" spans="1:22">
      <c r="A12" s="16"/>
      <c r="B12" s="6" t="s">
        <v>729</v>
      </c>
      <c r="C12" s="6" t="s">
        <v>729</v>
      </c>
      <c r="D12" s="18" t="s">
        <v>782</v>
      </c>
      <c r="E12" s="6" t="s">
        <v>729</v>
      </c>
      <c r="F12" s="11" t="s">
        <v>756</v>
      </c>
      <c r="G12" s="11" t="s">
        <v>756</v>
      </c>
      <c r="H12" s="11" t="s">
        <v>752</v>
      </c>
      <c r="I12" s="11" t="s">
        <v>729</v>
      </c>
      <c r="J12" s="11" t="s">
        <v>729</v>
      </c>
      <c r="K12" s="11" t="s">
        <v>729</v>
      </c>
      <c r="L12" s="11" t="s">
        <v>729</v>
      </c>
      <c r="M12" s="11" t="s">
        <v>729</v>
      </c>
      <c r="N12" s="11" t="s">
        <v>729</v>
      </c>
      <c r="O12" s="11" t="s">
        <v>729</v>
      </c>
      <c r="P12" s="11" t="s">
        <v>729</v>
      </c>
      <c r="Q12" s="11" t="s">
        <v>729</v>
      </c>
      <c r="R12" s="11" t="s">
        <v>729</v>
      </c>
      <c r="S12" s="11" t="s">
        <v>729</v>
      </c>
      <c r="T12" s="11" t="s">
        <v>729</v>
      </c>
      <c r="U12" s="11" t="s">
        <v>729</v>
      </c>
      <c r="V12" s="12" t="s">
        <v>729</v>
      </c>
    </row>
    <row r="13" ht="15.5" customHeight="1" spans="1:22">
      <c r="A13" s="16"/>
      <c r="B13" s="17" t="s">
        <v>774</v>
      </c>
      <c r="C13" s="6" t="s">
        <v>729</v>
      </c>
      <c r="D13" s="6" t="s">
        <v>729</v>
      </c>
      <c r="E13" s="6" t="s">
        <v>729</v>
      </c>
      <c r="F13" s="6" t="s">
        <v>729</v>
      </c>
      <c r="G13" s="6" t="s">
        <v>729</v>
      </c>
      <c r="H13" s="6" t="s">
        <v>729</v>
      </c>
      <c r="I13" s="6" t="s">
        <v>729</v>
      </c>
      <c r="J13" s="6" t="s">
        <v>729</v>
      </c>
      <c r="K13" s="6" t="s">
        <v>729</v>
      </c>
      <c r="L13" s="6" t="s">
        <v>729</v>
      </c>
      <c r="M13" s="6" t="s">
        <v>729</v>
      </c>
      <c r="N13" s="6" t="s">
        <v>729</v>
      </c>
      <c r="O13" s="6" t="s">
        <v>729</v>
      </c>
      <c r="P13" s="6" t="s">
        <v>729</v>
      </c>
      <c r="Q13" s="6" t="s">
        <v>729</v>
      </c>
      <c r="R13" s="6" t="s">
        <v>729</v>
      </c>
      <c r="S13" s="6" t="s">
        <v>729</v>
      </c>
      <c r="T13" s="6" t="s">
        <v>729</v>
      </c>
      <c r="U13" s="6" t="s">
        <v>729</v>
      </c>
      <c r="V13" s="8" t="s">
        <v>729</v>
      </c>
    </row>
    <row r="14" ht="28" customHeight="1" spans="1:22">
      <c r="A14" s="16"/>
      <c r="B14" s="6" t="s">
        <v>729</v>
      </c>
      <c r="C14" s="6" t="s">
        <v>729</v>
      </c>
      <c r="D14" s="18" t="s">
        <v>775</v>
      </c>
      <c r="E14" s="6" t="s">
        <v>729</v>
      </c>
      <c r="F14" s="11" t="s">
        <v>752</v>
      </c>
      <c r="G14" s="11" t="s">
        <v>752</v>
      </c>
      <c r="H14" s="11" t="s">
        <v>752</v>
      </c>
      <c r="I14" s="11" t="s">
        <v>729</v>
      </c>
      <c r="J14" s="11" t="s">
        <v>729</v>
      </c>
      <c r="K14" s="11" t="s">
        <v>729</v>
      </c>
      <c r="L14" s="11" t="s">
        <v>729</v>
      </c>
      <c r="M14" s="11" t="s">
        <v>729</v>
      </c>
      <c r="N14" s="11" t="s">
        <v>729</v>
      </c>
      <c r="O14" s="11" t="s">
        <v>729</v>
      </c>
      <c r="P14" s="11" t="s">
        <v>729</v>
      </c>
      <c r="Q14" s="11" t="s">
        <v>729</v>
      </c>
      <c r="R14" s="11" t="s">
        <v>729</v>
      </c>
      <c r="S14" s="11" t="s">
        <v>729</v>
      </c>
      <c r="T14" s="11" t="s">
        <v>729</v>
      </c>
      <c r="U14" s="11" t="s">
        <v>729</v>
      </c>
      <c r="V14" s="12" t="s">
        <v>729</v>
      </c>
    </row>
    <row r="15" ht="15.5" customHeight="1" spans="1:22">
      <c r="A15" s="16" t="s">
        <v>692</v>
      </c>
      <c r="B15" s="17" t="s">
        <v>693</v>
      </c>
      <c r="C15" s="6" t="s">
        <v>729</v>
      </c>
      <c r="D15" s="6" t="s">
        <v>729</v>
      </c>
      <c r="E15" s="6" t="s">
        <v>729</v>
      </c>
      <c r="F15" s="6" t="s">
        <v>729</v>
      </c>
      <c r="G15" s="6" t="s">
        <v>729</v>
      </c>
      <c r="H15" s="6" t="s">
        <v>729</v>
      </c>
      <c r="I15" s="6" t="s">
        <v>729</v>
      </c>
      <c r="J15" s="6" t="s">
        <v>729</v>
      </c>
      <c r="K15" s="6" t="s">
        <v>729</v>
      </c>
      <c r="L15" s="6" t="s">
        <v>729</v>
      </c>
      <c r="M15" s="6" t="s">
        <v>729</v>
      </c>
      <c r="N15" s="6" t="s">
        <v>729</v>
      </c>
      <c r="O15" s="6" t="s">
        <v>729</v>
      </c>
      <c r="P15" s="6" t="s">
        <v>729</v>
      </c>
      <c r="Q15" s="6" t="s">
        <v>729</v>
      </c>
      <c r="R15" s="6" t="s">
        <v>729</v>
      </c>
      <c r="S15" s="6" t="s">
        <v>729</v>
      </c>
      <c r="T15" s="6" t="s">
        <v>729</v>
      </c>
      <c r="U15" s="6" t="s">
        <v>729</v>
      </c>
      <c r="V15" s="8" t="s">
        <v>729</v>
      </c>
    </row>
    <row r="16" ht="53" customHeight="1" spans="1:22">
      <c r="A16" s="16"/>
      <c r="B16" s="6" t="s">
        <v>729</v>
      </c>
      <c r="C16" s="6" t="s">
        <v>729</v>
      </c>
      <c r="D16" s="18" t="s">
        <v>783</v>
      </c>
      <c r="E16" s="6" t="s">
        <v>729</v>
      </c>
      <c r="F16" s="11" t="s">
        <v>756</v>
      </c>
      <c r="G16" s="11" t="s">
        <v>756</v>
      </c>
      <c r="H16" s="11" t="s">
        <v>752</v>
      </c>
      <c r="I16" s="11" t="s">
        <v>729</v>
      </c>
      <c r="J16" s="11" t="s">
        <v>729</v>
      </c>
      <c r="K16" s="11" t="s">
        <v>729</v>
      </c>
      <c r="L16" s="11" t="s">
        <v>729</v>
      </c>
      <c r="M16" s="11" t="s">
        <v>729</v>
      </c>
      <c r="N16" s="11" t="s">
        <v>729</v>
      </c>
      <c r="O16" s="11" t="s">
        <v>729</v>
      </c>
      <c r="P16" s="11" t="s">
        <v>729</v>
      </c>
      <c r="Q16" s="11" t="s">
        <v>729</v>
      </c>
      <c r="R16" s="11" t="s">
        <v>729</v>
      </c>
      <c r="S16" s="11" t="s">
        <v>729</v>
      </c>
      <c r="T16" s="11" t="s">
        <v>729</v>
      </c>
      <c r="U16" s="11" t="s">
        <v>729</v>
      </c>
      <c r="V16" s="12" t="s">
        <v>729</v>
      </c>
    </row>
    <row r="17" ht="15.5" customHeight="1" spans="1:22">
      <c r="A17" s="16"/>
      <c r="B17" s="17" t="s">
        <v>694</v>
      </c>
      <c r="C17" s="6" t="s">
        <v>729</v>
      </c>
      <c r="D17" s="6" t="s">
        <v>729</v>
      </c>
      <c r="E17" s="6" t="s">
        <v>729</v>
      </c>
      <c r="F17" s="6" t="s">
        <v>729</v>
      </c>
      <c r="G17" s="6" t="s">
        <v>729</v>
      </c>
      <c r="H17" s="6" t="s">
        <v>729</v>
      </c>
      <c r="I17" s="6" t="s">
        <v>729</v>
      </c>
      <c r="J17" s="6" t="s">
        <v>729</v>
      </c>
      <c r="K17" s="6" t="s">
        <v>729</v>
      </c>
      <c r="L17" s="6" t="s">
        <v>729</v>
      </c>
      <c r="M17" s="6" t="s">
        <v>729</v>
      </c>
      <c r="N17" s="6" t="s">
        <v>729</v>
      </c>
      <c r="O17" s="6" t="s">
        <v>729</v>
      </c>
      <c r="P17" s="6" t="s">
        <v>729</v>
      </c>
      <c r="Q17" s="6" t="s">
        <v>729</v>
      </c>
      <c r="R17" s="6" t="s">
        <v>729</v>
      </c>
      <c r="S17" s="6" t="s">
        <v>729</v>
      </c>
      <c r="T17" s="6" t="s">
        <v>729</v>
      </c>
      <c r="U17" s="6" t="s">
        <v>729</v>
      </c>
      <c r="V17" s="8" t="s">
        <v>729</v>
      </c>
    </row>
    <row r="18" ht="40.5" customHeight="1" spans="1:22">
      <c r="A18" s="16"/>
      <c r="B18" s="6" t="s">
        <v>729</v>
      </c>
      <c r="C18" s="6" t="s">
        <v>729</v>
      </c>
      <c r="D18" s="18" t="s">
        <v>784</v>
      </c>
      <c r="E18" s="6" t="s">
        <v>729</v>
      </c>
      <c r="F18" s="11" t="s">
        <v>752</v>
      </c>
      <c r="G18" s="11" t="s">
        <v>756</v>
      </c>
      <c r="H18" s="11" t="s">
        <v>756</v>
      </c>
      <c r="I18" s="11" t="s">
        <v>729</v>
      </c>
      <c r="J18" s="11" t="s">
        <v>729</v>
      </c>
      <c r="K18" s="11" t="s">
        <v>729</v>
      </c>
      <c r="L18" s="11" t="s">
        <v>729</v>
      </c>
      <c r="M18" s="11" t="s">
        <v>729</v>
      </c>
      <c r="N18" s="11" t="s">
        <v>729</v>
      </c>
      <c r="O18" s="11" t="s">
        <v>729</v>
      </c>
      <c r="P18" s="11" t="s">
        <v>729</v>
      </c>
      <c r="Q18" s="11" t="s">
        <v>729</v>
      </c>
      <c r="R18" s="11" t="s">
        <v>729</v>
      </c>
      <c r="S18" s="11" t="s">
        <v>729</v>
      </c>
      <c r="T18" s="11" t="s">
        <v>729</v>
      </c>
      <c r="U18" s="11" t="s">
        <v>729</v>
      </c>
      <c r="V18" s="12" t="s">
        <v>729</v>
      </c>
    </row>
    <row r="19" ht="40.5" customHeight="1" spans="1:22">
      <c r="A19" s="16"/>
      <c r="B19" s="6" t="s">
        <v>729</v>
      </c>
      <c r="C19" s="6" t="s">
        <v>729</v>
      </c>
      <c r="D19" s="18" t="s">
        <v>785</v>
      </c>
      <c r="E19" s="6" t="s">
        <v>729</v>
      </c>
      <c r="F19" s="11" t="s">
        <v>756</v>
      </c>
      <c r="G19" s="11" t="s">
        <v>752</v>
      </c>
      <c r="H19" s="11" t="s">
        <v>756</v>
      </c>
      <c r="I19" s="11" t="s">
        <v>729</v>
      </c>
      <c r="J19" s="11" t="s">
        <v>729</v>
      </c>
      <c r="K19" s="11" t="s">
        <v>729</v>
      </c>
      <c r="L19" s="11" t="s">
        <v>729</v>
      </c>
      <c r="M19" s="11" t="s">
        <v>729</v>
      </c>
      <c r="N19" s="11" t="s">
        <v>729</v>
      </c>
      <c r="O19" s="11" t="s">
        <v>729</v>
      </c>
      <c r="P19" s="11" t="s">
        <v>729</v>
      </c>
      <c r="Q19" s="11" t="s">
        <v>729</v>
      </c>
      <c r="R19" s="11" t="s">
        <v>729</v>
      </c>
      <c r="S19" s="11" t="s">
        <v>729</v>
      </c>
      <c r="T19" s="11" t="s">
        <v>729</v>
      </c>
      <c r="U19" s="11" t="s">
        <v>729</v>
      </c>
      <c r="V19" s="12" t="s">
        <v>729</v>
      </c>
    </row>
    <row r="20" ht="18" customHeight="1" spans="1:22">
      <c r="A20" s="19" t="s">
        <v>696</v>
      </c>
      <c r="B20" s="20" t="s">
        <v>765</v>
      </c>
      <c r="C20" s="20"/>
      <c r="D20" s="20"/>
      <c r="E20" s="6" t="s">
        <v>729</v>
      </c>
      <c r="F20" s="11" t="s">
        <v>63</v>
      </c>
      <c r="G20" s="11" t="s">
        <v>63</v>
      </c>
      <c r="H20" s="11" t="s">
        <v>670</v>
      </c>
      <c r="I20" s="11" t="s">
        <v>729</v>
      </c>
      <c r="J20" s="11" t="s">
        <v>729</v>
      </c>
      <c r="K20" s="11" t="s">
        <v>729</v>
      </c>
      <c r="L20" s="11" t="s">
        <v>729</v>
      </c>
      <c r="M20" s="11" t="s">
        <v>729</v>
      </c>
      <c r="N20" s="11" t="s">
        <v>729</v>
      </c>
      <c r="O20" s="11" t="s">
        <v>729</v>
      </c>
      <c r="P20" s="11" t="s">
        <v>729</v>
      </c>
      <c r="Q20" s="11" t="s">
        <v>729</v>
      </c>
      <c r="R20" s="11" t="s">
        <v>729</v>
      </c>
      <c r="S20" s="11" t="s">
        <v>729</v>
      </c>
      <c r="T20" s="11" t="s">
        <v>729</v>
      </c>
      <c r="U20" s="11" t="s">
        <v>729</v>
      </c>
      <c r="V20" s="12" t="s">
        <v>729</v>
      </c>
    </row>
    <row r="21" ht="18" customHeight="1" spans="1:22">
      <c r="A21" s="19"/>
      <c r="B21" s="20" t="s">
        <v>698</v>
      </c>
      <c r="C21" s="20"/>
      <c r="D21" s="20"/>
      <c r="E21" s="6" t="s">
        <v>729</v>
      </c>
      <c r="F21" s="11" t="s">
        <v>766</v>
      </c>
      <c r="G21" s="11" t="s">
        <v>766</v>
      </c>
      <c r="H21" s="11" t="s">
        <v>766</v>
      </c>
      <c r="I21" s="11" t="s">
        <v>729</v>
      </c>
      <c r="J21" s="11" t="s">
        <v>729</v>
      </c>
      <c r="K21" s="11" t="s">
        <v>729</v>
      </c>
      <c r="L21" s="11" t="s">
        <v>729</v>
      </c>
      <c r="M21" s="11" t="s">
        <v>729</v>
      </c>
      <c r="N21" s="11" t="s">
        <v>729</v>
      </c>
      <c r="O21" s="11" t="s">
        <v>729</v>
      </c>
      <c r="P21" s="11" t="s">
        <v>729</v>
      </c>
      <c r="Q21" s="11" t="s">
        <v>729</v>
      </c>
      <c r="R21" s="11" t="s">
        <v>729</v>
      </c>
      <c r="S21" s="11" t="s">
        <v>729</v>
      </c>
      <c r="T21" s="11" t="s">
        <v>729</v>
      </c>
      <c r="U21" s="11" t="s">
        <v>729</v>
      </c>
      <c r="V21" s="12" t="s">
        <v>729</v>
      </c>
    </row>
    <row r="22" ht="18" customHeight="1" spans="1:22">
      <c r="A22" s="19"/>
      <c r="B22" s="20" t="s">
        <v>699</v>
      </c>
      <c r="C22" s="20"/>
      <c r="D22" s="20"/>
      <c r="E22" s="6" t="s">
        <v>729</v>
      </c>
      <c r="F22" s="6" t="s">
        <v>729</v>
      </c>
      <c r="G22" s="6" t="s">
        <v>729</v>
      </c>
      <c r="H22" s="6" t="s">
        <v>729</v>
      </c>
      <c r="I22" s="6" t="s">
        <v>729</v>
      </c>
      <c r="J22" s="6" t="s">
        <v>729</v>
      </c>
      <c r="K22" s="6" t="s">
        <v>729</v>
      </c>
      <c r="L22" s="6" t="s">
        <v>729</v>
      </c>
      <c r="M22" s="6" t="s">
        <v>729</v>
      </c>
      <c r="N22" s="6" t="s">
        <v>729</v>
      </c>
      <c r="O22" s="6" t="s">
        <v>729</v>
      </c>
      <c r="P22" s="6" t="s">
        <v>729</v>
      </c>
      <c r="Q22" s="6" t="s">
        <v>729</v>
      </c>
      <c r="R22" s="6" t="s">
        <v>729</v>
      </c>
      <c r="S22" s="6" t="s">
        <v>729</v>
      </c>
      <c r="T22" s="6" t="s">
        <v>729</v>
      </c>
      <c r="U22" s="6" t="s">
        <v>729</v>
      </c>
      <c r="V22" s="8" t="s">
        <v>729</v>
      </c>
    </row>
    <row r="23" ht="18" customHeight="1" spans="1:22">
      <c r="A23" s="19"/>
      <c r="B23" s="21" t="s">
        <v>700</v>
      </c>
      <c r="C23" s="21"/>
      <c r="D23" s="21"/>
      <c r="E23" s="22" t="s">
        <v>729</v>
      </c>
      <c r="F23" s="22" t="s">
        <v>729</v>
      </c>
      <c r="G23" s="22" t="s">
        <v>729</v>
      </c>
      <c r="H23" s="22" t="s">
        <v>729</v>
      </c>
      <c r="I23" s="22" t="s">
        <v>729</v>
      </c>
      <c r="J23" s="22" t="s">
        <v>729</v>
      </c>
      <c r="K23" s="22" t="s">
        <v>729</v>
      </c>
      <c r="L23" s="22" t="s">
        <v>729</v>
      </c>
      <c r="M23" s="22" t="s">
        <v>729</v>
      </c>
      <c r="N23" s="22" t="s">
        <v>729</v>
      </c>
      <c r="O23" s="22" t="s">
        <v>729</v>
      </c>
      <c r="P23" s="22" t="s">
        <v>729</v>
      </c>
      <c r="Q23" s="22" t="s">
        <v>729</v>
      </c>
      <c r="R23" s="22" t="s">
        <v>729</v>
      </c>
      <c r="S23" s="22" t="s">
        <v>729</v>
      </c>
      <c r="T23" s="22" t="s">
        <v>729</v>
      </c>
      <c r="U23" s="22" t="s">
        <v>729</v>
      </c>
      <c r="V23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20:D20"/>
    <mergeCell ref="B21:D21"/>
    <mergeCell ref="B22:D22"/>
    <mergeCell ref="B23:D23"/>
    <mergeCell ref="A7:A14"/>
    <mergeCell ref="A15:A19"/>
    <mergeCell ref="A20:A23"/>
  </mergeCells>
  <dataValidations count="3">
    <dataValidation type="list" allowBlank="1" sqref="F8:V8 F14:V14 F16:V16 F10:V12 F18:V19">
      <formula1>"O,-"</formula1>
    </dataValidation>
    <dataValidation type="list" allowBlank="1" sqref="F20:V20">
      <formula1>"N,A,B"</formula1>
    </dataValidation>
    <dataValidation type="list" allowBlank="1" sqref="F21:V21">
      <formula1>"P,F"</formula1>
    </dataValidation>
  </dataValidations>
  <pageMargins left="0.7" right="0.7" top="0.75" bottom="0.75" header="0.3" footer="0.3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0"/>
  <sheetViews>
    <sheetView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78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94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786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3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0</v>
      </c>
      <c r="M5" s="11">
        <v>0</v>
      </c>
      <c r="N5" s="11">
        <v>3</v>
      </c>
      <c r="O5" s="12">
        <v>3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687</v>
      </c>
      <c r="H6" s="14" t="s">
        <v>688</v>
      </c>
      <c r="I6" s="14" t="s">
        <v>729</v>
      </c>
      <c r="J6" s="14" t="s">
        <v>729</v>
      </c>
      <c r="K6" s="14" t="s">
        <v>729</v>
      </c>
      <c r="L6" s="14" t="s">
        <v>729</v>
      </c>
      <c r="M6" s="14" t="s">
        <v>729</v>
      </c>
      <c r="N6" s="14" t="s">
        <v>729</v>
      </c>
      <c r="O6" s="14" t="s">
        <v>729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28" customHeight="1" spans="1:22">
      <c r="A7" s="16" t="s">
        <v>690</v>
      </c>
      <c r="B7" s="17" t="s">
        <v>787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28" customHeight="1" spans="1:22">
      <c r="A8" s="16"/>
      <c r="B8" s="6" t="s">
        <v>729</v>
      </c>
      <c r="C8" s="6" t="s">
        <v>729</v>
      </c>
      <c r="D8" s="18" t="s">
        <v>788</v>
      </c>
      <c r="E8" s="6" t="s">
        <v>729</v>
      </c>
      <c r="F8" s="11" t="s">
        <v>752</v>
      </c>
      <c r="G8" s="11" t="s">
        <v>756</v>
      </c>
      <c r="H8" s="11" t="s">
        <v>756</v>
      </c>
      <c r="I8" s="11" t="s">
        <v>729</v>
      </c>
      <c r="J8" s="11" t="s">
        <v>729</v>
      </c>
      <c r="K8" s="11" t="s">
        <v>729</v>
      </c>
      <c r="L8" s="11" t="s">
        <v>729</v>
      </c>
      <c r="M8" s="11" t="s">
        <v>729</v>
      </c>
      <c r="N8" s="11" t="s">
        <v>729</v>
      </c>
      <c r="O8" s="11" t="s">
        <v>729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15.5" customHeight="1" spans="1:22">
      <c r="A9" s="16"/>
      <c r="B9" s="6" t="s">
        <v>729</v>
      </c>
      <c r="C9" s="6" t="s">
        <v>729</v>
      </c>
      <c r="D9" s="18" t="s">
        <v>789</v>
      </c>
      <c r="E9" s="6" t="s">
        <v>729</v>
      </c>
      <c r="F9" s="11" t="s">
        <v>756</v>
      </c>
      <c r="G9" s="11" t="s">
        <v>752</v>
      </c>
      <c r="H9" s="11" t="s">
        <v>756</v>
      </c>
      <c r="I9" s="11" t="s">
        <v>729</v>
      </c>
      <c r="J9" s="11" t="s">
        <v>729</v>
      </c>
      <c r="K9" s="11" t="s">
        <v>729</v>
      </c>
      <c r="L9" s="11" t="s">
        <v>729</v>
      </c>
      <c r="M9" s="11" t="s">
        <v>729</v>
      </c>
      <c r="N9" s="11" t="s">
        <v>729</v>
      </c>
      <c r="O9" s="11" t="s">
        <v>729</v>
      </c>
      <c r="P9" s="11" t="s">
        <v>729</v>
      </c>
      <c r="Q9" s="11" t="s">
        <v>729</v>
      </c>
      <c r="R9" s="11" t="s">
        <v>729</v>
      </c>
      <c r="S9" s="11" t="s">
        <v>729</v>
      </c>
      <c r="T9" s="11" t="s">
        <v>729</v>
      </c>
      <c r="U9" s="11" t="s">
        <v>729</v>
      </c>
      <c r="V9" s="12" t="s">
        <v>729</v>
      </c>
    </row>
    <row r="10" ht="28" customHeight="1" spans="1:22">
      <c r="A10" s="16"/>
      <c r="B10" s="6" t="s">
        <v>729</v>
      </c>
      <c r="C10" s="6" t="s">
        <v>729</v>
      </c>
      <c r="D10" s="18" t="s">
        <v>790</v>
      </c>
      <c r="E10" s="6" t="s">
        <v>729</v>
      </c>
      <c r="F10" s="11" t="s">
        <v>756</v>
      </c>
      <c r="G10" s="11" t="s">
        <v>756</v>
      </c>
      <c r="H10" s="11" t="s">
        <v>752</v>
      </c>
      <c r="I10" s="11" t="s">
        <v>729</v>
      </c>
      <c r="J10" s="11" t="s">
        <v>729</v>
      </c>
      <c r="K10" s="11" t="s">
        <v>729</v>
      </c>
      <c r="L10" s="11" t="s">
        <v>729</v>
      </c>
      <c r="M10" s="11" t="s">
        <v>729</v>
      </c>
      <c r="N10" s="11" t="s">
        <v>729</v>
      </c>
      <c r="O10" s="11" t="s">
        <v>729</v>
      </c>
      <c r="P10" s="11" t="s">
        <v>729</v>
      </c>
      <c r="Q10" s="11" t="s">
        <v>729</v>
      </c>
      <c r="R10" s="11" t="s">
        <v>729</v>
      </c>
      <c r="S10" s="11" t="s">
        <v>729</v>
      </c>
      <c r="T10" s="11" t="s">
        <v>729</v>
      </c>
      <c r="U10" s="11" t="s">
        <v>729</v>
      </c>
      <c r="V10" s="12" t="s">
        <v>729</v>
      </c>
    </row>
    <row r="11" ht="15.5" customHeight="1" spans="1:22">
      <c r="A11" s="16" t="s">
        <v>692</v>
      </c>
      <c r="B11" s="17" t="s">
        <v>693</v>
      </c>
      <c r="C11" s="6" t="s">
        <v>729</v>
      </c>
      <c r="D11" s="6" t="s">
        <v>729</v>
      </c>
      <c r="E11" s="6" t="s">
        <v>729</v>
      </c>
      <c r="F11" s="6" t="s">
        <v>729</v>
      </c>
      <c r="G11" s="6" t="s">
        <v>729</v>
      </c>
      <c r="H11" s="6" t="s">
        <v>729</v>
      </c>
      <c r="I11" s="6" t="s">
        <v>729</v>
      </c>
      <c r="J11" s="6" t="s">
        <v>729</v>
      </c>
      <c r="K11" s="6" t="s">
        <v>729</v>
      </c>
      <c r="L11" s="6" t="s">
        <v>729</v>
      </c>
      <c r="M11" s="6" t="s">
        <v>729</v>
      </c>
      <c r="N11" s="6" t="s">
        <v>729</v>
      </c>
      <c r="O11" s="6" t="s">
        <v>729</v>
      </c>
      <c r="P11" s="6" t="s">
        <v>729</v>
      </c>
      <c r="Q11" s="6" t="s">
        <v>729</v>
      </c>
      <c r="R11" s="6" t="s">
        <v>729</v>
      </c>
      <c r="S11" s="6" t="s">
        <v>729</v>
      </c>
      <c r="T11" s="6" t="s">
        <v>729</v>
      </c>
      <c r="U11" s="6" t="s">
        <v>729</v>
      </c>
      <c r="V11" s="8" t="s">
        <v>729</v>
      </c>
    </row>
    <row r="12" ht="28" customHeight="1" spans="1:22">
      <c r="A12" s="16"/>
      <c r="B12" s="6" t="s">
        <v>729</v>
      </c>
      <c r="C12" s="6" t="s">
        <v>729</v>
      </c>
      <c r="D12" s="18" t="s">
        <v>791</v>
      </c>
      <c r="E12" s="6" t="s">
        <v>729</v>
      </c>
      <c r="F12" s="11" t="s">
        <v>752</v>
      </c>
      <c r="G12" s="11" t="s">
        <v>756</v>
      </c>
      <c r="H12" s="11" t="s">
        <v>756</v>
      </c>
      <c r="I12" s="11" t="s">
        <v>729</v>
      </c>
      <c r="J12" s="11" t="s">
        <v>729</v>
      </c>
      <c r="K12" s="11" t="s">
        <v>729</v>
      </c>
      <c r="L12" s="11" t="s">
        <v>729</v>
      </c>
      <c r="M12" s="11" t="s">
        <v>729</v>
      </c>
      <c r="N12" s="11" t="s">
        <v>729</v>
      </c>
      <c r="O12" s="11" t="s">
        <v>729</v>
      </c>
      <c r="P12" s="11" t="s">
        <v>729</v>
      </c>
      <c r="Q12" s="11" t="s">
        <v>729</v>
      </c>
      <c r="R12" s="11" t="s">
        <v>729</v>
      </c>
      <c r="S12" s="11" t="s">
        <v>729</v>
      </c>
      <c r="T12" s="11" t="s">
        <v>729</v>
      </c>
      <c r="U12" s="11" t="s">
        <v>729</v>
      </c>
      <c r="V12" s="12" t="s">
        <v>729</v>
      </c>
    </row>
    <row r="13" ht="28" customHeight="1" spans="1:22">
      <c r="A13" s="16"/>
      <c r="B13" s="6" t="s">
        <v>729</v>
      </c>
      <c r="C13" s="6" t="s">
        <v>729</v>
      </c>
      <c r="D13" s="18" t="s">
        <v>792</v>
      </c>
      <c r="E13" s="6" t="s">
        <v>729</v>
      </c>
      <c r="F13" s="11" t="s">
        <v>756</v>
      </c>
      <c r="G13" s="11" t="s">
        <v>752</v>
      </c>
      <c r="H13" s="11" t="s">
        <v>756</v>
      </c>
      <c r="I13" s="11" t="s">
        <v>729</v>
      </c>
      <c r="J13" s="11" t="s">
        <v>729</v>
      </c>
      <c r="K13" s="11" t="s">
        <v>729</v>
      </c>
      <c r="L13" s="11" t="s">
        <v>729</v>
      </c>
      <c r="M13" s="11" t="s">
        <v>729</v>
      </c>
      <c r="N13" s="11" t="s">
        <v>729</v>
      </c>
      <c r="O13" s="11" t="s">
        <v>729</v>
      </c>
      <c r="P13" s="11" t="s">
        <v>729</v>
      </c>
      <c r="Q13" s="11" t="s">
        <v>729</v>
      </c>
      <c r="R13" s="11" t="s">
        <v>729</v>
      </c>
      <c r="S13" s="11" t="s">
        <v>729</v>
      </c>
      <c r="T13" s="11" t="s">
        <v>729</v>
      </c>
      <c r="U13" s="11" t="s">
        <v>729</v>
      </c>
      <c r="V13" s="12" t="s">
        <v>729</v>
      </c>
    </row>
    <row r="14" ht="53" customHeight="1" spans="1:22">
      <c r="A14" s="16"/>
      <c r="B14" s="6" t="s">
        <v>729</v>
      </c>
      <c r="C14" s="6" t="s">
        <v>729</v>
      </c>
      <c r="D14" s="18" t="s">
        <v>793</v>
      </c>
      <c r="E14" s="6" t="s">
        <v>729</v>
      </c>
      <c r="F14" s="11" t="s">
        <v>756</v>
      </c>
      <c r="G14" s="11" t="s">
        <v>756</v>
      </c>
      <c r="H14" s="11" t="s">
        <v>752</v>
      </c>
      <c r="I14" s="11" t="s">
        <v>729</v>
      </c>
      <c r="J14" s="11" t="s">
        <v>729</v>
      </c>
      <c r="K14" s="11" t="s">
        <v>729</v>
      </c>
      <c r="L14" s="11" t="s">
        <v>729</v>
      </c>
      <c r="M14" s="11" t="s">
        <v>729</v>
      </c>
      <c r="N14" s="11" t="s">
        <v>729</v>
      </c>
      <c r="O14" s="11" t="s">
        <v>729</v>
      </c>
      <c r="P14" s="11" t="s">
        <v>729</v>
      </c>
      <c r="Q14" s="11" t="s">
        <v>729</v>
      </c>
      <c r="R14" s="11" t="s">
        <v>729</v>
      </c>
      <c r="S14" s="11" t="s">
        <v>729</v>
      </c>
      <c r="T14" s="11" t="s">
        <v>729</v>
      </c>
      <c r="U14" s="11" t="s">
        <v>729</v>
      </c>
      <c r="V14" s="12" t="s">
        <v>729</v>
      </c>
    </row>
    <row r="15" ht="15.5" customHeight="1" spans="1:22">
      <c r="A15" s="16"/>
      <c r="B15" s="17" t="s">
        <v>694</v>
      </c>
      <c r="C15" s="6" t="s">
        <v>729</v>
      </c>
      <c r="D15" s="6" t="s">
        <v>729</v>
      </c>
      <c r="E15" s="6" t="s">
        <v>729</v>
      </c>
      <c r="F15" s="6" t="s">
        <v>729</v>
      </c>
      <c r="G15" s="6" t="s">
        <v>729</v>
      </c>
      <c r="H15" s="6" t="s">
        <v>729</v>
      </c>
      <c r="I15" s="6" t="s">
        <v>729</v>
      </c>
      <c r="J15" s="6" t="s">
        <v>729</v>
      </c>
      <c r="K15" s="6" t="s">
        <v>729</v>
      </c>
      <c r="L15" s="6" t="s">
        <v>729</v>
      </c>
      <c r="M15" s="6" t="s">
        <v>729</v>
      </c>
      <c r="N15" s="6" t="s">
        <v>729</v>
      </c>
      <c r="O15" s="6" t="s">
        <v>729</v>
      </c>
      <c r="P15" s="6" t="s">
        <v>729</v>
      </c>
      <c r="Q15" s="6" t="s">
        <v>729</v>
      </c>
      <c r="R15" s="6" t="s">
        <v>729</v>
      </c>
      <c r="S15" s="6" t="s">
        <v>729</v>
      </c>
      <c r="T15" s="6" t="s">
        <v>729</v>
      </c>
      <c r="U15" s="6" t="s">
        <v>729</v>
      </c>
      <c r="V15" s="8" t="s">
        <v>729</v>
      </c>
    </row>
    <row r="16" ht="78" customHeight="1" spans="1:22">
      <c r="A16" s="16"/>
      <c r="B16" s="6" t="s">
        <v>729</v>
      </c>
      <c r="C16" s="6" t="s">
        <v>729</v>
      </c>
      <c r="D16" s="18" t="s">
        <v>794</v>
      </c>
      <c r="E16" s="6" t="s">
        <v>729</v>
      </c>
      <c r="F16" s="11" t="s">
        <v>756</v>
      </c>
      <c r="G16" s="11" t="s">
        <v>756</v>
      </c>
      <c r="H16" s="11" t="s">
        <v>752</v>
      </c>
      <c r="I16" s="11" t="s">
        <v>729</v>
      </c>
      <c r="J16" s="11" t="s">
        <v>729</v>
      </c>
      <c r="K16" s="11" t="s">
        <v>729</v>
      </c>
      <c r="L16" s="11" t="s">
        <v>729</v>
      </c>
      <c r="M16" s="11" t="s">
        <v>729</v>
      </c>
      <c r="N16" s="11" t="s">
        <v>729</v>
      </c>
      <c r="O16" s="11" t="s">
        <v>729</v>
      </c>
      <c r="P16" s="11" t="s">
        <v>729</v>
      </c>
      <c r="Q16" s="11" t="s">
        <v>729</v>
      </c>
      <c r="R16" s="11" t="s">
        <v>729</v>
      </c>
      <c r="S16" s="11" t="s">
        <v>729</v>
      </c>
      <c r="T16" s="11" t="s">
        <v>729</v>
      </c>
      <c r="U16" s="11" t="s">
        <v>729</v>
      </c>
      <c r="V16" s="12" t="s">
        <v>729</v>
      </c>
    </row>
    <row r="17" ht="18" customHeight="1" spans="1:22">
      <c r="A17" s="19" t="s">
        <v>696</v>
      </c>
      <c r="B17" s="20" t="s">
        <v>765</v>
      </c>
      <c r="C17" s="20"/>
      <c r="D17" s="20"/>
      <c r="E17" s="6" t="s">
        <v>729</v>
      </c>
      <c r="F17" s="11" t="s">
        <v>671</v>
      </c>
      <c r="G17" s="11" t="s">
        <v>671</v>
      </c>
      <c r="H17" s="11" t="s">
        <v>671</v>
      </c>
      <c r="I17" s="11" t="s">
        <v>729</v>
      </c>
      <c r="J17" s="11" t="s">
        <v>729</v>
      </c>
      <c r="K17" s="11" t="s">
        <v>729</v>
      </c>
      <c r="L17" s="11" t="s">
        <v>729</v>
      </c>
      <c r="M17" s="11" t="s">
        <v>729</v>
      </c>
      <c r="N17" s="11" t="s">
        <v>729</v>
      </c>
      <c r="O17" s="11" t="s">
        <v>729</v>
      </c>
      <c r="P17" s="11" t="s">
        <v>729</v>
      </c>
      <c r="Q17" s="11" t="s">
        <v>729</v>
      </c>
      <c r="R17" s="11" t="s">
        <v>729</v>
      </c>
      <c r="S17" s="11" t="s">
        <v>729</v>
      </c>
      <c r="T17" s="11" t="s">
        <v>729</v>
      </c>
      <c r="U17" s="11" t="s">
        <v>729</v>
      </c>
      <c r="V17" s="12" t="s">
        <v>729</v>
      </c>
    </row>
    <row r="18" ht="18" customHeight="1" spans="1:22">
      <c r="A18" s="19"/>
      <c r="B18" s="20" t="s">
        <v>698</v>
      </c>
      <c r="C18" s="20"/>
      <c r="D18" s="20"/>
      <c r="E18" s="6" t="s">
        <v>729</v>
      </c>
      <c r="F18" s="11" t="s">
        <v>766</v>
      </c>
      <c r="G18" s="11" t="s">
        <v>766</v>
      </c>
      <c r="H18" s="11" t="s">
        <v>766</v>
      </c>
      <c r="I18" s="11" t="s">
        <v>729</v>
      </c>
      <c r="J18" s="11" t="s">
        <v>729</v>
      </c>
      <c r="K18" s="11" t="s">
        <v>729</v>
      </c>
      <c r="L18" s="11" t="s">
        <v>729</v>
      </c>
      <c r="M18" s="11" t="s">
        <v>729</v>
      </c>
      <c r="N18" s="11" t="s">
        <v>729</v>
      </c>
      <c r="O18" s="11" t="s">
        <v>729</v>
      </c>
      <c r="P18" s="11" t="s">
        <v>729</v>
      </c>
      <c r="Q18" s="11" t="s">
        <v>729</v>
      </c>
      <c r="R18" s="11" t="s">
        <v>729</v>
      </c>
      <c r="S18" s="11" t="s">
        <v>729</v>
      </c>
      <c r="T18" s="11" t="s">
        <v>729</v>
      </c>
      <c r="U18" s="11" t="s">
        <v>729</v>
      </c>
      <c r="V18" s="12" t="s">
        <v>729</v>
      </c>
    </row>
    <row r="19" ht="18" customHeight="1" spans="1:22">
      <c r="A19" s="19"/>
      <c r="B19" s="20" t="s">
        <v>699</v>
      </c>
      <c r="C19" s="20"/>
      <c r="D19" s="20"/>
      <c r="E19" s="6" t="s">
        <v>729</v>
      </c>
      <c r="F19" s="6" t="s">
        <v>729</v>
      </c>
      <c r="G19" s="6" t="s">
        <v>729</v>
      </c>
      <c r="H19" s="6" t="s">
        <v>729</v>
      </c>
      <c r="I19" s="6" t="s">
        <v>729</v>
      </c>
      <c r="J19" s="6" t="s">
        <v>729</v>
      </c>
      <c r="K19" s="6" t="s">
        <v>729</v>
      </c>
      <c r="L19" s="6" t="s">
        <v>729</v>
      </c>
      <c r="M19" s="6" t="s">
        <v>729</v>
      </c>
      <c r="N19" s="6" t="s">
        <v>729</v>
      </c>
      <c r="O19" s="6" t="s">
        <v>729</v>
      </c>
      <c r="P19" s="6" t="s">
        <v>729</v>
      </c>
      <c r="Q19" s="6" t="s">
        <v>729</v>
      </c>
      <c r="R19" s="6" t="s">
        <v>729</v>
      </c>
      <c r="S19" s="6" t="s">
        <v>729</v>
      </c>
      <c r="T19" s="6" t="s">
        <v>729</v>
      </c>
      <c r="U19" s="6" t="s">
        <v>729</v>
      </c>
      <c r="V19" s="8" t="s">
        <v>729</v>
      </c>
    </row>
    <row r="20" ht="18" customHeight="1" spans="1:22">
      <c r="A20" s="19"/>
      <c r="B20" s="21" t="s">
        <v>700</v>
      </c>
      <c r="C20" s="21"/>
      <c r="D20" s="21"/>
      <c r="E20" s="22" t="s">
        <v>729</v>
      </c>
      <c r="F20" s="22" t="s">
        <v>729</v>
      </c>
      <c r="G20" s="22" t="s">
        <v>729</v>
      </c>
      <c r="H20" s="22" t="s">
        <v>729</v>
      </c>
      <c r="I20" s="22" t="s">
        <v>729</v>
      </c>
      <c r="J20" s="22" t="s">
        <v>729</v>
      </c>
      <c r="K20" s="22" t="s">
        <v>729</v>
      </c>
      <c r="L20" s="22" t="s">
        <v>729</v>
      </c>
      <c r="M20" s="22" t="s">
        <v>729</v>
      </c>
      <c r="N20" s="22" t="s">
        <v>729</v>
      </c>
      <c r="O20" s="22" t="s">
        <v>729</v>
      </c>
      <c r="P20" s="22" t="s">
        <v>729</v>
      </c>
      <c r="Q20" s="22" t="s">
        <v>729</v>
      </c>
      <c r="R20" s="22" t="s">
        <v>729</v>
      </c>
      <c r="S20" s="22" t="s">
        <v>729</v>
      </c>
      <c r="T20" s="22" t="s">
        <v>729</v>
      </c>
      <c r="U20" s="22" t="s">
        <v>729</v>
      </c>
      <c r="V20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7:D17"/>
    <mergeCell ref="B18:D18"/>
    <mergeCell ref="B19:D19"/>
    <mergeCell ref="B20:D20"/>
    <mergeCell ref="A7:A10"/>
    <mergeCell ref="A11:A16"/>
    <mergeCell ref="A17:A20"/>
  </mergeCells>
  <dataValidations count="3">
    <dataValidation type="list" allowBlank="1" sqref="F10:V10 F16:V16 F12:V14 F8:V9">
      <formula1>"O,-"</formula1>
    </dataValidation>
    <dataValidation type="list" allowBlank="1" sqref="F17:V17">
      <formula1>"N,A,B"</formula1>
    </dataValidation>
    <dataValidation type="list" allowBlank="1" sqref="F18:V18">
      <formula1>"P,F"</formula1>
    </dataValidation>
  </dataValidations>
  <pageMargins left="0.7" right="0.7" top="0.75" bottom="0.75" header="0.3" footer="0.3"/>
  <pageSetup paperSize="1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3"/>
  <sheetViews>
    <sheetView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78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99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795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3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3</v>
      </c>
      <c r="M5" s="11">
        <v>0</v>
      </c>
      <c r="N5" s="11">
        <v>0</v>
      </c>
      <c r="O5" s="12">
        <v>3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687</v>
      </c>
      <c r="H6" s="14" t="s">
        <v>688</v>
      </c>
      <c r="I6" s="14" t="s">
        <v>729</v>
      </c>
      <c r="J6" s="14" t="s">
        <v>729</v>
      </c>
      <c r="K6" s="14" t="s">
        <v>729</v>
      </c>
      <c r="L6" s="14" t="s">
        <v>729</v>
      </c>
      <c r="M6" s="14" t="s">
        <v>729</v>
      </c>
      <c r="N6" s="14" t="s">
        <v>729</v>
      </c>
      <c r="O6" s="14" t="s">
        <v>729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15.5" customHeight="1" spans="1:22">
      <c r="A7" s="16" t="s">
        <v>690</v>
      </c>
      <c r="B7" s="17" t="s">
        <v>750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40.5" customHeight="1" spans="1:22">
      <c r="A8" s="16"/>
      <c r="B8" s="6" t="s">
        <v>729</v>
      </c>
      <c r="C8" s="6" t="s">
        <v>729</v>
      </c>
      <c r="D8" s="18" t="s">
        <v>103</v>
      </c>
      <c r="E8" s="6" t="s">
        <v>729</v>
      </c>
      <c r="F8" s="11" t="s">
        <v>752</v>
      </c>
      <c r="G8" s="11" t="s">
        <v>752</v>
      </c>
      <c r="H8" s="11" t="s">
        <v>752</v>
      </c>
      <c r="I8" s="11" t="s">
        <v>729</v>
      </c>
      <c r="J8" s="11" t="s">
        <v>729</v>
      </c>
      <c r="K8" s="11" t="s">
        <v>729</v>
      </c>
      <c r="L8" s="11" t="s">
        <v>729</v>
      </c>
      <c r="M8" s="11" t="s">
        <v>729</v>
      </c>
      <c r="N8" s="11" t="s">
        <v>729</v>
      </c>
      <c r="O8" s="11" t="s">
        <v>729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15.5" customHeight="1" spans="1:22">
      <c r="A9" s="16"/>
      <c r="B9" s="17" t="s">
        <v>754</v>
      </c>
      <c r="C9" s="6" t="s">
        <v>729</v>
      </c>
      <c r="D9" s="6" t="s">
        <v>729</v>
      </c>
      <c r="E9" s="6" t="s">
        <v>729</v>
      </c>
      <c r="F9" s="6" t="s">
        <v>729</v>
      </c>
      <c r="G9" s="6" t="s">
        <v>729</v>
      </c>
      <c r="H9" s="6" t="s">
        <v>729</v>
      </c>
      <c r="I9" s="6" t="s">
        <v>729</v>
      </c>
      <c r="J9" s="6" t="s">
        <v>729</v>
      </c>
      <c r="K9" s="6" t="s">
        <v>729</v>
      </c>
      <c r="L9" s="6" t="s">
        <v>729</v>
      </c>
      <c r="M9" s="6" t="s">
        <v>729</v>
      </c>
      <c r="N9" s="6" t="s">
        <v>729</v>
      </c>
      <c r="O9" s="6" t="s">
        <v>729</v>
      </c>
      <c r="P9" s="6" t="s">
        <v>729</v>
      </c>
      <c r="Q9" s="6" t="s">
        <v>729</v>
      </c>
      <c r="R9" s="6" t="s">
        <v>729</v>
      </c>
      <c r="S9" s="6" t="s">
        <v>729</v>
      </c>
      <c r="T9" s="6" t="s">
        <v>729</v>
      </c>
      <c r="U9" s="6" t="s">
        <v>729</v>
      </c>
      <c r="V9" s="8" t="s">
        <v>729</v>
      </c>
    </row>
    <row r="10" ht="15.5" customHeight="1" spans="1:22">
      <c r="A10" s="16"/>
      <c r="B10" s="6" t="s">
        <v>729</v>
      </c>
      <c r="C10" s="6" t="s">
        <v>729</v>
      </c>
      <c r="D10" s="18" t="s">
        <v>755</v>
      </c>
      <c r="E10" s="6" t="s">
        <v>729</v>
      </c>
      <c r="F10" s="11" t="s">
        <v>752</v>
      </c>
      <c r="G10" s="11" t="s">
        <v>756</v>
      </c>
      <c r="H10" s="11" t="s">
        <v>756</v>
      </c>
      <c r="I10" s="11" t="s">
        <v>729</v>
      </c>
      <c r="J10" s="11" t="s">
        <v>729</v>
      </c>
      <c r="K10" s="11" t="s">
        <v>729</v>
      </c>
      <c r="L10" s="11" t="s">
        <v>729</v>
      </c>
      <c r="M10" s="11" t="s">
        <v>729</v>
      </c>
      <c r="N10" s="11" t="s">
        <v>729</v>
      </c>
      <c r="O10" s="11" t="s">
        <v>729</v>
      </c>
      <c r="P10" s="11" t="s">
        <v>729</v>
      </c>
      <c r="Q10" s="11" t="s">
        <v>729</v>
      </c>
      <c r="R10" s="11" t="s">
        <v>729</v>
      </c>
      <c r="S10" s="11" t="s">
        <v>729</v>
      </c>
      <c r="T10" s="11" t="s">
        <v>729</v>
      </c>
      <c r="U10" s="11" t="s">
        <v>729</v>
      </c>
      <c r="V10" s="12" t="s">
        <v>729</v>
      </c>
    </row>
    <row r="11" ht="15.5" customHeight="1" spans="1:22">
      <c r="A11" s="16"/>
      <c r="B11" s="6" t="s">
        <v>729</v>
      </c>
      <c r="C11" s="6" t="s">
        <v>729</v>
      </c>
      <c r="D11" s="18" t="s">
        <v>757</v>
      </c>
      <c r="E11" s="6" t="s">
        <v>729</v>
      </c>
      <c r="F11" s="11" t="s">
        <v>756</v>
      </c>
      <c r="G11" s="11" t="s">
        <v>752</v>
      </c>
      <c r="H11" s="11" t="s">
        <v>756</v>
      </c>
      <c r="I11" s="11" t="s">
        <v>729</v>
      </c>
      <c r="J11" s="11" t="s">
        <v>729</v>
      </c>
      <c r="K11" s="11" t="s">
        <v>729</v>
      </c>
      <c r="L11" s="11" t="s">
        <v>729</v>
      </c>
      <c r="M11" s="11" t="s">
        <v>729</v>
      </c>
      <c r="N11" s="11" t="s">
        <v>729</v>
      </c>
      <c r="O11" s="11" t="s">
        <v>729</v>
      </c>
      <c r="P11" s="11" t="s">
        <v>729</v>
      </c>
      <c r="Q11" s="11" t="s">
        <v>729</v>
      </c>
      <c r="R11" s="11" t="s">
        <v>729</v>
      </c>
      <c r="S11" s="11" t="s">
        <v>729</v>
      </c>
      <c r="T11" s="11" t="s">
        <v>729</v>
      </c>
      <c r="U11" s="11" t="s">
        <v>729</v>
      </c>
      <c r="V11" s="12" t="s">
        <v>729</v>
      </c>
    </row>
    <row r="12" ht="15.5" customHeight="1" spans="1:22">
      <c r="A12" s="16"/>
      <c r="B12" s="6" t="s">
        <v>729</v>
      </c>
      <c r="C12" s="6" t="s">
        <v>729</v>
      </c>
      <c r="D12" s="18" t="s">
        <v>758</v>
      </c>
      <c r="E12" s="6" t="s">
        <v>729</v>
      </c>
      <c r="F12" s="11" t="s">
        <v>756</v>
      </c>
      <c r="G12" s="11" t="s">
        <v>756</v>
      </c>
      <c r="H12" s="11" t="s">
        <v>752</v>
      </c>
      <c r="I12" s="11" t="s">
        <v>729</v>
      </c>
      <c r="J12" s="11" t="s">
        <v>729</v>
      </c>
      <c r="K12" s="11" t="s">
        <v>729</v>
      </c>
      <c r="L12" s="11" t="s">
        <v>729</v>
      </c>
      <c r="M12" s="11" t="s">
        <v>729</v>
      </c>
      <c r="N12" s="11" t="s">
        <v>729</v>
      </c>
      <c r="O12" s="11" t="s">
        <v>729</v>
      </c>
      <c r="P12" s="11" t="s">
        <v>729</v>
      </c>
      <c r="Q12" s="11" t="s">
        <v>729</v>
      </c>
      <c r="R12" s="11" t="s">
        <v>729</v>
      </c>
      <c r="S12" s="11" t="s">
        <v>729</v>
      </c>
      <c r="T12" s="11" t="s">
        <v>729</v>
      </c>
      <c r="U12" s="11" t="s">
        <v>729</v>
      </c>
      <c r="V12" s="12" t="s">
        <v>729</v>
      </c>
    </row>
    <row r="13" ht="15.5" customHeight="1" spans="1:22">
      <c r="A13" s="16"/>
      <c r="B13" s="17" t="s">
        <v>774</v>
      </c>
      <c r="C13" s="6" t="s">
        <v>729</v>
      </c>
      <c r="D13" s="6" t="s">
        <v>729</v>
      </c>
      <c r="E13" s="6" t="s">
        <v>729</v>
      </c>
      <c r="F13" s="6" t="s">
        <v>729</v>
      </c>
      <c r="G13" s="6" t="s">
        <v>729</v>
      </c>
      <c r="H13" s="6" t="s">
        <v>729</v>
      </c>
      <c r="I13" s="6" t="s">
        <v>729</v>
      </c>
      <c r="J13" s="6" t="s">
        <v>729</v>
      </c>
      <c r="K13" s="6" t="s">
        <v>729</v>
      </c>
      <c r="L13" s="6" t="s">
        <v>729</v>
      </c>
      <c r="M13" s="6" t="s">
        <v>729</v>
      </c>
      <c r="N13" s="6" t="s">
        <v>729</v>
      </c>
      <c r="O13" s="6" t="s">
        <v>729</v>
      </c>
      <c r="P13" s="6" t="s">
        <v>729</v>
      </c>
      <c r="Q13" s="6" t="s">
        <v>729</v>
      </c>
      <c r="R13" s="6" t="s">
        <v>729</v>
      </c>
      <c r="S13" s="6" t="s">
        <v>729</v>
      </c>
      <c r="T13" s="6" t="s">
        <v>729</v>
      </c>
      <c r="U13" s="6" t="s">
        <v>729</v>
      </c>
      <c r="V13" s="8" t="s">
        <v>729</v>
      </c>
    </row>
    <row r="14" ht="28" customHeight="1" spans="1:22">
      <c r="A14" s="16"/>
      <c r="B14" s="6" t="s">
        <v>729</v>
      </c>
      <c r="C14" s="6" t="s">
        <v>729</v>
      </c>
      <c r="D14" s="18" t="s">
        <v>775</v>
      </c>
      <c r="E14" s="6" t="s">
        <v>729</v>
      </c>
      <c r="F14" s="11" t="s">
        <v>752</v>
      </c>
      <c r="G14" s="11" t="s">
        <v>752</v>
      </c>
      <c r="H14" s="11" t="s">
        <v>752</v>
      </c>
      <c r="I14" s="11" t="s">
        <v>729</v>
      </c>
      <c r="J14" s="11" t="s">
        <v>729</v>
      </c>
      <c r="K14" s="11" t="s">
        <v>729</v>
      </c>
      <c r="L14" s="11" t="s">
        <v>729</v>
      </c>
      <c r="M14" s="11" t="s">
        <v>729</v>
      </c>
      <c r="N14" s="11" t="s">
        <v>729</v>
      </c>
      <c r="O14" s="11" t="s">
        <v>729</v>
      </c>
      <c r="P14" s="11" t="s">
        <v>729</v>
      </c>
      <c r="Q14" s="11" t="s">
        <v>729</v>
      </c>
      <c r="R14" s="11" t="s">
        <v>729</v>
      </c>
      <c r="S14" s="11" t="s">
        <v>729</v>
      </c>
      <c r="T14" s="11" t="s">
        <v>729</v>
      </c>
      <c r="U14" s="11" t="s">
        <v>729</v>
      </c>
      <c r="V14" s="12" t="s">
        <v>729</v>
      </c>
    </row>
    <row r="15" ht="15.5" customHeight="1" spans="1:22">
      <c r="A15" s="16" t="s">
        <v>692</v>
      </c>
      <c r="B15" s="17" t="s">
        <v>693</v>
      </c>
      <c r="C15" s="6" t="s">
        <v>729</v>
      </c>
      <c r="D15" s="6" t="s">
        <v>729</v>
      </c>
      <c r="E15" s="6" t="s">
        <v>729</v>
      </c>
      <c r="F15" s="6" t="s">
        <v>729</v>
      </c>
      <c r="G15" s="6" t="s">
        <v>729</v>
      </c>
      <c r="H15" s="6" t="s">
        <v>729</v>
      </c>
      <c r="I15" s="6" t="s">
        <v>729</v>
      </c>
      <c r="J15" s="6" t="s">
        <v>729</v>
      </c>
      <c r="K15" s="6" t="s">
        <v>729</v>
      </c>
      <c r="L15" s="6" t="s">
        <v>729</v>
      </c>
      <c r="M15" s="6" t="s">
        <v>729</v>
      </c>
      <c r="N15" s="6" t="s">
        <v>729</v>
      </c>
      <c r="O15" s="6" t="s">
        <v>729</v>
      </c>
      <c r="P15" s="6" t="s">
        <v>729</v>
      </c>
      <c r="Q15" s="6" t="s">
        <v>729</v>
      </c>
      <c r="R15" s="6" t="s">
        <v>729</v>
      </c>
      <c r="S15" s="6" t="s">
        <v>729</v>
      </c>
      <c r="T15" s="6" t="s">
        <v>729</v>
      </c>
      <c r="U15" s="6" t="s">
        <v>729</v>
      </c>
      <c r="V15" s="8" t="s">
        <v>729</v>
      </c>
    </row>
    <row r="16" ht="65.5" customHeight="1" spans="1:22">
      <c r="A16" s="16"/>
      <c r="B16" s="6" t="s">
        <v>729</v>
      </c>
      <c r="C16" s="6" t="s">
        <v>729</v>
      </c>
      <c r="D16" s="18" t="s">
        <v>796</v>
      </c>
      <c r="E16" s="6" t="s">
        <v>729</v>
      </c>
      <c r="F16" s="11" t="s">
        <v>752</v>
      </c>
      <c r="G16" s="11" t="s">
        <v>752</v>
      </c>
      <c r="H16" s="11" t="s">
        <v>752</v>
      </c>
      <c r="I16" s="11" t="s">
        <v>729</v>
      </c>
      <c r="J16" s="11" t="s">
        <v>729</v>
      </c>
      <c r="K16" s="11" t="s">
        <v>729</v>
      </c>
      <c r="L16" s="11" t="s">
        <v>729</v>
      </c>
      <c r="M16" s="11" t="s">
        <v>729</v>
      </c>
      <c r="N16" s="11" t="s">
        <v>729</v>
      </c>
      <c r="O16" s="11" t="s">
        <v>729</v>
      </c>
      <c r="P16" s="11" t="s">
        <v>729</v>
      </c>
      <c r="Q16" s="11" t="s">
        <v>729</v>
      </c>
      <c r="R16" s="11" t="s">
        <v>729</v>
      </c>
      <c r="S16" s="11" t="s">
        <v>729</v>
      </c>
      <c r="T16" s="11" t="s">
        <v>729</v>
      </c>
      <c r="U16" s="11" t="s">
        <v>729</v>
      </c>
      <c r="V16" s="12" t="s">
        <v>729</v>
      </c>
    </row>
    <row r="17" ht="65.5" customHeight="1" spans="1:22">
      <c r="A17" s="16"/>
      <c r="B17" s="6" t="s">
        <v>729</v>
      </c>
      <c r="C17" s="6" t="s">
        <v>729</v>
      </c>
      <c r="D17" s="18" t="s">
        <v>797</v>
      </c>
      <c r="E17" s="6" t="s">
        <v>729</v>
      </c>
      <c r="F17" s="11" t="s">
        <v>752</v>
      </c>
      <c r="G17" s="11" t="s">
        <v>752</v>
      </c>
      <c r="H17" s="11" t="s">
        <v>752</v>
      </c>
      <c r="I17" s="11" t="s">
        <v>729</v>
      </c>
      <c r="J17" s="11" t="s">
        <v>729</v>
      </c>
      <c r="K17" s="11" t="s">
        <v>729</v>
      </c>
      <c r="L17" s="11" t="s">
        <v>729</v>
      </c>
      <c r="M17" s="11" t="s">
        <v>729</v>
      </c>
      <c r="N17" s="11" t="s">
        <v>729</v>
      </c>
      <c r="O17" s="11" t="s">
        <v>729</v>
      </c>
      <c r="P17" s="11" t="s">
        <v>729</v>
      </c>
      <c r="Q17" s="11" t="s">
        <v>729</v>
      </c>
      <c r="R17" s="11" t="s">
        <v>729</v>
      </c>
      <c r="S17" s="11" t="s">
        <v>729</v>
      </c>
      <c r="T17" s="11" t="s">
        <v>729</v>
      </c>
      <c r="U17" s="11" t="s">
        <v>729</v>
      </c>
      <c r="V17" s="12" t="s">
        <v>729</v>
      </c>
    </row>
    <row r="18" ht="15.5" customHeight="1" spans="1:22">
      <c r="A18" s="16"/>
      <c r="B18" s="17" t="s">
        <v>695</v>
      </c>
      <c r="C18" s="6" t="s">
        <v>729</v>
      </c>
      <c r="D18" s="6" t="s">
        <v>729</v>
      </c>
      <c r="E18" s="6" t="s">
        <v>729</v>
      </c>
      <c r="F18" s="6" t="s">
        <v>729</v>
      </c>
      <c r="G18" s="6" t="s">
        <v>729</v>
      </c>
      <c r="H18" s="6" t="s">
        <v>729</v>
      </c>
      <c r="I18" s="6" t="s">
        <v>729</v>
      </c>
      <c r="J18" s="6" t="s">
        <v>729</v>
      </c>
      <c r="K18" s="6" t="s">
        <v>729</v>
      </c>
      <c r="L18" s="6" t="s">
        <v>729</v>
      </c>
      <c r="M18" s="6" t="s">
        <v>729</v>
      </c>
      <c r="N18" s="6" t="s">
        <v>729</v>
      </c>
      <c r="O18" s="6" t="s">
        <v>729</v>
      </c>
      <c r="P18" s="6" t="s">
        <v>729</v>
      </c>
      <c r="Q18" s="6" t="s">
        <v>729</v>
      </c>
      <c r="R18" s="6" t="s">
        <v>729</v>
      </c>
      <c r="S18" s="6" t="s">
        <v>729</v>
      </c>
      <c r="T18" s="6" t="s">
        <v>729</v>
      </c>
      <c r="U18" s="6" t="s">
        <v>729</v>
      </c>
      <c r="V18" s="8" t="s">
        <v>729</v>
      </c>
    </row>
    <row r="19" ht="53" customHeight="1" spans="1:22">
      <c r="A19" s="16"/>
      <c r="B19" s="6" t="s">
        <v>729</v>
      </c>
      <c r="C19" s="6" t="s">
        <v>729</v>
      </c>
      <c r="D19" s="18" t="s">
        <v>798</v>
      </c>
      <c r="E19" s="6" t="s">
        <v>729</v>
      </c>
      <c r="F19" s="11" t="s">
        <v>752</v>
      </c>
      <c r="G19" s="11" t="s">
        <v>752</v>
      </c>
      <c r="H19" s="11" t="s">
        <v>752</v>
      </c>
      <c r="I19" s="11" t="s">
        <v>729</v>
      </c>
      <c r="J19" s="11" t="s">
        <v>729</v>
      </c>
      <c r="K19" s="11" t="s">
        <v>729</v>
      </c>
      <c r="L19" s="11" t="s">
        <v>729</v>
      </c>
      <c r="M19" s="11" t="s">
        <v>729</v>
      </c>
      <c r="N19" s="11" t="s">
        <v>729</v>
      </c>
      <c r="O19" s="11" t="s">
        <v>729</v>
      </c>
      <c r="P19" s="11" t="s">
        <v>729</v>
      </c>
      <c r="Q19" s="11" t="s">
        <v>729</v>
      </c>
      <c r="R19" s="11" t="s">
        <v>729</v>
      </c>
      <c r="S19" s="11" t="s">
        <v>729</v>
      </c>
      <c r="T19" s="11" t="s">
        <v>729</v>
      </c>
      <c r="U19" s="11" t="s">
        <v>729</v>
      </c>
      <c r="V19" s="12" t="s">
        <v>729</v>
      </c>
    </row>
    <row r="20" ht="18" customHeight="1" spans="1:22">
      <c r="A20" s="19" t="s">
        <v>696</v>
      </c>
      <c r="B20" s="20" t="s">
        <v>765</v>
      </c>
      <c r="C20" s="20"/>
      <c r="D20" s="20"/>
      <c r="E20" s="6" t="s">
        <v>729</v>
      </c>
      <c r="F20" s="11" t="s">
        <v>670</v>
      </c>
      <c r="G20" s="11" t="s">
        <v>670</v>
      </c>
      <c r="H20" s="11" t="s">
        <v>670</v>
      </c>
      <c r="I20" s="11" t="s">
        <v>729</v>
      </c>
      <c r="J20" s="11" t="s">
        <v>729</v>
      </c>
      <c r="K20" s="11" t="s">
        <v>729</v>
      </c>
      <c r="L20" s="11" t="s">
        <v>729</v>
      </c>
      <c r="M20" s="11" t="s">
        <v>729</v>
      </c>
      <c r="N20" s="11" t="s">
        <v>729</v>
      </c>
      <c r="O20" s="11" t="s">
        <v>729</v>
      </c>
      <c r="P20" s="11" t="s">
        <v>729</v>
      </c>
      <c r="Q20" s="11" t="s">
        <v>729</v>
      </c>
      <c r="R20" s="11" t="s">
        <v>729</v>
      </c>
      <c r="S20" s="11" t="s">
        <v>729</v>
      </c>
      <c r="T20" s="11" t="s">
        <v>729</v>
      </c>
      <c r="U20" s="11" t="s">
        <v>729</v>
      </c>
      <c r="V20" s="12" t="s">
        <v>729</v>
      </c>
    </row>
    <row r="21" ht="18" customHeight="1" spans="1:22">
      <c r="A21" s="19"/>
      <c r="B21" s="20" t="s">
        <v>698</v>
      </c>
      <c r="C21" s="20"/>
      <c r="D21" s="20"/>
      <c r="E21" s="6" t="s">
        <v>729</v>
      </c>
      <c r="F21" s="11" t="s">
        <v>766</v>
      </c>
      <c r="G21" s="11" t="s">
        <v>766</v>
      </c>
      <c r="H21" s="11" t="s">
        <v>766</v>
      </c>
      <c r="I21" s="11" t="s">
        <v>729</v>
      </c>
      <c r="J21" s="11" t="s">
        <v>729</v>
      </c>
      <c r="K21" s="11" t="s">
        <v>729</v>
      </c>
      <c r="L21" s="11" t="s">
        <v>729</v>
      </c>
      <c r="M21" s="11" t="s">
        <v>729</v>
      </c>
      <c r="N21" s="11" t="s">
        <v>729</v>
      </c>
      <c r="O21" s="11" t="s">
        <v>729</v>
      </c>
      <c r="P21" s="11" t="s">
        <v>729</v>
      </c>
      <c r="Q21" s="11" t="s">
        <v>729</v>
      </c>
      <c r="R21" s="11" t="s">
        <v>729</v>
      </c>
      <c r="S21" s="11" t="s">
        <v>729</v>
      </c>
      <c r="T21" s="11" t="s">
        <v>729</v>
      </c>
      <c r="U21" s="11" t="s">
        <v>729</v>
      </c>
      <c r="V21" s="12" t="s">
        <v>729</v>
      </c>
    </row>
    <row r="22" ht="18" customHeight="1" spans="1:22">
      <c r="A22" s="19"/>
      <c r="B22" s="20" t="s">
        <v>699</v>
      </c>
      <c r="C22" s="20"/>
      <c r="D22" s="20"/>
      <c r="E22" s="6" t="s">
        <v>729</v>
      </c>
      <c r="F22" s="6" t="s">
        <v>729</v>
      </c>
      <c r="G22" s="6" t="s">
        <v>729</v>
      </c>
      <c r="H22" s="6" t="s">
        <v>729</v>
      </c>
      <c r="I22" s="6" t="s">
        <v>729</v>
      </c>
      <c r="J22" s="6" t="s">
        <v>729</v>
      </c>
      <c r="K22" s="6" t="s">
        <v>729</v>
      </c>
      <c r="L22" s="6" t="s">
        <v>729</v>
      </c>
      <c r="M22" s="6" t="s">
        <v>729</v>
      </c>
      <c r="N22" s="6" t="s">
        <v>729</v>
      </c>
      <c r="O22" s="6" t="s">
        <v>729</v>
      </c>
      <c r="P22" s="6" t="s">
        <v>729</v>
      </c>
      <c r="Q22" s="6" t="s">
        <v>729</v>
      </c>
      <c r="R22" s="6" t="s">
        <v>729</v>
      </c>
      <c r="S22" s="6" t="s">
        <v>729</v>
      </c>
      <c r="T22" s="6" t="s">
        <v>729</v>
      </c>
      <c r="U22" s="6" t="s">
        <v>729</v>
      </c>
      <c r="V22" s="8" t="s">
        <v>729</v>
      </c>
    </row>
    <row r="23" ht="18" customHeight="1" spans="1:22">
      <c r="A23" s="19"/>
      <c r="B23" s="21" t="s">
        <v>700</v>
      </c>
      <c r="C23" s="21"/>
      <c r="D23" s="21"/>
      <c r="E23" s="22" t="s">
        <v>729</v>
      </c>
      <c r="F23" s="22" t="s">
        <v>729</v>
      </c>
      <c r="G23" s="22" t="s">
        <v>729</v>
      </c>
      <c r="H23" s="22" t="s">
        <v>729</v>
      </c>
      <c r="I23" s="22" t="s">
        <v>729</v>
      </c>
      <c r="J23" s="22" t="s">
        <v>729</v>
      </c>
      <c r="K23" s="22" t="s">
        <v>729</v>
      </c>
      <c r="L23" s="22" t="s">
        <v>729</v>
      </c>
      <c r="M23" s="22" t="s">
        <v>729</v>
      </c>
      <c r="N23" s="22" t="s">
        <v>729</v>
      </c>
      <c r="O23" s="22" t="s">
        <v>729</v>
      </c>
      <c r="P23" s="22" t="s">
        <v>729</v>
      </c>
      <c r="Q23" s="22" t="s">
        <v>729</v>
      </c>
      <c r="R23" s="22" t="s">
        <v>729</v>
      </c>
      <c r="S23" s="22" t="s">
        <v>729</v>
      </c>
      <c r="T23" s="22" t="s">
        <v>729</v>
      </c>
      <c r="U23" s="22" t="s">
        <v>729</v>
      </c>
      <c r="V23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20:D20"/>
    <mergeCell ref="B21:D21"/>
    <mergeCell ref="B22:D22"/>
    <mergeCell ref="B23:D23"/>
    <mergeCell ref="A7:A14"/>
    <mergeCell ref="A15:A19"/>
    <mergeCell ref="A20:A23"/>
  </mergeCells>
  <dataValidations count="3">
    <dataValidation type="list" allowBlank="1" sqref="F8:V8 F14:V14 F19:V19 F10:V12 F16:V17">
      <formula1>"O,-"</formula1>
    </dataValidation>
    <dataValidation type="list" allowBlank="1" sqref="F20:V20">
      <formula1>"N,A,B"</formula1>
    </dataValidation>
    <dataValidation type="list" allowBlank="1" sqref="F21:V21">
      <formula1>"P,F"</formula1>
    </dataValidation>
  </dataValidations>
  <pageMargins left="0.7" right="0.7" top="0.75" bottom="0.75" header="0.3" footer="0.3"/>
  <pageSetup paperSize="1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0"/>
  <sheetViews>
    <sheetView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78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104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799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3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2</v>
      </c>
      <c r="M5" s="11">
        <v>0</v>
      </c>
      <c r="N5" s="11">
        <v>1</v>
      </c>
      <c r="O5" s="12">
        <v>3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687</v>
      </c>
      <c r="H6" s="14" t="s">
        <v>688</v>
      </c>
      <c r="I6" s="14" t="s">
        <v>729</v>
      </c>
      <c r="J6" s="14" t="s">
        <v>729</v>
      </c>
      <c r="K6" s="14" t="s">
        <v>729</v>
      </c>
      <c r="L6" s="14" t="s">
        <v>729</v>
      </c>
      <c r="M6" s="14" t="s">
        <v>729</v>
      </c>
      <c r="N6" s="14" t="s">
        <v>729</v>
      </c>
      <c r="O6" s="14" t="s">
        <v>729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15.5" customHeight="1" spans="1:22">
      <c r="A7" s="16" t="s">
        <v>690</v>
      </c>
      <c r="B7" s="17" t="s">
        <v>800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40.5" customHeight="1" spans="1:22">
      <c r="A8" s="16"/>
      <c r="B8" s="6" t="s">
        <v>729</v>
      </c>
      <c r="C8" s="6" t="s">
        <v>729</v>
      </c>
      <c r="D8" s="18" t="s">
        <v>801</v>
      </c>
      <c r="E8" s="6" t="s">
        <v>729</v>
      </c>
      <c r="F8" s="11" t="s">
        <v>752</v>
      </c>
      <c r="G8" s="11" t="s">
        <v>756</v>
      </c>
      <c r="H8" s="11" t="s">
        <v>756</v>
      </c>
      <c r="I8" s="11" t="s">
        <v>729</v>
      </c>
      <c r="J8" s="11" t="s">
        <v>729</v>
      </c>
      <c r="K8" s="11" t="s">
        <v>729</v>
      </c>
      <c r="L8" s="11" t="s">
        <v>729</v>
      </c>
      <c r="M8" s="11" t="s">
        <v>729</v>
      </c>
      <c r="N8" s="11" t="s">
        <v>729</v>
      </c>
      <c r="O8" s="11" t="s">
        <v>729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40.5" customHeight="1" spans="1:22">
      <c r="A9" s="16"/>
      <c r="B9" s="6" t="s">
        <v>729</v>
      </c>
      <c r="C9" s="6" t="s">
        <v>729</v>
      </c>
      <c r="D9" s="18" t="s">
        <v>802</v>
      </c>
      <c r="E9" s="6" t="s">
        <v>729</v>
      </c>
      <c r="F9" s="11" t="s">
        <v>756</v>
      </c>
      <c r="G9" s="11" t="s">
        <v>752</v>
      </c>
      <c r="H9" s="11" t="s">
        <v>756</v>
      </c>
      <c r="I9" s="11" t="s">
        <v>729</v>
      </c>
      <c r="J9" s="11" t="s">
        <v>729</v>
      </c>
      <c r="K9" s="11" t="s">
        <v>729</v>
      </c>
      <c r="L9" s="11" t="s">
        <v>729</v>
      </c>
      <c r="M9" s="11" t="s">
        <v>729</v>
      </c>
      <c r="N9" s="11" t="s">
        <v>729</v>
      </c>
      <c r="O9" s="11" t="s">
        <v>729</v>
      </c>
      <c r="P9" s="11" t="s">
        <v>729</v>
      </c>
      <c r="Q9" s="11" t="s">
        <v>729</v>
      </c>
      <c r="R9" s="11" t="s">
        <v>729</v>
      </c>
      <c r="S9" s="11" t="s">
        <v>729</v>
      </c>
      <c r="T9" s="11" t="s">
        <v>729</v>
      </c>
      <c r="U9" s="11" t="s">
        <v>729</v>
      </c>
      <c r="V9" s="12" t="s">
        <v>729</v>
      </c>
    </row>
    <row r="10" ht="28" customHeight="1" spans="1:22">
      <c r="A10" s="16"/>
      <c r="B10" s="6" t="s">
        <v>729</v>
      </c>
      <c r="C10" s="6" t="s">
        <v>729</v>
      </c>
      <c r="D10" s="18" t="s">
        <v>803</v>
      </c>
      <c r="E10" s="6" t="s">
        <v>729</v>
      </c>
      <c r="F10" s="11" t="s">
        <v>756</v>
      </c>
      <c r="G10" s="11" t="s">
        <v>756</v>
      </c>
      <c r="H10" s="11" t="s">
        <v>752</v>
      </c>
      <c r="I10" s="11" t="s">
        <v>729</v>
      </c>
      <c r="J10" s="11" t="s">
        <v>729</v>
      </c>
      <c r="K10" s="11" t="s">
        <v>729</v>
      </c>
      <c r="L10" s="11" t="s">
        <v>729</v>
      </c>
      <c r="M10" s="11" t="s">
        <v>729</v>
      </c>
      <c r="N10" s="11" t="s">
        <v>729</v>
      </c>
      <c r="O10" s="11" t="s">
        <v>729</v>
      </c>
      <c r="P10" s="11" t="s">
        <v>729</v>
      </c>
      <c r="Q10" s="11" t="s">
        <v>729</v>
      </c>
      <c r="R10" s="11" t="s">
        <v>729</v>
      </c>
      <c r="S10" s="11" t="s">
        <v>729</v>
      </c>
      <c r="T10" s="11" t="s">
        <v>729</v>
      </c>
      <c r="U10" s="11" t="s">
        <v>729</v>
      </c>
      <c r="V10" s="12" t="s">
        <v>729</v>
      </c>
    </row>
    <row r="11" ht="15.5" customHeight="1" spans="1:22">
      <c r="A11" s="16"/>
      <c r="B11" s="17" t="s">
        <v>774</v>
      </c>
      <c r="C11" s="6" t="s">
        <v>729</v>
      </c>
      <c r="D11" s="6" t="s">
        <v>729</v>
      </c>
      <c r="E11" s="6" t="s">
        <v>729</v>
      </c>
      <c r="F11" s="6" t="s">
        <v>729</v>
      </c>
      <c r="G11" s="6" t="s">
        <v>729</v>
      </c>
      <c r="H11" s="6" t="s">
        <v>729</v>
      </c>
      <c r="I11" s="6" t="s">
        <v>729</v>
      </c>
      <c r="J11" s="6" t="s">
        <v>729</v>
      </c>
      <c r="K11" s="6" t="s">
        <v>729</v>
      </c>
      <c r="L11" s="6" t="s">
        <v>729</v>
      </c>
      <c r="M11" s="6" t="s">
        <v>729</v>
      </c>
      <c r="N11" s="6" t="s">
        <v>729</v>
      </c>
      <c r="O11" s="6" t="s">
        <v>729</v>
      </c>
      <c r="P11" s="6" t="s">
        <v>729</v>
      </c>
      <c r="Q11" s="6" t="s">
        <v>729</v>
      </c>
      <c r="R11" s="6" t="s">
        <v>729</v>
      </c>
      <c r="S11" s="6" t="s">
        <v>729</v>
      </c>
      <c r="T11" s="6" t="s">
        <v>729</v>
      </c>
      <c r="U11" s="6" t="s">
        <v>729</v>
      </c>
      <c r="V11" s="8" t="s">
        <v>729</v>
      </c>
    </row>
    <row r="12" ht="28" customHeight="1" spans="1:22">
      <c r="A12" s="16"/>
      <c r="B12" s="6" t="s">
        <v>729</v>
      </c>
      <c r="C12" s="6" t="s">
        <v>729</v>
      </c>
      <c r="D12" s="18" t="s">
        <v>804</v>
      </c>
      <c r="E12" s="6" t="s">
        <v>729</v>
      </c>
      <c r="F12" s="11" t="s">
        <v>752</v>
      </c>
      <c r="G12" s="11" t="s">
        <v>752</v>
      </c>
      <c r="H12" s="11" t="s">
        <v>752</v>
      </c>
      <c r="I12" s="11" t="s">
        <v>729</v>
      </c>
      <c r="J12" s="11" t="s">
        <v>729</v>
      </c>
      <c r="K12" s="11" t="s">
        <v>729</v>
      </c>
      <c r="L12" s="11" t="s">
        <v>729</v>
      </c>
      <c r="M12" s="11" t="s">
        <v>729</v>
      </c>
      <c r="N12" s="11" t="s">
        <v>729</v>
      </c>
      <c r="O12" s="11" t="s">
        <v>729</v>
      </c>
      <c r="P12" s="11" t="s">
        <v>729</v>
      </c>
      <c r="Q12" s="11" t="s">
        <v>729</v>
      </c>
      <c r="R12" s="11" t="s">
        <v>729</v>
      </c>
      <c r="S12" s="11" t="s">
        <v>729</v>
      </c>
      <c r="T12" s="11" t="s">
        <v>729</v>
      </c>
      <c r="U12" s="11" t="s">
        <v>729</v>
      </c>
      <c r="V12" s="12" t="s">
        <v>729</v>
      </c>
    </row>
    <row r="13" ht="15.5" customHeight="1" spans="1:22">
      <c r="A13" s="16" t="s">
        <v>692</v>
      </c>
      <c r="B13" s="17" t="s">
        <v>693</v>
      </c>
      <c r="C13" s="6" t="s">
        <v>729</v>
      </c>
      <c r="D13" s="6" t="s">
        <v>729</v>
      </c>
      <c r="E13" s="6" t="s">
        <v>729</v>
      </c>
      <c r="F13" s="6" t="s">
        <v>729</v>
      </c>
      <c r="G13" s="6" t="s">
        <v>729</v>
      </c>
      <c r="H13" s="6" t="s">
        <v>729</v>
      </c>
      <c r="I13" s="6" t="s">
        <v>729</v>
      </c>
      <c r="J13" s="6" t="s">
        <v>729</v>
      </c>
      <c r="K13" s="6" t="s">
        <v>729</v>
      </c>
      <c r="L13" s="6" t="s">
        <v>729</v>
      </c>
      <c r="M13" s="6" t="s">
        <v>729</v>
      </c>
      <c r="N13" s="6" t="s">
        <v>729</v>
      </c>
      <c r="O13" s="6" t="s">
        <v>729</v>
      </c>
      <c r="P13" s="6" t="s">
        <v>729</v>
      </c>
      <c r="Q13" s="6" t="s">
        <v>729</v>
      </c>
      <c r="R13" s="6" t="s">
        <v>729</v>
      </c>
      <c r="S13" s="6" t="s">
        <v>729</v>
      </c>
      <c r="T13" s="6" t="s">
        <v>729</v>
      </c>
      <c r="U13" s="6" t="s">
        <v>729</v>
      </c>
      <c r="V13" s="8" t="s">
        <v>729</v>
      </c>
    </row>
    <row r="14" ht="53" customHeight="1" spans="1:22">
      <c r="A14" s="16"/>
      <c r="B14" s="6" t="s">
        <v>729</v>
      </c>
      <c r="C14" s="6" t="s">
        <v>729</v>
      </c>
      <c r="D14" s="18" t="s">
        <v>805</v>
      </c>
      <c r="E14" s="6" t="s">
        <v>729</v>
      </c>
      <c r="F14" s="11" t="s">
        <v>752</v>
      </c>
      <c r="G14" s="11" t="s">
        <v>756</v>
      </c>
      <c r="H14" s="11" t="s">
        <v>752</v>
      </c>
      <c r="I14" s="11" t="s">
        <v>729</v>
      </c>
      <c r="J14" s="11" t="s">
        <v>729</v>
      </c>
      <c r="K14" s="11" t="s">
        <v>729</v>
      </c>
      <c r="L14" s="11" t="s">
        <v>729</v>
      </c>
      <c r="M14" s="11" t="s">
        <v>729</v>
      </c>
      <c r="N14" s="11" t="s">
        <v>729</v>
      </c>
      <c r="O14" s="11" t="s">
        <v>729</v>
      </c>
      <c r="P14" s="11" t="s">
        <v>729</v>
      </c>
      <c r="Q14" s="11" t="s">
        <v>729</v>
      </c>
      <c r="R14" s="11" t="s">
        <v>729</v>
      </c>
      <c r="S14" s="11" t="s">
        <v>729</v>
      </c>
      <c r="T14" s="11" t="s">
        <v>729</v>
      </c>
      <c r="U14" s="11" t="s">
        <v>729</v>
      </c>
      <c r="V14" s="12" t="s">
        <v>729</v>
      </c>
    </row>
    <row r="15" ht="40.5" customHeight="1" spans="1:22">
      <c r="A15" s="16"/>
      <c r="B15" s="6" t="s">
        <v>729</v>
      </c>
      <c r="C15" s="6" t="s">
        <v>729</v>
      </c>
      <c r="D15" s="18" t="s">
        <v>806</v>
      </c>
      <c r="E15" s="6" t="s">
        <v>729</v>
      </c>
      <c r="F15" s="11" t="s">
        <v>756</v>
      </c>
      <c r="G15" s="11" t="s">
        <v>752</v>
      </c>
      <c r="H15" s="11" t="s">
        <v>756</v>
      </c>
      <c r="I15" s="11" t="s">
        <v>729</v>
      </c>
      <c r="J15" s="11" t="s">
        <v>729</v>
      </c>
      <c r="K15" s="11" t="s">
        <v>729</v>
      </c>
      <c r="L15" s="11" t="s">
        <v>729</v>
      </c>
      <c r="M15" s="11" t="s">
        <v>729</v>
      </c>
      <c r="N15" s="11" t="s">
        <v>729</v>
      </c>
      <c r="O15" s="11" t="s">
        <v>729</v>
      </c>
      <c r="P15" s="11" t="s">
        <v>729</v>
      </c>
      <c r="Q15" s="11" t="s">
        <v>729</v>
      </c>
      <c r="R15" s="11" t="s">
        <v>729</v>
      </c>
      <c r="S15" s="11" t="s">
        <v>729</v>
      </c>
      <c r="T15" s="11" t="s">
        <v>729</v>
      </c>
      <c r="U15" s="11" t="s">
        <v>729</v>
      </c>
      <c r="V15" s="12" t="s">
        <v>729</v>
      </c>
    </row>
    <row r="16" ht="53" customHeight="1" spans="1:22">
      <c r="A16" s="16"/>
      <c r="B16" s="6" t="s">
        <v>729</v>
      </c>
      <c r="C16" s="6" t="s">
        <v>729</v>
      </c>
      <c r="D16" s="18" t="s">
        <v>807</v>
      </c>
      <c r="E16" s="6" t="s">
        <v>729</v>
      </c>
      <c r="F16" s="11" t="s">
        <v>756</v>
      </c>
      <c r="G16" s="11" t="s">
        <v>756</v>
      </c>
      <c r="H16" s="11" t="s">
        <v>752</v>
      </c>
      <c r="I16" s="11" t="s">
        <v>729</v>
      </c>
      <c r="J16" s="11" t="s">
        <v>729</v>
      </c>
      <c r="K16" s="11" t="s">
        <v>729</v>
      </c>
      <c r="L16" s="11" t="s">
        <v>729</v>
      </c>
      <c r="M16" s="11" t="s">
        <v>729</v>
      </c>
      <c r="N16" s="11" t="s">
        <v>729</v>
      </c>
      <c r="O16" s="11" t="s">
        <v>729</v>
      </c>
      <c r="P16" s="11" t="s">
        <v>729</v>
      </c>
      <c r="Q16" s="11" t="s">
        <v>729</v>
      </c>
      <c r="R16" s="11" t="s">
        <v>729</v>
      </c>
      <c r="S16" s="11" t="s">
        <v>729</v>
      </c>
      <c r="T16" s="11" t="s">
        <v>729</v>
      </c>
      <c r="U16" s="11" t="s">
        <v>729</v>
      </c>
      <c r="V16" s="12" t="s">
        <v>729</v>
      </c>
    </row>
    <row r="17" ht="18" customHeight="1" spans="1:22">
      <c r="A17" s="19" t="s">
        <v>696</v>
      </c>
      <c r="B17" s="20" t="s">
        <v>765</v>
      </c>
      <c r="C17" s="20"/>
      <c r="D17" s="20"/>
      <c r="E17" s="6" t="s">
        <v>729</v>
      </c>
      <c r="F17" s="11" t="s">
        <v>670</v>
      </c>
      <c r="G17" s="11" t="s">
        <v>670</v>
      </c>
      <c r="H17" s="11" t="s">
        <v>671</v>
      </c>
      <c r="I17" s="11" t="s">
        <v>729</v>
      </c>
      <c r="J17" s="11" t="s">
        <v>729</v>
      </c>
      <c r="K17" s="11" t="s">
        <v>729</v>
      </c>
      <c r="L17" s="11" t="s">
        <v>729</v>
      </c>
      <c r="M17" s="11" t="s">
        <v>729</v>
      </c>
      <c r="N17" s="11" t="s">
        <v>729</v>
      </c>
      <c r="O17" s="11" t="s">
        <v>729</v>
      </c>
      <c r="P17" s="11" t="s">
        <v>729</v>
      </c>
      <c r="Q17" s="11" t="s">
        <v>729</v>
      </c>
      <c r="R17" s="11" t="s">
        <v>729</v>
      </c>
      <c r="S17" s="11" t="s">
        <v>729</v>
      </c>
      <c r="T17" s="11" t="s">
        <v>729</v>
      </c>
      <c r="U17" s="11" t="s">
        <v>729</v>
      </c>
      <c r="V17" s="12" t="s">
        <v>729</v>
      </c>
    </row>
    <row r="18" ht="18" customHeight="1" spans="1:22">
      <c r="A18" s="19"/>
      <c r="B18" s="20" t="s">
        <v>698</v>
      </c>
      <c r="C18" s="20"/>
      <c r="D18" s="20"/>
      <c r="E18" s="6" t="s">
        <v>729</v>
      </c>
      <c r="F18" s="11" t="s">
        <v>766</v>
      </c>
      <c r="G18" s="11" t="s">
        <v>766</v>
      </c>
      <c r="H18" s="11" t="s">
        <v>766</v>
      </c>
      <c r="I18" s="11" t="s">
        <v>729</v>
      </c>
      <c r="J18" s="11" t="s">
        <v>729</v>
      </c>
      <c r="K18" s="11" t="s">
        <v>729</v>
      </c>
      <c r="L18" s="11" t="s">
        <v>729</v>
      </c>
      <c r="M18" s="11" t="s">
        <v>729</v>
      </c>
      <c r="N18" s="11" t="s">
        <v>729</v>
      </c>
      <c r="O18" s="11" t="s">
        <v>729</v>
      </c>
      <c r="P18" s="11" t="s">
        <v>729</v>
      </c>
      <c r="Q18" s="11" t="s">
        <v>729</v>
      </c>
      <c r="R18" s="11" t="s">
        <v>729</v>
      </c>
      <c r="S18" s="11" t="s">
        <v>729</v>
      </c>
      <c r="T18" s="11" t="s">
        <v>729</v>
      </c>
      <c r="U18" s="11" t="s">
        <v>729</v>
      </c>
      <c r="V18" s="12" t="s">
        <v>729</v>
      </c>
    </row>
    <row r="19" ht="18" customHeight="1" spans="1:22">
      <c r="A19" s="19"/>
      <c r="B19" s="20" t="s">
        <v>699</v>
      </c>
      <c r="C19" s="20"/>
      <c r="D19" s="20"/>
      <c r="E19" s="6" t="s">
        <v>729</v>
      </c>
      <c r="F19" s="6" t="s">
        <v>729</v>
      </c>
      <c r="G19" s="6" t="s">
        <v>729</v>
      </c>
      <c r="H19" s="6" t="s">
        <v>729</v>
      </c>
      <c r="I19" s="6" t="s">
        <v>729</v>
      </c>
      <c r="J19" s="6" t="s">
        <v>729</v>
      </c>
      <c r="K19" s="6" t="s">
        <v>729</v>
      </c>
      <c r="L19" s="6" t="s">
        <v>729</v>
      </c>
      <c r="M19" s="6" t="s">
        <v>729</v>
      </c>
      <c r="N19" s="6" t="s">
        <v>729</v>
      </c>
      <c r="O19" s="6" t="s">
        <v>729</v>
      </c>
      <c r="P19" s="6" t="s">
        <v>729</v>
      </c>
      <c r="Q19" s="6" t="s">
        <v>729</v>
      </c>
      <c r="R19" s="6" t="s">
        <v>729</v>
      </c>
      <c r="S19" s="6" t="s">
        <v>729</v>
      </c>
      <c r="T19" s="6" t="s">
        <v>729</v>
      </c>
      <c r="U19" s="6" t="s">
        <v>729</v>
      </c>
      <c r="V19" s="8" t="s">
        <v>729</v>
      </c>
    </row>
    <row r="20" ht="18" customHeight="1" spans="1:22">
      <c r="A20" s="19"/>
      <c r="B20" s="21" t="s">
        <v>700</v>
      </c>
      <c r="C20" s="21"/>
      <c r="D20" s="21"/>
      <c r="E20" s="22" t="s">
        <v>729</v>
      </c>
      <c r="F20" s="22" t="s">
        <v>729</v>
      </c>
      <c r="G20" s="22" t="s">
        <v>729</v>
      </c>
      <c r="H20" s="22" t="s">
        <v>729</v>
      </c>
      <c r="I20" s="22" t="s">
        <v>729</v>
      </c>
      <c r="J20" s="22" t="s">
        <v>729</v>
      </c>
      <c r="K20" s="22" t="s">
        <v>729</v>
      </c>
      <c r="L20" s="22" t="s">
        <v>729</v>
      </c>
      <c r="M20" s="22" t="s">
        <v>729</v>
      </c>
      <c r="N20" s="22" t="s">
        <v>729</v>
      </c>
      <c r="O20" s="22" t="s">
        <v>729</v>
      </c>
      <c r="P20" s="22" t="s">
        <v>729</v>
      </c>
      <c r="Q20" s="22" t="s">
        <v>729</v>
      </c>
      <c r="R20" s="22" t="s">
        <v>729</v>
      </c>
      <c r="S20" s="22" t="s">
        <v>729</v>
      </c>
      <c r="T20" s="22" t="s">
        <v>729</v>
      </c>
      <c r="U20" s="22" t="s">
        <v>729</v>
      </c>
      <c r="V20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7:D17"/>
    <mergeCell ref="B18:D18"/>
    <mergeCell ref="B19:D19"/>
    <mergeCell ref="B20:D20"/>
    <mergeCell ref="A7:A12"/>
    <mergeCell ref="A13:A16"/>
    <mergeCell ref="A17:A20"/>
  </mergeCells>
  <dataValidations count="3">
    <dataValidation type="list" allowBlank="1" sqref="F10:V10 F12:V12 F14:V16 F8:V9">
      <formula1>"O,-"</formula1>
    </dataValidation>
    <dataValidation type="list" allowBlank="1" sqref="F17:V17">
      <formula1>"N,A,B"</formula1>
    </dataValidation>
    <dataValidation type="list" allowBlank="1" sqref="F18:V18">
      <formula1>"P,F"</formula1>
    </dataValidation>
  </dataValidations>
  <pageMargins left="0.7" right="0.7" top="0.75" bottom="0.75" header="0.3" footer="0.3"/>
  <pageSetup paperSize="1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1"/>
  <sheetViews>
    <sheetView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78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109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808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3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2</v>
      </c>
      <c r="M5" s="11">
        <v>1</v>
      </c>
      <c r="N5" s="11">
        <v>0</v>
      </c>
      <c r="O5" s="12">
        <v>3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687</v>
      </c>
      <c r="H6" s="14" t="s">
        <v>688</v>
      </c>
      <c r="I6" s="14" t="s">
        <v>729</v>
      </c>
      <c r="J6" s="14" t="s">
        <v>729</v>
      </c>
      <c r="K6" s="14" t="s">
        <v>729</v>
      </c>
      <c r="L6" s="14" t="s">
        <v>729</v>
      </c>
      <c r="M6" s="14" t="s">
        <v>729</v>
      </c>
      <c r="N6" s="14" t="s">
        <v>729</v>
      </c>
      <c r="O6" s="14" t="s">
        <v>729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15.5" customHeight="1" spans="1:22">
      <c r="A7" s="16" t="s">
        <v>690</v>
      </c>
      <c r="B7" s="17" t="s">
        <v>809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53" customHeight="1" spans="1:22">
      <c r="A8" s="16"/>
      <c r="B8" s="6" t="s">
        <v>729</v>
      </c>
      <c r="C8" s="6" t="s">
        <v>729</v>
      </c>
      <c r="D8" s="18" t="s">
        <v>810</v>
      </c>
      <c r="E8" s="6" t="s">
        <v>729</v>
      </c>
      <c r="F8" s="11" t="s">
        <v>752</v>
      </c>
      <c r="G8" s="11" t="s">
        <v>752</v>
      </c>
      <c r="H8" s="11" t="s">
        <v>756</v>
      </c>
      <c r="I8" s="11" t="s">
        <v>729</v>
      </c>
      <c r="J8" s="11" t="s">
        <v>729</v>
      </c>
      <c r="K8" s="11" t="s">
        <v>729</v>
      </c>
      <c r="L8" s="11" t="s">
        <v>729</v>
      </c>
      <c r="M8" s="11" t="s">
        <v>729</v>
      </c>
      <c r="N8" s="11" t="s">
        <v>729</v>
      </c>
      <c r="O8" s="11" t="s">
        <v>729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53" customHeight="1" spans="1:22">
      <c r="A9" s="16"/>
      <c r="B9" s="6" t="s">
        <v>729</v>
      </c>
      <c r="C9" s="6" t="s">
        <v>729</v>
      </c>
      <c r="D9" s="18" t="s">
        <v>811</v>
      </c>
      <c r="E9" s="6" t="s">
        <v>729</v>
      </c>
      <c r="F9" s="11" t="s">
        <v>756</v>
      </c>
      <c r="G9" s="11" t="s">
        <v>756</v>
      </c>
      <c r="H9" s="11" t="s">
        <v>752</v>
      </c>
      <c r="I9" s="11" t="s">
        <v>729</v>
      </c>
      <c r="J9" s="11" t="s">
        <v>729</v>
      </c>
      <c r="K9" s="11" t="s">
        <v>729</v>
      </c>
      <c r="L9" s="11" t="s">
        <v>729</v>
      </c>
      <c r="M9" s="11" t="s">
        <v>729</v>
      </c>
      <c r="N9" s="11" t="s">
        <v>729</v>
      </c>
      <c r="O9" s="11" t="s">
        <v>729</v>
      </c>
      <c r="P9" s="11" t="s">
        <v>729</v>
      </c>
      <c r="Q9" s="11" t="s">
        <v>729</v>
      </c>
      <c r="R9" s="11" t="s">
        <v>729</v>
      </c>
      <c r="S9" s="11" t="s">
        <v>729</v>
      </c>
      <c r="T9" s="11" t="s">
        <v>729</v>
      </c>
      <c r="U9" s="11" t="s">
        <v>729</v>
      </c>
      <c r="V9" s="12" t="s">
        <v>729</v>
      </c>
    </row>
    <row r="10" ht="15.5" customHeight="1" spans="1:22">
      <c r="A10" s="16"/>
      <c r="B10" s="17" t="s">
        <v>812</v>
      </c>
      <c r="C10" s="6" t="s">
        <v>729</v>
      </c>
      <c r="D10" s="6" t="s">
        <v>729</v>
      </c>
      <c r="E10" s="6" t="s">
        <v>729</v>
      </c>
      <c r="F10" s="6" t="s">
        <v>729</v>
      </c>
      <c r="G10" s="6" t="s">
        <v>729</v>
      </c>
      <c r="H10" s="6" t="s">
        <v>729</v>
      </c>
      <c r="I10" s="6" t="s">
        <v>729</v>
      </c>
      <c r="J10" s="6" t="s">
        <v>729</v>
      </c>
      <c r="K10" s="6" t="s">
        <v>729</v>
      </c>
      <c r="L10" s="6" t="s">
        <v>729</v>
      </c>
      <c r="M10" s="6" t="s">
        <v>729</v>
      </c>
      <c r="N10" s="6" t="s">
        <v>729</v>
      </c>
      <c r="O10" s="6" t="s">
        <v>729</v>
      </c>
      <c r="P10" s="6" t="s">
        <v>729</v>
      </c>
      <c r="Q10" s="6" t="s">
        <v>729</v>
      </c>
      <c r="R10" s="6" t="s">
        <v>729</v>
      </c>
      <c r="S10" s="6" t="s">
        <v>729</v>
      </c>
      <c r="T10" s="6" t="s">
        <v>729</v>
      </c>
      <c r="U10" s="6" t="s">
        <v>729</v>
      </c>
      <c r="V10" s="8" t="s">
        <v>729</v>
      </c>
    </row>
    <row r="11" ht="15.5" customHeight="1" spans="1:22">
      <c r="A11" s="16"/>
      <c r="B11" s="6" t="s">
        <v>729</v>
      </c>
      <c r="C11" s="6" t="s">
        <v>729</v>
      </c>
      <c r="D11" s="18" t="s">
        <v>813</v>
      </c>
      <c r="E11" s="6" t="s">
        <v>729</v>
      </c>
      <c r="F11" s="11" t="s">
        <v>752</v>
      </c>
      <c r="G11" s="11" t="s">
        <v>756</v>
      </c>
      <c r="H11" s="11" t="s">
        <v>752</v>
      </c>
      <c r="I11" s="11" t="s">
        <v>729</v>
      </c>
      <c r="J11" s="11" t="s">
        <v>729</v>
      </c>
      <c r="K11" s="11" t="s">
        <v>729</v>
      </c>
      <c r="L11" s="11" t="s">
        <v>729</v>
      </c>
      <c r="M11" s="11" t="s">
        <v>729</v>
      </c>
      <c r="N11" s="11" t="s">
        <v>729</v>
      </c>
      <c r="O11" s="11" t="s">
        <v>729</v>
      </c>
      <c r="P11" s="11" t="s">
        <v>729</v>
      </c>
      <c r="Q11" s="11" t="s">
        <v>729</v>
      </c>
      <c r="R11" s="11" t="s">
        <v>729</v>
      </c>
      <c r="S11" s="11" t="s">
        <v>729</v>
      </c>
      <c r="T11" s="11" t="s">
        <v>729</v>
      </c>
      <c r="U11" s="11" t="s">
        <v>729</v>
      </c>
      <c r="V11" s="12" t="s">
        <v>729</v>
      </c>
    </row>
    <row r="12" ht="15.5" customHeight="1" spans="1:22">
      <c r="A12" s="16"/>
      <c r="B12" s="6" t="s">
        <v>729</v>
      </c>
      <c r="C12" s="6" t="s">
        <v>729</v>
      </c>
      <c r="D12" s="18" t="s">
        <v>814</v>
      </c>
      <c r="E12" s="6" t="s">
        <v>729</v>
      </c>
      <c r="F12" s="11" t="s">
        <v>756</v>
      </c>
      <c r="G12" s="11" t="s">
        <v>752</v>
      </c>
      <c r="H12" s="11" t="s">
        <v>756</v>
      </c>
      <c r="I12" s="11" t="s">
        <v>729</v>
      </c>
      <c r="J12" s="11" t="s">
        <v>729</v>
      </c>
      <c r="K12" s="11" t="s">
        <v>729</v>
      </c>
      <c r="L12" s="11" t="s">
        <v>729</v>
      </c>
      <c r="M12" s="11" t="s">
        <v>729</v>
      </c>
      <c r="N12" s="11" t="s">
        <v>729</v>
      </c>
      <c r="O12" s="11" t="s">
        <v>729</v>
      </c>
      <c r="P12" s="11" t="s">
        <v>729</v>
      </c>
      <c r="Q12" s="11" t="s">
        <v>729</v>
      </c>
      <c r="R12" s="11" t="s">
        <v>729</v>
      </c>
      <c r="S12" s="11" t="s">
        <v>729</v>
      </c>
      <c r="T12" s="11" t="s">
        <v>729</v>
      </c>
      <c r="U12" s="11" t="s">
        <v>729</v>
      </c>
      <c r="V12" s="12" t="s">
        <v>729</v>
      </c>
    </row>
    <row r="13" ht="15.5" customHeight="1" spans="1:22">
      <c r="A13" s="16" t="s">
        <v>692</v>
      </c>
      <c r="B13" s="17" t="s">
        <v>693</v>
      </c>
      <c r="C13" s="6" t="s">
        <v>729</v>
      </c>
      <c r="D13" s="6" t="s">
        <v>729</v>
      </c>
      <c r="E13" s="6" t="s">
        <v>729</v>
      </c>
      <c r="F13" s="6" t="s">
        <v>729</v>
      </c>
      <c r="G13" s="6" t="s">
        <v>729</v>
      </c>
      <c r="H13" s="6" t="s">
        <v>729</v>
      </c>
      <c r="I13" s="6" t="s">
        <v>729</v>
      </c>
      <c r="J13" s="6" t="s">
        <v>729</v>
      </c>
      <c r="K13" s="6" t="s">
        <v>729</v>
      </c>
      <c r="L13" s="6" t="s">
        <v>729</v>
      </c>
      <c r="M13" s="6" t="s">
        <v>729</v>
      </c>
      <c r="N13" s="6" t="s">
        <v>729</v>
      </c>
      <c r="O13" s="6" t="s">
        <v>729</v>
      </c>
      <c r="P13" s="6" t="s">
        <v>729</v>
      </c>
      <c r="Q13" s="6" t="s">
        <v>729</v>
      </c>
      <c r="R13" s="6" t="s">
        <v>729</v>
      </c>
      <c r="S13" s="6" t="s">
        <v>729</v>
      </c>
      <c r="T13" s="6" t="s">
        <v>729</v>
      </c>
      <c r="U13" s="6" t="s">
        <v>729</v>
      </c>
      <c r="V13" s="8" t="s">
        <v>729</v>
      </c>
    </row>
    <row r="14" ht="65.5" customHeight="1" spans="1:22">
      <c r="A14" s="16"/>
      <c r="B14" s="6" t="s">
        <v>729</v>
      </c>
      <c r="C14" s="6" t="s">
        <v>729</v>
      </c>
      <c r="D14" s="18" t="s">
        <v>815</v>
      </c>
      <c r="E14" s="6" t="s">
        <v>729</v>
      </c>
      <c r="F14" s="11" t="s">
        <v>752</v>
      </c>
      <c r="G14" s="11" t="s">
        <v>756</v>
      </c>
      <c r="H14" s="11" t="s">
        <v>756</v>
      </c>
      <c r="I14" s="11" t="s">
        <v>729</v>
      </c>
      <c r="J14" s="11" t="s">
        <v>729</v>
      </c>
      <c r="K14" s="11" t="s">
        <v>729</v>
      </c>
      <c r="L14" s="11" t="s">
        <v>729</v>
      </c>
      <c r="M14" s="11" t="s">
        <v>729</v>
      </c>
      <c r="N14" s="11" t="s">
        <v>729</v>
      </c>
      <c r="O14" s="11" t="s">
        <v>729</v>
      </c>
      <c r="P14" s="11" t="s">
        <v>729</v>
      </c>
      <c r="Q14" s="11" t="s">
        <v>729</v>
      </c>
      <c r="R14" s="11" t="s">
        <v>729</v>
      </c>
      <c r="S14" s="11" t="s">
        <v>729</v>
      </c>
      <c r="T14" s="11" t="s">
        <v>729</v>
      </c>
      <c r="U14" s="11" t="s">
        <v>729</v>
      </c>
      <c r="V14" s="12" t="s">
        <v>729</v>
      </c>
    </row>
    <row r="15" ht="53" customHeight="1" spans="1:22">
      <c r="A15" s="16"/>
      <c r="B15" s="6" t="s">
        <v>729</v>
      </c>
      <c r="C15" s="6" t="s">
        <v>729</v>
      </c>
      <c r="D15" s="18" t="s">
        <v>816</v>
      </c>
      <c r="E15" s="6" t="s">
        <v>729</v>
      </c>
      <c r="F15" s="11" t="s">
        <v>756</v>
      </c>
      <c r="G15" s="11" t="s">
        <v>752</v>
      </c>
      <c r="H15" s="11" t="s">
        <v>756</v>
      </c>
      <c r="I15" s="11" t="s">
        <v>729</v>
      </c>
      <c r="J15" s="11" t="s">
        <v>729</v>
      </c>
      <c r="K15" s="11" t="s">
        <v>729</v>
      </c>
      <c r="L15" s="11" t="s">
        <v>729</v>
      </c>
      <c r="M15" s="11" t="s">
        <v>729</v>
      </c>
      <c r="N15" s="11" t="s">
        <v>729</v>
      </c>
      <c r="O15" s="11" t="s">
        <v>729</v>
      </c>
      <c r="P15" s="11" t="s">
        <v>729</v>
      </c>
      <c r="Q15" s="11" t="s">
        <v>729</v>
      </c>
      <c r="R15" s="11" t="s">
        <v>729</v>
      </c>
      <c r="S15" s="11" t="s">
        <v>729</v>
      </c>
      <c r="T15" s="11" t="s">
        <v>729</v>
      </c>
      <c r="U15" s="11" t="s">
        <v>729</v>
      </c>
      <c r="V15" s="12" t="s">
        <v>729</v>
      </c>
    </row>
    <row r="16" ht="53" customHeight="1" spans="1:22">
      <c r="A16" s="16"/>
      <c r="B16" s="6" t="s">
        <v>729</v>
      </c>
      <c r="C16" s="6" t="s">
        <v>729</v>
      </c>
      <c r="D16" s="18" t="s">
        <v>817</v>
      </c>
      <c r="E16" s="6" t="s">
        <v>729</v>
      </c>
      <c r="F16" s="11" t="s">
        <v>752</v>
      </c>
      <c r="G16" s="11" t="s">
        <v>752</v>
      </c>
      <c r="H16" s="11" t="s">
        <v>752</v>
      </c>
      <c r="I16" s="11" t="s">
        <v>729</v>
      </c>
      <c r="J16" s="11" t="s">
        <v>729</v>
      </c>
      <c r="K16" s="11" t="s">
        <v>729</v>
      </c>
      <c r="L16" s="11" t="s">
        <v>729</v>
      </c>
      <c r="M16" s="11" t="s">
        <v>729</v>
      </c>
      <c r="N16" s="11" t="s">
        <v>729</v>
      </c>
      <c r="O16" s="11" t="s">
        <v>729</v>
      </c>
      <c r="P16" s="11" t="s">
        <v>729</v>
      </c>
      <c r="Q16" s="11" t="s">
        <v>729</v>
      </c>
      <c r="R16" s="11" t="s">
        <v>729</v>
      </c>
      <c r="S16" s="11" t="s">
        <v>729</v>
      </c>
      <c r="T16" s="11" t="s">
        <v>729</v>
      </c>
      <c r="U16" s="11" t="s">
        <v>729</v>
      </c>
      <c r="V16" s="12" t="s">
        <v>729</v>
      </c>
    </row>
    <row r="17" ht="65.5" customHeight="1" spans="1:22">
      <c r="A17" s="16"/>
      <c r="B17" s="6" t="s">
        <v>729</v>
      </c>
      <c r="C17" s="6" t="s">
        <v>729</v>
      </c>
      <c r="D17" s="18" t="s">
        <v>818</v>
      </c>
      <c r="E17" s="6" t="s">
        <v>729</v>
      </c>
      <c r="F17" s="11" t="s">
        <v>756</v>
      </c>
      <c r="G17" s="11" t="s">
        <v>756</v>
      </c>
      <c r="H17" s="11" t="s">
        <v>752</v>
      </c>
      <c r="I17" s="11" t="s">
        <v>729</v>
      </c>
      <c r="J17" s="11" t="s">
        <v>729</v>
      </c>
      <c r="K17" s="11" t="s">
        <v>729</v>
      </c>
      <c r="L17" s="11" t="s">
        <v>729</v>
      </c>
      <c r="M17" s="11" t="s">
        <v>729</v>
      </c>
      <c r="N17" s="11" t="s">
        <v>729</v>
      </c>
      <c r="O17" s="11" t="s">
        <v>729</v>
      </c>
      <c r="P17" s="11" t="s">
        <v>729</v>
      </c>
      <c r="Q17" s="11" t="s">
        <v>729</v>
      </c>
      <c r="R17" s="11" t="s">
        <v>729</v>
      </c>
      <c r="S17" s="11" t="s">
        <v>729</v>
      </c>
      <c r="T17" s="11" t="s">
        <v>729</v>
      </c>
      <c r="U17" s="11" t="s">
        <v>729</v>
      </c>
      <c r="V17" s="12" t="s">
        <v>729</v>
      </c>
    </row>
    <row r="18" ht="18" customHeight="1" spans="1:22">
      <c r="A18" s="19" t="s">
        <v>696</v>
      </c>
      <c r="B18" s="20" t="s">
        <v>765</v>
      </c>
      <c r="C18" s="20"/>
      <c r="D18" s="20"/>
      <c r="E18" s="6" t="s">
        <v>729</v>
      </c>
      <c r="F18" s="11" t="s">
        <v>670</v>
      </c>
      <c r="G18" s="11" t="s">
        <v>670</v>
      </c>
      <c r="H18" s="11" t="s">
        <v>63</v>
      </c>
      <c r="I18" s="11" t="s">
        <v>729</v>
      </c>
      <c r="J18" s="11" t="s">
        <v>729</v>
      </c>
      <c r="K18" s="11" t="s">
        <v>729</v>
      </c>
      <c r="L18" s="11" t="s">
        <v>729</v>
      </c>
      <c r="M18" s="11" t="s">
        <v>729</v>
      </c>
      <c r="N18" s="11" t="s">
        <v>729</v>
      </c>
      <c r="O18" s="11" t="s">
        <v>729</v>
      </c>
      <c r="P18" s="11" t="s">
        <v>729</v>
      </c>
      <c r="Q18" s="11" t="s">
        <v>729</v>
      </c>
      <c r="R18" s="11" t="s">
        <v>729</v>
      </c>
      <c r="S18" s="11" t="s">
        <v>729</v>
      </c>
      <c r="T18" s="11" t="s">
        <v>729</v>
      </c>
      <c r="U18" s="11" t="s">
        <v>729</v>
      </c>
      <c r="V18" s="12" t="s">
        <v>729</v>
      </c>
    </row>
    <row r="19" ht="18" customHeight="1" spans="1:22">
      <c r="A19" s="19"/>
      <c r="B19" s="20" t="s">
        <v>698</v>
      </c>
      <c r="C19" s="20"/>
      <c r="D19" s="20"/>
      <c r="E19" s="6" t="s">
        <v>729</v>
      </c>
      <c r="F19" s="11" t="s">
        <v>766</v>
      </c>
      <c r="G19" s="11" t="s">
        <v>766</v>
      </c>
      <c r="H19" s="11" t="s">
        <v>766</v>
      </c>
      <c r="I19" s="11" t="s">
        <v>729</v>
      </c>
      <c r="J19" s="11" t="s">
        <v>729</v>
      </c>
      <c r="K19" s="11" t="s">
        <v>729</v>
      </c>
      <c r="L19" s="11" t="s">
        <v>729</v>
      </c>
      <c r="M19" s="11" t="s">
        <v>729</v>
      </c>
      <c r="N19" s="11" t="s">
        <v>729</v>
      </c>
      <c r="O19" s="11" t="s">
        <v>729</v>
      </c>
      <c r="P19" s="11" t="s">
        <v>729</v>
      </c>
      <c r="Q19" s="11" t="s">
        <v>729</v>
      </c>
      <c r="R19" s="11" t="s">
        <v>729</v>
      </c>
      <c r="S19" s="11" t="s">
        <v>729</v>
      </c>
      <c r="T19" s="11" t="s">
        <v>729</v>
      </c>
      <c r="U19" s="11" t="s">
        <v>729</v>
      </c>
      <c r="V19" s="12" t="s">
        <v>729</v>
      </c>
    </row>
    <row r="20" ht="18" customHeight="1" spans="1:22">
      <c r="A20" s="19"/>
      <c r="B20" s="20" t="s">
        <v>699</v>
      </c>
      <c r="C20" s="20"/>
      <c r="D20" s="20"/>
      <c r="E20" s="6" t="s">
        <v>729</v>
      </c>
      <c r="F20" s="6" t="s">
        <v>729</v>
      </c>
      <c r="G20" s="6" t="s">
        <v>729</v>
      </c>
      <c r="H20" s="6" t="s">
        <v>729</v>
      </c>
      <c r="I20" s="6" t="s">
        <v>729</v>
      </c>
      <c r="J20" s="6" t="s">
        <v>729</v>
      </c>
      <c r="K20" s="6" t="s">
        <v>729</v>
      </c>
      <c r="L20" s="6" t="s">
        <v>729</v>
      </c>
      <c r="M20" s="6" t="s">
        <v>729</v>
      </c>
      <c r="N20" s="6" t="s">
        <v>729</v>
      </c>
      <c r="O20" s="6" t="s">
        <v>729</v>
      </c>
      <c r="P20" s="6" t="s">
        <v>729</v>
      </c>
      <c r="Q20" s="6" t="s">
        <v>729</v>
      </c>
      <c r="R20" s="6" t="s">
        <v>729</v>
      </c>
      <c r="S20" s="6" t="s">
        <v>729</v>
      </c>
      <c r="T20" s="6" t="s">
        <v>729</v>
      </c>
      <c r="U20" s="6" t="s">
        <v>729</v>
      </c>
      <c r="V20" s="8" t="s">
        <v>729</v>
      </c>
    </row>
    <row r="21" ht="18" customHeight="1" spans="1:22">
      <c r="A21" s="19"/>
      <c r="B21" s="21" t="s">
        <v>700</v>
      </c>
      <c r="C21" s="21"/>
      <c r="D21" s="21"/>
      <c r="E21" s="22" t="s">
        <v>729</v>
      </c>
      <c r="F21" s="22" t="s">
        <v>729</v>
      </c>
      <c r="G21" s="22" t="s">
        <v>729</v>
      </c>
      <c r="H21" s="22" t="s">
        <v>729</v>
      </c>
      <c r="I21" s="22" t="s">
        <v>729</v>
      </c>
      <c r="J21" s="22" t="s">
        <v>729</v>
      </c>
      <c r="K21" s="22" t="s">
        <v>729</v>
      </c>
      <c r="L21" s="22" t="s">
        <v>729</v>
      </c>
      <c r="M21" s="22" t="s">
        <v>729</v>
      </c>
      <c r="N21" s="22" t="s">
        <v>729</v>
      </c>
      <c r="O21" s="22" t="s">
        <v>729</v>
      </c>
      <c r="P21" s="22" t="s">
        <v>729</v>
      </c>
      <c r="Q21" s="22" t="s">
        <v>729</v>
      </c>
      <c r="R21" s="22" t="s">
        <v>729</v>
      </c>
      <c r="S21" s="22" t="s">
        <v>729</v>
      </c>
      <c r="T21" s="22" t="s">
        <v>729</v>
      </c>
      <c r="U21" s="22" t="s">
        <v>729</v>
      </c>
      <c r="V21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8:D18"/>
    <mergeCell ref="B19:D19"/>
    <mergeCell ref="B20:D20"/>
    <mergeCell ref="B21:D21"/>
    <mergeCell ref="A7:A12"/>
    <mergeCell ref="A13:A17"/>
    <mergeCell ref="A18:A21"/>
  </mergeCells>
  <dataValidations count="3">
    <dataValidation type="list" allowBlank="1" sqref="F18:V18">
      <formula1>"N,A,B"</formula1>
    </dataValidation>
    <dataValidation type="list" allowBlank="1" sqref="F19:V19">
      <formula1>"P,F"</formula1>
    </dataValidation>
    <dataValidation type="list" allowBlank="1" sqref="F11:V12 F14:V17 F8:V9">
      <formula1>"O,-"</formula1>
    </dataValidation>
  </dataValidations>
  <pageMargins left="0.7" right="0.7" top="0.75" bottom="0.75" header="0.3" footer="0.3"/>
  <pageSetup paperSize="1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8"/>
  <sheetViews>
    <sheetView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78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114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819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3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0</v>
      </c>
      <c r="M5" s="11">
        <v>3</v>
      </c>
      <c r="N5" s="11">
        <v>0</v>
      </c>
      <c r="O5" s="12">
        <v>3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687</v>
      </c>
      <c r="H6" s="14" t="s">
        <v>688</v>
      </c>
      <c r="I6" s="14" t="s">
        <v>729</v>
      </c>
      <c r="J6" s="14" t="s">
        <v>729</v>
      </c>
      <c r="K6" s="14" t="s">
        <v>729</v>
      </c>
      <c r="L6" s="14" t="s">
        <v>729</v>
      </c>
      <c r="M6" s="14" t="s">
        <v>729</v>
      </c>
      <c r="N6" s="14" t="s">
        <v>729</v>
      </c>
      <c r="O6" s="14" t="s">
        <v>729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15.5" customHeight="1" spans="1:22">
      <c r="A7" s="16" t="s">
        <v>690</v>
      </c>
      <c r="B7" s="17" t="s">
        <v>820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28" customHeight="1" spans="1:22">
      <c r="A8" s="16"/>
      <c r="B8" s="6" t="s">
        <v>729</v>
      </c>
      <c r="C8" s="6" t="s">
        <v>729</v>
      </c>
      <c r="D8" s="18" t="s">
        <v>821</v>
      </c>
      <c r="E8" s="6" t="s">
        <v>729</v>
      </c>
      <c r="F8" s="11" t="s">
        <v>752</v>
      </c>
      <c r="G8" s="11" t="s">
        <v>756</v>
      </c>
      <c r="H8" s="11" t="s">
        <v>756</v>
      </c>
      <c r="I8" s="11" t="s">
        <v>729</v>
      </c>
      <c r="J8" s="11" t="s">
        <v>729</v>
      </c>
      <c r="K8" s="11" t="s">
        <v>729</v>
      </c>
      <c r="L8" s="11" t="s">
        <v>729</v>
      </c>
      <c r="M8" s="11" t="s">
        <v>729</v>
      </c>
      <c r="N8" s="11" t="s">
        <v>729</v>
      </c>
      <c r="O8" s="11" t="s">
        <v>729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40.5" customHeight="1" spans="1:22">
      <c r="A9" s="16"/>
      <c r="B9" s="6" t="s">
        <v>729</v>
      </c>
      <c r="C9" s="6" t="s">
        <v>729</v>
      </c>
      <c r="D9" s="18" t="s">
        <v>822</v>
      </c>
      <c r="E9" s="6" t="s">
        <v>729</v>
      </c>
      <c r="F9" s="11" t="s">
        <v>756</v>
      </c>
      <c r="G9" s="11" t="s">
        <v>752</v>
      </c>
      <c r="H9" s="11" t="s">
        <v>756</v>
      </c>
      <c r="I9" s="11" t="s">
        <v>729</v>
      </c>
      <c r="J9" s="11" t="s">
        <v>729</v>
      </c>
      <c r="K9" s="11" t="s">
        <v>729</v>
      </c>
      <c r="L9" s="11" t="s">
        <v>729</v>
      </c>
      <c r="M9" s="11" t="s">
        <v>729</v>
      </c>
      <c r="N9" s="11" t="s">
        <v>729</v>
      </c>
      <c r="O9" s="11" t="s">
        <v>729</v>
      </c>
      <c r="P9" s="11" t="s">
        <v>729</v>
      </c>
      <c r="Q9" s="11" t="s">
        <v>729</v>
      </c>
      <c r="R9" s="11" t="s">
        <v>729</v>
      </c>
      <c r="S9" s="11" t="s">
        <v>729</v>
      </c>
      <c r="T9" s="11" t="s">
        <v>729</v>
      </c>
      <c r="U9" s="11" t="s">
        <v>729</v>
      </c>
      <c r="V9" s="12" t="s">
        <v>729</v>
      </c>
    </row>
    <row r="10" ht="53" customHeight="1" spans="1:22">
      <c r="A10" s="16"/>
      <c r="B10" s="6" t="s">
        <v>729</v>
      </c>
      <c r="C10" s="6" t="s">
        <v>729</v>
      </c>
      <c r="D10" s="18" t="s">
        <v>823</v>
      </c>
      <c r="E10" s="6" t="s">
        <v>729</v>
      </c>
      <c r="F10" s="11" t="s">
        <v>756</v>
      </c>
      <c r="G10" s="11" t="s">
        <v>756</v>
      </c>
      <c r="H10" s="11" t="s">
        <v>752</v>
      </c>
      <c r="I10" s="11" t="s">
        <v>729</v>
      </c>
      <c r="J10" s="11" t="s">
        <v>729</v>
      </c>
      <c r="K10" s="11" t="s">
        <v>729</v>
      </c>
      <c r="L10" s="11" t="s">
        <v>729</v>
      </c>
      <c r="M10" s="11" t="s">
        <v>729</v>
      </c>
      <c r="N10" s="11" t="s">
        <v>729</v>
      </c>
      <c r="O10" s="11" t="s">
        <v>729</v>
      </c>
      <c r="P10" s="11" t="s">
        <v>729</v>
      </c>
      <c r="Q10" s="11" t="s">
        <v>729</v>
      </c>
      <c r="R10" s="11" t="s">
        <v>729</v>
      </c>
      <c r="S10" s="11" t="s">
        <v>729</v>
      </c>
      <c r="T10" s="11" t="s">
        <v>729</v>
      </c>
      <c r="U10" s="11" t="s">
        <v>729</v>
      </c>
      <c r="V10" s="12" t="s">
        <v>729</v>
      </c>
    </row>
    <row r="11" ht="15.5" customHeight="1" spans="1:22">
      <c r="A11" s="16" t="s">
        <v>692</v>
      </c>
      <c r="B11" s="17" t="s">
        <v>694</v>
      </c>
      <c r="C11" s="6" t="s">
        <v>729</v>
      </c>
      <c r="D11" s="6" t="s">
        <v>729</v>
      </c>
      <c r="E11" s="6" t="s">
        <v>729</v>
      </c>
      <c r="F11" s="6" t="s">
        <v>729</v>
      </c>
      <c r="G11" s="6" t="s">
        <v>729</v>
      </c>
      <c r="H11" s="6" t="s">
        <v>729</v>
      </c>
      <c r="I11" s="6" t="s">
        <v>729</v>
      </c>
      <c r="J11" s="6" t="s">
        <v>729</v>
      </c>
      <c r="K11" s="6" t="s">
        <v>729</v>
      </c>
      <c r="L11" s="6" t="s">
        <v>729</v>
      </c>
      <c r="M11" s="6" t="s">
        <v>729</v>
      </c>
      <c r="N11" s="6" t="s">
        <v>729</v>
      </c>
      <c r="O11" s="6" t="s">
        <v>729</v>
      </c>
      <c r="P11" s="6" t="s">
        <v>729</v>
      </c>
      <c r="Q11" s="6" t="s">
        <v>729</v>
      </c>
      <c r="R11" s="6" t="s">
        <v>729</v>
      </c>
      <c r="S11" s="6" t="s">
        <v>729</v>
      </c>
      <c r="T11" s="6" t="s">
        <v>729</v>
      </c>
      <c r="U11" s="6" t="s">
        <v>729</v>
      </c>
      <c r="V11" s="8" t="s">
        <v>729</v>
      </c>
    </row>
    <row r="12" ht="40.5" customHeight="1" spans="1:22">
      <c r="A12" s="16"/>
      <c r="B12" s="6" t="s">
        <v>729</v>
      </c>
      <c r="C12" s="6" t="s">
        <v>729</v>
      </c>
      <c r="D12" s="18" t="s">
        <v>824</v>
      </c>
      <c r="E12" s="6" t="s">
        <v>729</v>
      </c>
      <c r="F12" s="11" t="s">
        <v>752</v>
      </c>
      <c r="G12" s="11" t="s">
        <v>756</v>
      </c>
      <c r="H12" s="11" t="s">
        <v>756</v>
      </c>
      <c r="I12" s="11" t="s">
        <v>729</v>
      </c>
      <c r="J12" s="11" t="s">
        <v>729</v>
      </c>
      <c r="K12" s="11" t="s">
        <v>729</v>
      </c>
      <c r="L12" s="11" t="s">
        <v>729</v>
      </c>
      <c r="M12" s="11" t="s">
        <v>729</v>
      </c>
      <c r="N12" s="11" t="s">
        <v>729</v>
      </c>
      <c r="O12" s="11" t="s">
        <v>729</v>
      </c>
      <c r="P12" s="11" t="s">
        <v>729</v>
      </c>
      <c r="Q12" s="11" t="s">
        <v>729</v>
      </c>
      <c r="R12" s="11" t="s">
        <v>729</v>
      </c>
      <c r="S12" s="11" t="s">
        <v>729</v>
      </c>
      <c r="T12" s="11" t="s">
        <v>729</v>
      </c>
      <c r="U12" s="11" t="s">
        <v>729</v>
      </c>
      <c r="V12" s="12" t="s">
        <v>729</v>
      </c>
    </row>
    <row r="13" ht="53" customHeight="1" spans="1:22">
      <c r="A13" s="16"/>
      <c r="B13" s="6" t="s">
        <v>729</v>
      </c>
      <c r="C13" s="6" t="s">
        <v>729</v>
      </c>
      <c r="D13" s="18" t="s">
        <v>825</v>
      </c>
      <c r="E13" s="6" t="s">
        <v>729</v>
      </c>
      <c r="F13" s="11" t="s">
        <v>756</v>
      </c>
      <c r="G13" s="11" t="s">
        <v>752</v>
      </c>
      <c r="H13" s="11" t="s">
        <v>756</v>
      </c>
      <c r="I13" s="11" t="s">
        <v>729</v>
      </c>
      <c r="J13" s="11" t="s">
        <v>729</v>
      </c>
      <c r="K13" s="11" t="s">
        <v>729</v>
      </c>
      <c r="L13" s="11" t="s">
        <v>729</v>
      </c>
      <c r="M13" s="11" t="s">
        <v>729</v>
      </c>
      <c r="N13" s="11" t="s">
        <v>729</v>
      </c>
      <c r="O13" s="11" t="s">
        <v>729</v>
      </c>
      <c r="P13" s="11" t="s">
        <v>729</v>
      </c>
      <c r="Q13" s="11" t="s">
        <v>729</v>
      </c>
      <c r="R13" s="11" t="s">
        <v>729</v>
      </c>
      <c r="S13" s="11" t="s">
        <v>729</v>
      </c>
      <c r="T13" s="11" t="s">
        <v>729</v>
      </c>
      <c r="U13" s="11" t="s">
        <v>729</v>
      </c>
      <c r="V13" s="12" t="s">
        <v>729</v>
      </c>
    </row>
    <row r="14" ht="65.5" customHeight="1" spans="1:22">
      <c r="A14" s="16"/>
      <c r="B14" s="6" t="s">
        <v>729</v>
      </c>
      <c r="C14" s="6" t="s">
        <v>729</v>
      </c>
      <c r="D14" s="18" t="s">
        <v>826</v>
      </c>
      <c r="E14" s="6" t="s">
        <v>729</v>
      </c>
      <c r="F14" s="11" t="s">
        <v>756</v>
      </c>
      <c r="G14" s="11" t="s">
        <v>756</v>
      </c>
      <c r="H14" s="11" t="s">
        <v>752</v>
      </c>
      <c r="I14" s="11" t="s">
        <v>729</v>
      </c>
      <c r="J14" s="11" t="s">
        <v>729</v>
      </c>
      <c r="K14" s="11" t="s">
        <v>729</v>
      </c>
      <c r="L14" s="11" t="s">
        <v>729</v>
      </c>
      <c r="M14" s="11" t="s">
        <v>729</v>
      </c>
      <c r="N14" s="11" t="s">
        <v>729</v>
      </c>
      <c r="O14" s="11" t="s">
        <v>729</v>
      </c>
      <c r="P14" s="11" t="s">
        <v>729</v>
      </c>
      <c r="Q14" s="11" t="s">
        <v>729</v>
      </c>
      <c r="R14" s="11" t="s">
        <v>729</v>
      </c>
      <c r="S14" s="11" t="s">
        <v>729</v>
      </c>
      <c r="T14" s="11" t="s">
        <v>729</v>
      </c>
      <c r="U14" s="11" t="s">
        <v>729</v>
      </c>
      <c r="V14" s="12" t="s">
        <v>729</v>
      </c>
    </row>
    <row r="15" ht="18" customHeight="1" spans="1:22">
      <c r="A15" s="19" t="s">
        <v>696</v>
      </c>
      <c r="B15" s="20" t="s">
        <v>765</v>
      </c>
      <c r="C15" s="20"/>
      <c r="D15" s="20"/>
      <c r="E15" s="6" t="s">
        <v>729</v>
      </c>
      <c r="F15" s="11" t="s">
        <v>63</v>
      </c>
      <c r="G15" s="11" t="s">
        <v>63</v>
      </c>
      <c r="H15" s="11" t="s">
        <v>63</v>
      </c>
      <c r="I15" s="11" t="s">
        <v>729</v>
      </c>
      <c r="J15" s="11" t="s">
        <v>729</v>
      </c>
      <c r="K15" s="11" t="s">
        <v>729</v>
      </c>
      <c r="L15" s="11" t="s">
        <v>729</v>
      </c>
      <c r="M15" s="11" t="s">
        <v>729</v>
      </c>
      <c r="N15" s="11" t="s">
        <v>729</v>
      </c>
      <c r="O15" s="11" t="s">
        <v>729</v>
      </c>
      <c r="P15" s="11" t="s">
        <v>729</v>
      </c>
      <c r="Q15" s="11" t="s">
        <v>729</v>
      </c>
      <c r="R15" s="11" t="s">
        <v>729</v>
      </c>
      <c r="S15" s="11" t="s">
        <v>729</v>
      </c>
      <c r="T15" s="11" t="s">
        <v>729</v>
      </c>
      <c r="U15" s="11" t="s">
        <v>729</v>
      </c>
      <c r="V15" s="12" t="s">
        <v>729</v>
      </c>
    </row>
    <row r="16" ht="18" customHeight="1" spans="1:22">
      <c r="A16" s="19"/>
      <c r="B16" s="20" t="s">
        <v>698</v>
      </c>
      <c r="C16" s="20"/>
      <c r="D16" s="20"/>
      <c r="E16" s="6" t="s">
        <v>729</v>
      </c>
      <c r="F16" s="11" t="s">
        <v>766</v>
      </c>
      <c r="G16" s="11" t="s">
        <v>766</v>
      </c>
      <c r="H16" s="11" t="s">
        <v>766</v>
      </c>
      <c r="I16" s="11" t="s">
        <v>729</v>
      </c>
      <c r="J16" s="11" t="s">
        <v>729</v>
      </c>
      <c r="K16" s="11" t="s">
        <v>729</v>
      </c>
      <c r="L16" s="11" t="s">
        <v>729</v>
      </c>
      <c r="M16" s="11" t="s">
        <v>729</v>
      </c>
      <c r="N16" s="11" t="s">
        <v>729</v>
      </c>
      <c r="O16" s="11" t="s">
        <v>729</v>
      </c>
      <c r="P16" s="11" t="s">
        <v>729</v>
      </c>
      <c r="Q16" s="11" t="s">
        <v>729</v>
      </c>
      <c r="R16" s="11" t="s">
        <v>729</v>
      </c>
      <c r="S16" s="11" t="s">
        <v>729</v>
      </c>
      <c r="T16" s="11" t="s">
        <v>729</v>
      </c>
      <c r="U16" s="11" t="s">
        <v>729</v>
      </c>
      <c r="V16" s="12" t="s">
        <v>729</v>
      </c>
    </row>
    <row r="17" ht="18" customHeight="1" spans="1:22">
      <c r="A17" s="19"/>
      <c r="B17" s="20" t="s">
        <v>699</v>
      </c>
      <c r="C17" s="20"/>
      <c r="D17" s="20"/>
      <c r="E17" s="6" t="s">
        <v>729</v>
      </c>
      <c r="F17" s="6" t="s">
        <v>729</v>
      </c>
      <c r="G17" s="6" t="s">
        <v>729</v>
      </c>
      <c r="H17" s="6" t="s">
        <v>729</v>
      </c>
      <c r="I17" s="6" t="s">
        <v>729</v>
      </c>
      <c r="J17" s="6" t="s">
        <v>729</v>
      </c>
      <c r="K17" s="6" t="s">
        <v>729</v>
      </c>
      <c r="L17" s="6" t="s">
        <v>729</v>
      </c>
      <c r="M17" s="6" t="s">
        <v>729</v>
      </c>
      <c r="N17" s="6" t="s">
        <v>729</v>
      </c>
      <c r="O17" s="6" t="s">
        <v>729</v>
      </c>
      <c r="P17" s="6" t="s">
        <v>729</v>
      </c>
      <c r="Q17" s="6" t="s">
        <v>729</v>
      </c>
      <c r="R17" s="6" t="s">
        <v>729</v>
      </c>
      <c r="S17" s="6" t="s">
        <v>729</v>
      </c>
      <c r="T17" s="6" t="s">
        <v>729</v>
      </c>
      <c r="U17" s="6" t="s">
        <v>729</v>
      </c>
      <c r="V17" s="8" t="s">
        <v>729</v>
      </c>
    </row>
    <row r="18" ht="18" customHeight="1" spans="1:22">
      <c r="A18" s="19"/>
      <c r="B18" s="21" t="s">
        <v>700</v>
      </c>
      <c r="C18" s="21"/>
      <c r="D18" s="21"/>
      <c r="E18" s="22" t="s">
        <v>729</v>
      </c>
      <c r="F18" s="22" t="s">
        <v>729</v>
      </c>
      <c r="G18" s="22" t="s">
        <v>729</v>
      </c>
      <c r="H18" s="22" t="s">
        <v>729</v>
      </c>
      <c r="I18" s="22" t="s">
        <v>729</v>
      </c>
      <c r="J18" s="22" t="s">
        <v>729</v>
      </c>
      <c r="K18" s="22" t="s">
        <v>729</v>
      </c>
      <c r="L18" s="22" t="s">
        <v>729</v>
      </c>
      <c r="M18" s="22" t="s">
        <v>729</v>
      </c>
      <c r="N18" s="22" t="s">
        <v>729</v>
      </c>
      <c r="O18" s="22" t="s">
        <v>729</v>
      </c>
      <c r="P18" s="22" t="s">
        <v>729</v>
      </c>
      <c r="Q18" s="22" t="s">
        <v>729</v>
      </c>
      <c r="R18" s="22" t="s">
        <v>729</v>
      </c>
      <c r="S18" s="22" t="s">
        <v>729</v>
      </c>
      <c r="T18" s="22" t="s">
        <v>729</v>
      </c>
      <c r="U18" s="22" t="s">
        <v>729</v>
      </c>
      <c r="V18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5:D15"/>
    <mergeCell ref="B16:D16"/>
    <mergeCell ref="B17:D17"/>
    <mergeCell ref="B18:D18"/>
    <mergeCell ref="A7:A10"/>
    <mergeCell ref="A11:A14"/>
    <mergeCell ref="A15:A18"/>
  </mergeCells>
  <dataValidations count="3">
    <dataValidation type="list" allowBlank="1" sqref="F10:V10 F12:V14 F8:V9">
      <formula1>"O,-"</formula1>
    </dataValidation>
    <dataValidation type="list" allowBlank="1" sqref="F15:V15">
      <formula1>"N,A,B"</formula1>
    </dataValidation>
    <dataValidation type="list" allowBlank="1" sqref="F16:V16">
      <formula1>"P,F"</formula1>
    </dataValidation>
  </dataValidations>
  <pageMargins left="0.7" right="0.7" top="0.75" bottom="0.75" header="0.3" footer="0.3"/>
  <pageSetup paperSize="1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0"/>
  <sheetViews>
    <sheetView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78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119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827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3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1</v>
      </c>
      <c r="M5" s="11">
        <v>2</v>
      </c>
      <c r="N5" s="11">
        <v>0</v>
      </c>
      <c r="O5" s="12">
        <v>3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687</v>
      </c>
      <c r="H6" s="14" t="s">
        <v>688</v>
      </c>
      <c r="I6" s="14" t="s">
        <v>729</v>
      </c>
      <c r="J6" s="14" t="s">
        <v>729</v>
      </c>
      <c r="K6" s="14" t="s">
        <v>729</v>
      </c>
      <c r="L6" s="14" t="s">
        <v>729</v>
      </c>
      <c r="M6" s="14" t="s">
        <v>729</v>
      </c>
      <c r="N6" s="14" t="s">
        <v>729</v>
      </c>
      <c r="O6" s="14" t="s">
        <v>729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28" customHeight="1" spans="1:22">
      <c r="A7" s="16" t="s">
        <v>690</v>
      </c>
      <c r="B7" s="17" t="s">
        <v>828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28" customHeight="1" spans="1:22">
      <c r="A8" s="16"/>
      <c r="B8" s="6" t="s">
        <v>729</v>
      </c>
      <c r="C8" s="6" t="s">
        <v>729</v>
      </c>
      <c r="D8" s="18" t="s">
        <v>829</v>
      </c>
      <c r="E8" s="6" t="s">
        <v>729</v>
      </c>
      <c r="F8" s="11" t="s">
        <v>752</v>
      </c>
      <c r="G8" s="11" t="s">
        <v>756</v>
      </c>
      <c r="H8" s="11" t="s">
        <v>756</v>
      </c>
      <c r="I8" s="11" t="s">
        <v>729</v>
      </c>
      <c r="J8" s="11" t="s">
        <v>729</v>
      </c>
      <c r="K8" s="11" t="s">
        <v>729</v>
      </c>
      <c r="L8" s="11" t="s">
        <v>729</v>
      </c>
      <c r="M8" s="11" t="s">
        <v>729</v>
      </c>
      <c r="N8" s="11" t="s">
        <v>729</v>
      </c>
      <c r="O8" s="11" t="s">
        <v>729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40.5" customHeight="1" spans="1:22">
      <c r="A9" s="16"/>
      <c r="B9" s="6" t="s">
        <v>729</v>
      </c>
      <c r="C9" s="6" t="s">
        <v>729</v>
      </c>
      <c r="D9" s="18" t="s">
        <v>830</v>
      </c>
      <c r="E9" s="6" t="s">
        <v>729</v>
      </c>
      <c r="F9" s="11" t="s">
        <v>756</v>
      </c>
      <c r="G9" s="11" t="s">
        <v>752</v>
      </c>
      <c r="H9" s="11" t="s">
        <v>756</v>
      </c>
      <c r="I9" s="11" t="s">
        <v>729</v>
      </c>
      <c r="J9" s="11" t="s">
        <v>729</v>
      </c>
      <c r="K9" s="11" t="s">
        <v>729</v>
      </c>
      <c r="L9" s="11" t="s">
        <v>729</v>
      </c>
      <c r="M9" s="11" t="s">
        <v>729</v>
      </c>
      <c r="N9" s="11" t="s">
        <v>729</v>
      </c>
      <c r="O9" s="11" t="s">
        <v>729</v>
      </c>
      <c r="P9" s="11" t="s">
        <v>729</v>
      </c>
      <c r="Q9" s="11" t="s">
        <v>729</v>
      </c>
      <c r="R9" s="11" t="s">
        <v>729</v>
      </c>
      <c r="S9" s="11" t="s">
        <v>729</v>
      </c>
      <c r="T9" s="11" t="s">
        <v>729</v>
      </c>
      <c r="U9" s="11" t="s">
        <v>729</v>
      </c>
      <c r="V9" s="12" t="s">
        <v>729</v>
      </c>
    </row>
    <row r="10" ht="40.5" customHeight="1" spans="1:22">
      <c r="A10" s="16"/>
      <c r="B10" s="6" t="s">
        <v>729</v>
      </c>
      <c r="C10" s="6" t="s">
        <v>729</v>
      </c>
      <c r="D10" s="18" t="s">
        <v>831</v>
      </c>
      <c r="E10" s="6" t="s">
        <v>729</v>
      </c>
      <c r="F10" s="11" t="s">
        <v>756</v>
      </c>
      <c r="G10" s="11" t="s">
        <v>756</v>
      </c>
      <c r="H10" s="11" t="s">
        <v>752</v>
      </c>
      <c r="I10" s="11" t="s">
        <v>729</v>
      </c>
      <c r="J10" s="11" t="s">
        <v>729</v>
      </c>
      <c r="K10" s="11" t="s">
        <v>729</v>
      </c>
      <c r="L10" s="11" t="s">
        <v>729</v>
      </c>
      <c r="M10" s="11" t="s">
        <v>729</v>
      </c>
      <c r="N10" s="11" t="s">
        <v>729</v>
      </c>
      <c r="O10" s="11" t="s">
        <v>729</v>
      </c>
      <c r="P10" s="11" t="s">
        <v>729</v>
      </c>
      <c r="Q10" s="11" t="s">
        <v>729</v>
      </c>
      <c r="R10" s="11" t="s">
        <v>729</v>
      </c>
      <c r="S10" s="11" t="s">
        <v>729</v>
      </c>
      <c r="T10" s="11" t="s">
        <v>729</v>
      </c>
      <c r="U10" s="11" t="s">
        <v>729</v>
      </c>
      <c r="V10" s="12" t="s">
        <v>729</v>
      </c>
    </row>
    <row r="11" ht="15.5" customHeight="1" spans="1:22">
      <c r="A11" s="16"/>
      <c r="B11" s="17" t="s">
        <v>774</v>
      </c>
      <c r="C11" s="6" t="s">
        <v>729</v>
      </c>
      <c r="D11" s="6" t="s">
        <v>729</v>
      </c>
      <c r="E11" s="6" t="s">
        <v>729</v>
      </c>
      <c r="F11" s="6" t="s">
        <v>729</v>
      </c>
      <c r="G11" s="6" t="s">
        <v>729</v>
      </c>
      <c r="H11" s="6" t="s">
        <v>729</v>
      </c>
      <c r="I11" s="6" t="s">
        <v>729</v>
      </c>
      <c r="J11" s="6" t="s">
        <v>729</v>
      </c>
      <c r="K11" s="6" t="s">
        <v>729</v>
      </c>
      <c r="L11" s="6" t="s">
        <v>729</v>
      </c>
      <c r="M11" s="6" t="s">
        <v>729</v>
      </c>
      <c r="N11" s="6" t="s">
        <v>729</v>
      </c>
      <c r="O11" s="6" t="s">
        <v>729</v>
      </c>
      <c r="P11" s="6" t="s">
        <v>729</v>
      </c>
      <c r="Q11" s="6" t="s">
        <v>729</v>
      </c>
      <c r="R11" s="6" t="s">
        <v>729</v>
      </c>
      <c r="S11" s="6" t="s">
        <v>729</v>
      </c>
      <c r="T11" s="6" t="s">
        <v>729</v>
      </c>
      <c r="U11" s="6" t="s">
        <v>729</v>
      </c>
      <c r="V11" s="8" t="s">
        <v>729</v>
      </c>
    </row>
    <row r="12" ht="28" customHeight="1" spans="1:22">
      <c r="A12" s="16"/>
      <c r="B12" s="6" t="s">
        <v>729</v>
      </c>
      <c r="C12" s="6" t="s">
        <v>729</v>
      </c>
      <c r="D12" s="18" t="s">
        <v>832</v>
      </c>
      <c r="E12" s="6" t="s">
        <v>729</v>
      </c>
      <c r="F12" s="11" t="s">
        <v>752</v>
      </c>
      <c r="G12" s="11" t="s">
        <v>752</v>
      </c>
      <c r="H12" s="11" t="s">
        <v>752</v>
      </c>
      <c r="I12" s="11" t="s">
        <v>729</v>
      </c>
      <c r="J12" s="11" t="s">
        <v>729</v>
      </c>
      <c r="K12" s="11" t="s">
        <v>729</v>
      </c>
      <c r="L12" s="11" t="s">
        <v>729</v>
      </c>
      <c r="M12" s="11" t="s">
        <v>729</v>
      </c>
      <c r="N12" s="11" t="s">
        <v>729</v>
      </c>
      <c r="O12" s="11" t="s">
        <v>729</v>
      </c>
      <c r="P12" s="11" t="s">
        <v>729</v>
      </c>
      <c r="Q12" s="11" t="s">
        <v>729</v>
      </c>
      <c r="R12" s="11" t="s">
        <v>729</v>
      </c>
      <c r="S12" s="11" t="s">
        <v>729</v>
      </c>
      <c r="T12" s="11" t="s">
        <v>729</v>
      </c>
      <c r="U12" s="11" t="s">
        <v>729</v>
      </c>
      <c r="V12" s="12" t="s">
        <v>729</v>
      </c>
    </row>
    <row r="13" ht="15.5" customHeight="1" spans="1:22">
      <c r="A13" s="16" t="s">
        <v>692</v>
      </c>
      <c r="B13" s="17" t="s">
        <v>693</v>
      </c>
      <c r="C13" s="6" t="s">
        <v>729</v>
      </c>
      <c r="D13" s="6" t="s">
        <v>729</v>
      </c>
      <c r="E13" s="6" t="s">
        <v>729</v>
      </c>
      <c r="F13" s="6" t="s">
        <v>729</v>
      </c>
      <c r="G13" s="6" t="s">
        <v>729</v>
      </c>
      <c r="H13" s="6" t="s">
        <v>729</v>
      </c>
      <c r="I13" s="6" t="s">
        <v>729</v>
      </c>
      <c r="J13" s="6" t="s">
        <v>729</v>
      </c>
      <c r="K13" s="6" t="s">
        <v>729</v>
      </c>
      <c r="L13" s="6" t="s">
        <v>729</v>
      </c>
      <c r="M13" s="6" t="s">
        <v>729</v>
      </c>
      <c r="N13" s="6" t="s">
        <v>729</v>
      </c>
      <c r="O13" s="6" t="s">
        <v>729</v>
      </c>
      <c r="P13" s="6" t="s">
        <v>729</v>
      </c>
      <c r="Q13" s="6" t="s">
        <v>729</v>
      </c>
      <c r="R13" s="6" t="s">
        <v>729</v>
      </c>
      <c r="S13" s="6" t="s">
        <v>729</v>
      </c>
      <c r="T13" s="6" t="s">
        <v>729</v>
      </c>
      <c r="U13" s="6" t="s">
        <v>729</v>
      </c>
      <c r="V13" s="8" t="s">
        <v>729</v>
      </c>
    </row>
    <row r="14" ht="53" customHeight="1" spans="1:22">
      <c r="A14" s="16"/>
      <c r="B14" s="6" t="s">
        <v>729</v>
      </c>
      <c r="C14" s="6" t="s">
        <v>729</v>
      </c>
      <c r="D14" s="18" t="s">
        <v>833</v>
      </c>
      <c r="E14" s="6" t="s">
        <v>729</v>
      </c>
      <c r="F14" s="11" t="s">
        <v>756</v>
      </c>
      <c r="G14" s="11" t="s">
        <v>756</v>
      </c>
      <c r="H14" s="11" t="s">
        <v>752</v>
      </c>
      <c r="I14" s="11" t="s">
        <v>729</v>
      </c>
      <c r="J14" s="11" t="s">
        <v>729</v>
      </c>
      <c r="K14" s="11" t="s">
        <v>729</v>
      </c>
      <c r="L14" s="11" t="s">
        <v>729</v>
      </c>
      <c r="M14" s="11" t="s">
        <v>729</v>
      </c>
      <c r="N14" s="11" t="s">
        <v>729</v>
      </c>
      <c r="O14" s="11" t="s">
        <v>729</v>
      </c>
      <c r="P14" s="11" t="s">
        <v>729</v>
      </c>
      <c r="Q14" s="11" t="s">
        <v>729</v>
      </c>
      <c r="R14" s="11" t="s">
        <v>729</v>
      </c>
      <c r="S14" s="11" t="s">
        <v>729</v>
      </c>
      <c r="T14" s="11" t="s">
        <v>729</v>
      </c>
      <c r="U14" s="11" t="s">
        <v>729</v>
      </c>
      <c r="V14" s="12" t="s">
        <v>729</v>
      </c>
    </row>
    <row r="15" ht="15.5" customHeight="1" spans="1:22">
      <c r="A15" s="16"/>
      <c r="B15" s="17" t="s">
        <v>694</v>
      </c>
      <c r="C15" s="6" t="s">
        <v>729</v>
      </c>
      <c r="D15" s="6" t="s">
        <v>729</v>
      </c>
      <c r="E15" s="6" t="s">
        <v>729</v>
      </c>
      <c r="F15" s="6" t="s">
        <v>729</v>
      </c>
      <c r="G15" s="6" t="s">
        <v>729</v>
      </c>
      <c r="H15" s="6" t="s">
        <v>729</v>
      </c>
      <c r="I15" s="6" t="s">
        <v>729</v>
      </c>
      <c r="J15" s="6" t="s">
        <v>729</v>
      </c>
      <c r="K15" s="6" t="s">
        <v>729</v>
      </c>
      <c r="L15" s="6" t="s">
        <v>729</v>
      </c>
      <c r="M15" s="6" t="s">
        <v>729</v>
      </c>
      <c r="N15" s="6" t="s">
        <v>729</v>
      </c>
      <c r="O15" s="6" t="s">
        <v>729</v>
      </c>
      <c r="P15" s="6" t="s">
        <v>729</v>
      </c>
      <c r="Q15" s="6" t="s">
        <v>729</v>
      </c>
      <c r="R15" s="6" t="s">
        <v>729</v>
      </c>
      <c r="S15" s="6" t="s">
        <v>729</v>
      </c>
      <c r="T15" s="6" t="s">
        <v>729</v>
      </c>
      <c r="U15" s="6" t="s">
        <v>729</v>
      </c>
      <c r="V15" s="8" t="s">
        <v>729</v>
      </c>
    </row>
    <row r="16" ht="53" customHeight="1" spans="1:22">
      <c r="A16" s="16"/>
      <c r="B16" s="6" t="s">
        <v>729</v>
      </c>
      <c r="C16" s="6" t="s">
        <v>729</v>
      </c>
      <c r="D16" s="18" t="s">
        <v>834</v>
      </c>
      <c r="E16" s="6" t="s">
        <v>729</v>
      </c>
      <c r="F16" s="11" t="s">
        <v>752</v>
      </c>
      <c r="G16" s="11" t="s">
        <v>752</v>
      </c>
      <c r="H16" s="11" t="s">
        <v>756</v>
      </c>
      <c r="I16" s="11" t="s">
        <v>729</v>
      </c>
      <c r="J16" s="11" t="s">
        <v>729</v>
      </c>
      <c r="K16" s="11" t="s">
        <v>729</v>
      </c>
      <c r="L16" s="11" t="s">
        <v>729</v>
      </c>
      <c r="M16" s="11" t="s">
        <v>729</v>
      </c>
      <c r="N16" s="11" t="s">
        <v>729</v>
      </c>
      <c r="O16" s="11" t="s">
        <v>729</v>
      </c>
      <c r="P16" s="11" t="s">
        <v>729</v>
      </c>
      <c r="Q16" s="11" t="s">
        <v>729</v>
      </c>
      <c r="R16" s="11" t="s">
        <v>729</v>
      </c>
      <c r="S16" s="11" t="s">
        <v>729</v>
      </c>
      <c r="T16" s="11" t="s">
        <v>729</v>
      </c>
      <c r="U16" s="11" t="s">
        <v>729</v>
      </c>
      <c r="V16" s="12" t="s">
        <v>729</v>
      </c>
    </row>
    <row r="17" ht="18" customHeight="1" spans="1:22">
      <c r="A17" s="19" t="s">
        <v>696</v>
      </c>
      <c r="B17" s="20" t="s">
        <v>765</v>
      </c>
      <c r="C17" s="20"/>
      <c r="D17" s="20"/>
      <c r="E17" s="6" t="s">
        <v>729</v>
      </c>
      <c r="F17" s="11" t="s">
        <v>63</v>
      </c>
      <c r="G17" s="11" t="s">
        <v>63</v>
      </c>
      <c r="H17" s="11" t="s">
        <v>670</v>
      </c>
      <c r="I17" s="11" t="s">
        <v>729</v>
      </c>
      <c r="J17" s="11" t="s">
        <v>729</v>
      </c>
      <c r="K17" s="11" t="s">
        <v>729</v>
      </c>
      <c r="L17" s="11" t="s">
        <v>729</v>
      </c>
      <c r="M17" s="11" t="s">
        <v>729</v>
      </c>
      <c r="N17" s="11" t="s">
        <v>729</v>
      </c>
      <c r="O17" s="11" t="s">
        <v>729</v>
      </c>
      <c r="P17" s="11" t="s">
        <v>729</v>
      </c>
      <c r="Q17" s="11" t="s">
        <v>729</v>
      </c>
      <c r="R17" s="11" t="s">
        <v>729</v>
      </c>
      <c r="S17" s="11" t="s">
        <v>729</v>
      </c>
      <c r="T17" s="11" t="s">
        <v>729</v>
      </c>
      <c r="U17" s="11" t="s">
        <v>729</v>
      </c>
      <c r="V17" s="12" t="s">
        <v>729</v>
      </c>
    </row>
    <row r="18" ht="18" customHeight="1" spans="1:22">
      <c r="A18" s="19"/>
      <c r="B18" s="20" t="s">
        <v>698</v>
      </c>
      <c r="C18" s="20"/>
      <c r="D18" s="20"/>
      <c r="E18" s="6" t="s">
        <v>729</v>
      </c>
      <c r="F18" s="11" t="s">
        <v>766</v>
      </c>
      <c r="G18" s="11" t="s">
        <v>766</v>
      </c>
      <c r="H18" s="11" t="s">
        <v>766</v>
      </c>
      <c r="I18" s="11" t="s">
        <v>729</v>
      </c>
      <c r="J18" s="11" t="s">
        <v>729</v>
      </c>
      <c r="K18" s="11" t="s">
        <v>729</v>
      </c>
      <c r="L18" s="11" t="s">
        <v>729</v>
      </c>
      <c r="M18" s="11" t="s">
        <v>729</v>
      </c>
      <c r="N18" s="11" t="s">
        <v>729</v>
      </c>
      <c r="O18" s="11" t="s">
        <v>729</v>
      </c>
      <c r="P18" s="11" t="s">
        <v>729</v>
      </c>
      <c r="Q18" s="11" t="s">
        <v>729</v>
      </c>
      <c r="R18" s="11" t="s">
        <v>729</v>
      </c>
      <c r="S18" s="11" t="s">
        <v>729</v>
      </c>
      <c r="T18" s="11" t="s">
        <v>729</v>
      </c>
      <c r="U18" s="11" t="s">
        <v>729</v>
      </c>
      <c r="V18" s="12" t="s">
        <v>729</v>
      </c>
    </row>
    <row r="19" ht="18" customHeight="1" spans="1:22">
      <c r="A19" s="19"/>
      <c r="B19" s="20" t="s">
        <v>699</v>
      </c>
      <c r="C19" s="20"/>
      <c r="D19" s="20"/>
      <c r="E19" s="6" t="s">
        <v>729</v>
      </c>
      <c r="F19" s="6" t="s">
        <v>729</v>
      </c>
      <c r="G19" s="6" t="s">
        <v>729</v>
      </c>
      <c r="H19" s="6" t="s">
        <v>729</v>
      </c>
      <c r="I19" s="6" t="s">
        <v>729</v>
      </c>
      <c r="J19" s="6" t="s">
        <v>729</v>
      </c>
      <c r="K19" s="6" t="s">
        <v>729</v>
      </c>
      <c r="L19" s="6" t="s">
        <v>729</v>
      </c>
      <c r="M19" s="6" t="s">
        <v>729</v>
      </c>
      <c r="N19" s="6" t="s">
        <v>729</v>
      </c>
      <c r="O19" s="6" t="s">
        <v>729</v>
      </c>
      <c r="P19" s="6" t="s">
        <v>729</v>
      </c>
      <c r="Q19" s="6" t="s">
        <v>729</v>
      </c>
      <c r="R19" s="6" t="s">
        <v>729</v>
      </c>
      <c r="S19" s="6" t="s">
        <v>729</v>
      </c>
      <c r="T19" s="6" t="s">
        <v>729</v>
      </c>
      <c r="U19" s="6" t="s">
        <v>729</v>
      </c>
      <c r="V19" s="8" t="s">
        <v>729</v>
      </c>
    </row>
    <row r="20" ht="18" customHeight="1" spans="1:22">
      <c r="A20" s="19"/>
      <c r="B20" s="21" t="s">
        <v>700</v>
      </c>
      <c r="C20" s="21"/>
      <c r="D20" s="21"/>
      <c r="E20" s="22" t="s">
        <v>729</v>
      </c>
      <c r="F20" s="22" t="s">
        <v>729</v>
      </c>
      <c r="G20" s="22" t="s">
        <v>729</v>
      </c>
      <c r="H20" s="22" t="s">
        <v>729</v>
      </c>
      <c r="I20" s="22" t="s">
        <v>729</v>
      </c>
      <c r="J20" s="22" t="s">
        <v>729</v>
      </c>
      <c r="K20" s="22" t="s">
        <v>729</v>
      </c>
      <c r="L20" s="22" t="s">
        <v>729</v>
      </c>
      <c r="M20" s="22" t="s">
        <v>729</v>
      </c>
      <c r="N20" s="22" t="s">
        <v>729</v>
      </c>
      <c r="O20" s="22" t="s">
        <v>729</v>
      </c>
      <c r="P20" s="22" t="s">
        <v>729</v>
      </c>
      <c r="Q20" s="22" t="s">
        <v>729</v>
      </c>
      <c r="R20" s="22" t="s">
        <v>729</v>
      </c>
      <c r="S20" s="22" t="s">
        <v>729</v>
      </c>
      <c r="T20" s="22" t="s">
        <v>729</v>
      </c>
      <c r="U20" s="22" t="s">
        <v>729</v>
      </c>
      <c r="V20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7:D17"/>
    <mergeCell ref="B18:D18"/>
    <mergeCell ref="B19:D19"/>
    <mergeCell ref="B20:D20"/>
    <mergeCell ref="A7:A12"/>
    <mergeCell ref="A13:A16"/>
    <mergeCell ref="A17:A20"/>
  </mergeCells>
  <dataValidations count="3">
    <dataValidation type="list" allowBlank="1" sqref="F10:V10 F12:V12 F14:V14 F16:V16 F8:V9">
      <formula1>"O,-"</formula1>
    </dataValidation>
    <dataValidation type="list" allowBlank="1" sqref="F17:V17">
      <formula1>"N,A,B"</formula1>
    </dataValidation>
    <dataValidation type="list" allowBlank="1" sqref="F18:V18">
      <formula1>"P,F"</formula1>
    </dataValidation>
  </dataValidations>
  <pageMargins left="0.7" right="0.7" top="0.75" bottom="0.75" header="0.3" footer="0.3"/>
  <pageSetup paperSize="1" orientation="portrait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9"/>
  <sheetViews>
    <sheetView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78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124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835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3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3</v>
      </c>
      <c r="M5" s="11">
        <v>0</v>
      </c>
      <c r="N5" s="11">
        <v>0</v>
      </c>
      <c r="O5" s="12">
        <v>3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687</v>
      </c>
      <c r="H6" s="14" t="s">
        <v>688</v>
      </c>
      <c r="I6" s="14" t="s">
        <v>729</v>
      </c>
      <c r="J6" s="14" t="s">
        <v>729</v>
      </c>
      <c r="K6" s="14" t="s">
        <v>729</v>
      </c>
      <c r="L6" s="14" t="s">
        <v>729</v>
      </c>
      <c r="M6" s="14" t="s">
        <v>729</v>
      </c>
      <c r="N6" s="14" t="s">
        <v>729</v>
      </c>
      <c r="O6" s="14" t="s">
        <v>729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28" customHeight="1" spans="1:22">
      <c r="A7" s="16" t="s">
        <v>690</v>
      </c>
      <c r="B7" s="17" t="s">
        <v>836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53" customHeight="1" spans="1:22">
      <c r="A8" s="16"/>
      <c r="B8" s="6" t="s">
        <v>729</v>
      </c>
      <c r="C8" s="6" t="s">
        <v>729</v>
      </c>
      <c r="D8" s="18" t="s">
        <v>837</v>
      </c>
      <c r="E8" s="6" t="s">
        <v>729</v>
      </c>
      <c r="F8" s="11" t="s">
        <v>752</v>
      </c>
      <c r="G8" s="11" t="s">
        <v>756</v>
      </c>
      <c r="H8" s="11" t="s">
        <v>756</v>
      </c>
      <c r="I8" s="11" t="s">
        <v>729</v>
      </c>
      <c r="J8" s="11" t="s">
        <v>729</v>
      </c>
      <c r="K8" s="11" t="s">
        <v>729</v>
      </c>
      <c r="L8" s="11" t="s">
        <v>729</v>
      </c>
      <c r="M8" s="11" t="s">
        <v>729</v>
      </c>
      <c r="N8" s="11" t="s">
        <v>729</v>
      </c>
      <c r="O8" s="11" t="s">
        <v>729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53" customHeight="1" spans="1:22">
      <c r="A9" s="16"/>
      <c r="B9" s="6" t="s">
        <v>729</v>
      </c>
      <c r="C9" s="6" t="s">
        <v>729</v>
      </c>
      <c r="D9" s="18" t="s">
        <v>838</v>
      </c>
      <c r="E9" s="6" t="s">
        <v>729</v>
      </c>
      <c r="F9" s="11" t="s">
        <v>756</v>
      </c>
      <c r="G9" s="11" t="s">
        <v>752</v>
      </c>
      <c r="H9" s="11" t="s">
        <v>756</v>
      </c>
      <c r="I9" s="11" t="s">
        <v>729</v>
      </c>
      <c r="J9" s="11" t="s">
        <v>729</v>
      </c>
      <c r="K9" s="11" t="s">
        <v>729</v>
      </c>
      <c r="L9" s="11" t="s">
        <v>729</v>
      </c>
      <c r="M9" s="11" t="s">
        <v>729</v>
      </c>
      <c r="N9" s="11" t="s">
        <v>729</v>
      </c>
      <c r="O9" s="11" t="s">
        <v>729</v>
      </c>
      <c r="P9" s="11" t="s">
        <v>729</v>
      </c>
      <c r="Q9" s="11" t="s">
        <v>729</v>
      </c>
      <c r="R9" s="11" t="s">
        <v>729</v>
      </c>
      <c r="S9" s="11" t="s">
        <v>729</v>
      </c>
      <c r="T9" s="11" t="s">
        <v>729</v>
      </c>
      <c r="U9" s="11" t="s">
        <v>729</v>
      </c>
      <c r="V9" s="12" t="s">
        <v>729</v>
      </c>
    </row>
    <row r="10" ht="40.5" customHeight="1" spans="1:22">
      <c r="A10" s="16"/>
      <c r="B10" s="6" t="s">
        <v>729</v>
      </c>
      <c r="C10" s="6" t="s">
        <v>729</v>
      </c>
      <c r="D10" s="18" t="s">
        <v>839</v>
      </c>
      <c r="E10" s="6" t="s">
        <v>729</v>
      </c>
      <c r="F10" s="11" t="s">
        <v>756</v>
      </c>
      <c r="G10" s="11" t="s">
        <v>756</v>
      </c>
      <c r="H10" s="11" t="s">
        <v>752</v>
      </c>
      <c r="I10" s="11" t="s">
        <v>729</v>
      </c>
      <c r="J10" s="11" t="s">
        <v>729</v>
      </c>
      <c r="K10" s="11" t="s">
        <v>729</v>
      </c>
      <c r="L10" s="11" t="s">
        <v>729</v>
      </c>
      <c r="M10" s="11" t="s">
        <v>729</v>
      </c>
      <c r="N10" s="11" t="s">
        <v>729</v>
      </c>
      <c r="O10" s="11" t="s">
        <v>729</v>
      </c>
      <c r="P10" s="11" t="s">
        <v>729</v>
      </c>
      <c r="Q10" s="11" t="s">
        <v>729</v>
      </c>
      <c r="R10" s="11" t="s">
        <v>729</v>
      </c>
      <c r="S10" s="11" t="s">
        <v>729</v>
      </c>
      <c r="T10" s="11" t="s">
        <v>729</v>
      </c>
      <c r="U10" s="11" t="s">
        <v>729</v>
      </c>
      <c r="V10" s="12" t="s">
        <v>729</v>
      </c>
    </row>
    <row r="11" ht="15.5" customHeight="1" spans="1:22">
      <c r="A11" s="16" t="s">
        <v>692</v>
      </c>
      <c r="B11" s="17" t="s">
        <v>693</v>
      </c>
      <c r="C11" s="6" t="s">
        <v>729</v>
      </c>
      <c r="D11" s="6" t="s">
        <v>729</v>
      </c>
      <c r="E11" s="6" t="s">
        <v>729</v>
      </c>
      <c r="F11" s="6" t="s">
        <v>729</v>
      </c>
      <c r="G11" s="6" t="s">
        <v>729</v>
      </c>
      <c r="H11" s="6" t="s">
        <v>729</v>
      </c>
      <c r="I11" s="6" t="s">
        <v>729</v>
      </c>
      <c r="J11" s="6" t="s">
        <v>729</v>
      </c>
      <c r="K11" s="6" t="s">
        <v>729</v>
      </c>
      <c r="L11" s="6" t="s">
        <v>729</v>
      </c>
      <c r="M11" s="6" t="s">
        <v>729</v>
      </c>
      <c r="N11" s="6" t="s">
        <v>729</v>
      </c>
      <c r="O11" s="6" t="s">
        <v>729</v>
      </c>
      <c r="P11" s="6" t="s">
        <v>729</v>
      </c>
      <c r="Q11" s="6" t="s">
        <v>729</v>
      </c>
      <c r="R11" s="6" t="s">
        <v>729</v>
      </c>
      <c r="S11" s="6" t="s">
        <v>729</v>
      </c>
      <c r="T11" s="6" t="s">
        <v>729</v>
      </c>
      <c r="U11" s="6" t="s">
        <v>729</v>
      </c>
      <c r="V11" s="8" t="s">
        <v>729</v>
      </c>
    </row>
    <row r="12" ht="53" customHeight="1" spans="1:22">
      <c r="A12" s="16"/>
      <c r="B12" s="6" t="s">
        <v>729</v>
      </c>
      <c r="C12" s="6" t="s">
        <v>729</v>
      </c>
      <c r="D12" s="18" t="s">
        <v>840</v>
      </c>
      <c r="E12" s="6" t="s">
        <v>729</v>
      </c>
      <c r="F12" s="11" t="s">
        <v>752</v>
      </c>
      <c r="G12" s="11" t="s">
        <v>756</v>
      </c>
      <c r="H12" s="11" t="s">
        <v>756</v>
      </c>
      <c r="I12" s="11" t="s">
        <v>729</v>
      </c>
      <c r="J12" s="11" t="s">
        <v>729</v>
      </c>
      <c r="K12" s="11" t="s">
        <v>729</v>
      </c>
      <c r="L12" s="11" t="s">
        <v>729</v>
      </c>
      <c r="M12" s="11" t="s">
        <v>729</v>
      </c>
      <c r="N12" s="11" t="s">
        <v>729</v>
      </c>
      <c r="O12" s="11" t="s">
        <v>729</v>
      </c>
      <c r="P12" s="11" t="s">
        <v>729</v>
      </c>
      <c r="Q12" s="11" t="s">
        <v>729</v>
      </c>
      <c r="R12" s="11" t="s">
        <v>729</v>
      </c>
      <c r="S12" s="11" t="s">
        <v>729</v>
      </c>
      <c r="T12" s="11" t="s">
        <v>729</v>
      </c>
      <c r="U12" s="11" t="s">
        <v>729</v>
      </c>
      <c r="V12" s="12" t="s">
        <v>729</v>
      </c>
    </row>
    <row r="13" ht="65.5" customHeight="1" spans="1:22">
      <c r="A13" s="16"/>
      <c r="B13" s="6" t="s">
        <v>729</v>
      </c>
      <c r="C13" s="6" t="s">
        <v>729</v>
      </c>
      <c r="D13" s="18" t="s">
        <v>841</v>
      </c>
      <c r="E13" s="6" t="s">
        <v>729</v>
      </c>
      <c r="F13" s="11" t="s">
        <v>756</v>
      </c>
      <c r="G13" s="11" t="s">
        <v>752</v>
      </c>
      <c r="H13" s="11" t="s">
        <v>756</v>
      </c>
      <c r="I13" s="11" t="s">
        <v>729</v>
      </c>
      <c r="J13" s="11" t="s">
        <v>729</v>
      </c>
      <c r="K13" s="11" t="s">
        <v>729</v>
      </c>
      <c r="L13" s="11" t="s">
        <v>729</v>
      </c>
      <c r="M13" s="11" t="s">
        <v>729</v>
      </c>
      <c r="N13" s="11" t="s">
        <v>729</v>
      </c>
      <c r="O13" s="11" t="s">
        <v>729</v>
      </c>
      <c r="P13" s="11" t="s">
        <v>729</v>
      </c>
      <c r="Q13" s="11" t="s">
        <v>729</v>
      </c>
      <c r="R13" s="11" t="s">
        <v>729</v>
      </c>
      <c r="S13" s="11" t="s">
        <v>729</v>
      </c>
      <c r="T13" s="11" t="s">
        <v>729</v>
      </c>
      <c r="U13" s="11" t="s">
        <v>729</v>
      </c>
      <c r="V13" s="12" t="s">
        <v>729</v>
      </c>
    </row>
    <row r="14" ht="65.5" customHeight="1" spans="1:22">
      <c r="A14" s="16"/>
      <c r="B14" s="6" t="s">
        <v>729</v>
      </c>
      <c r="C14" s="6" t="s">
        <v>729</v>
      </c>
      <c r="D14" s="18" t="s">
        <v>842</v>
      </c>
      <c r="E14" s="6" t="s">
        <v>729</v>
      </c>
      <c r="F14" s="11" t="s">
        <v>756</v>
      </c>
      <c r="G14" s="11" t="s">
        <v>756</v>
      </c>
      <c r="H14" s="11" t="s">
        <v>752</v>
      </c>
      <c r="I14" s="11" t="s">
        <v>729</v>
      </c>
      <c r="J14" s="11" t="s">
        <v>729</v>
      </c>
      <c r="K14" s="11" t="s">
        <v>729</v>
      </c>
      <c r="L14" s="11" t="s">
        <v>729</v>
      </c>
      <c r="M14" s="11" t="s">
        <v>729</v>
      </c>
      <c r="N14" s="11" t="s">
        <v>729</v>
      </c>
      <c r="O14" s="11" t="s">
        <v>729</v>
      </c>
      <c r="P14" s="11" t="s">
        <v>729</v>
      </c>
      <c r="Q14" s="11" t="s">
        <v>729</v>
      </c>
      <c r="R14" s="11" t="s">
        <v>729</v>
      </c>
      <c r="S14" s="11" t="s">
        <v>729</v>
      </c>
      <c r="T14" s="11" t="s">
        <v>729</v>
      </c>
      <c r="U14" s="11" t="s">
        <v>729</v>
      </c>
      <c r="V14" s="12" t="s">
        <v>729</v>
      </c>
    </row>
    <row r="15" ht="65.5" customHeight="1" spans="1:22">
      <c r="A15" s="16"/>
      <c r="B15" s="6" t="s">
        <v>729</v>
      </c>
      <c r="C15" s="6" t="s">
        <v>729</v>
      </c>
      <c r="D15" s="18" t="s">
        <v>843</v>
      </c>
      <c r="E15" s="6" t="s">
        <v>729</v>
      </c>
      <c r="F15" s="11" t="s">
        <v>752</v>
      </c>
      <c r="G15" s="11" t="s">
        <v>752</v>
      </c>
      <c r="H15" s="11" t="s">
        <v>756</v>
      </c>
      <c r="I15" s="11" t="s">
        <v>729</v>
      </c>
      <c r="J15" s="11" t="s">
        <v>729</v>
      </c>
      <c r="K15" s="11" t="s">
        <v>729</v>
      </c>
      <c r="L15" s="11" t="s">
        <v>729</v>
      </c>
      <c r="M15" s="11" t="s">
        <v>729</v>
      </c>
      <c r="N15" s="11" t="s">
        <v>729</v>
      </c>
      <c r="O15" s="11" t="s">
        <v>729</v>
      </c>
      <c r="P15" s="11" t="s">
        <v>729</v>
      </c>
      <c r="Q15" s="11" t="s">
        <v>729</v>
      </c>
      <c r="R15" s="11" t="s">
        <v>729</v>
      </c>
      <c r="S15" s="11" t="s">
        <v>729</v>
      </c>
      <c r="T15" s="11" t="s">
        <v>729</v>
      </c>
      <c r="U15" s="11" t="s">
        <v>729</v>
      </c>
      <c r="V15" s="12" t="s">
        <v>729</v>
      </c>
    </row>
    <row r="16" ht="18" customHeight="1" spans="1:22">
      <c r="A16" s="19" t="s">
        <v>696</v>
      </c>
      <c r="B16" s="20" t="s">
        <v>765</v>
      </c>
      <c r="C16" s="20"/>
      <c r="D16" s="20"/>
      <c r="E16" s="6" t="s">
        <v>729</v>
      </c>
      <c r="F16" s="11" t="s">
        <v>670</v>
      </c>
      <c r="G16" s="11" t="s">
        <v>670</v>
      </c>
      <c r="H16" s="11" t="s">
        <v>670</v>
      </c>
      <c r="I16" s="11" t="s">
        <v>729</v>
      </c>
      <c r="J16" s="11" t="s">
        <v>729</v>
      </c>
      <c r="K16" s="11" t="s">
        <v>729</v>
      </c>
      <c r="L16" s="11" t="s">
        <v>729</v>
      </c>
      <c r="M16" s="11" t="s">
        <v>729</v>
      </c>
      <c r="N16" s="11" t="s">
        <v>729</v>
      </c>
      <c r="O16" s="11" t="s">
        <v>729</v>
      </c>
      <c r="P16" s="11" t="s">
        <v>729</v>
      </c>
      <c r="Q16" s="11" t="s">
        <v>729</v>
      </c>
      <c r="R16" s="11" t="s">
        <v>729</v>
      </c>
      <c r="S16" s="11" t="s">
        <v>729</v>
      </c>
      <c r="T16" s="11" t="s">
        <v>729</v>
      </c>
      <c r="U16" s="11" t="s">
        <v>729</v>
      </c>
      <c r="V16" s="12" t="s">
        <v>729</v>
      </c>
    </row>
    <row r="17" ht="18" customHeight="1" spans="1:22">
      <c r="A17" s="19"/>
      <c r="B17" s="20" t="s">
        <v>698</v>
      </c>
      <c r="C17" s="20"/>
      <c r="D17" s="20"/>
      <c r="E17" s="6" t="s">
        <v>729</v>
      </c>
      <c r="F17" s="11" t="s">
        <v>766</v>
      </c>
      <c r="G17" s="11" t="s">
        <v>766</v>
      </c>
      <c r="H17" s="11" t="s">
        <v>766</v>
      </c>
      <c r="I17" s="11" t="s">
        <v>729</v>
      </c>
      <c r="J17" s="11" t="s">
        <v>729</v>
      </c>
      <c r="K17" s="11" t="s">
        <v>729</v>
      </c>
      <c r="L17" s="11" t="s">
        <v>729</v>
      </c>
      <c r="M17" s="11" t="s">
        <v>729</v>
      </c>
      <c r="N17" s="11" t="s">
        <v>729</v>
      </c>
      <c r="O17" s="11" t="s">
        <v>729</v>
      </c>
      <c r="P17" s="11" t="s">
        <v>729</v>
      </c>
      <c r="Q17" s="11" t="s">
        <v>729</v>
      </c>
      <c r="R17" s="11" t="s">
        <v>729</v>
      </c>
      <c r="S17" s="11" t="s">
        <v>729</v>
      </c>
      <c r="T17" s="11" t="s">
        <v>729</v>
      </c>
      <c r="U17" s="11" t="s">
        <v>729</v>
      </c>
      <c r="V17" s="12" t="s">
        <v>729</v>
      </c>
    </row>
    <row r="18" ht="18" customHeight="1" spans="1:22">
      <c r="A18" s="19"/>
      <c r="B18" s="20" t="s">
        <v>699</v>
      </c>
      <c r="C18" s="20"/>
      <c r="D18" s="20"/>
      <c r="E18" s="6" t="s">
        <v>729</v>
      </c>
      <c r="F18" s="6" t="s">
        <v>729</v>
      </c>
      <c r="G18" s="6" t="s">
        <v>729</v>
      </c>
      <c r="H18" s="6" t="s">
        <v>729</v>
      </c>
      <c r="I18" s="6" t="s">
        <v>729</v>
      </c>
      <c r="J18" s="6" t="s">
        <v>729</v>
      </c>
      <c r="K18" s="6" t="s">
        <v>729</v>
      </c>
      <c r="L18" s="6" t="s">
        <v>729</v>
      </c>
      <c r="M18" s="6" t="s">
        <v>729</v>
      </c>
      <c r="N18" s="6" t="s">
        <v>729</v>
      </c>
      <c r="O18" s="6" t="s">
        <v>729</v>
      </c>
      <c r="P18" s="6" t="s">
        <v>729</v>
      </c>
      <c r="Q18" s="6" t="s">
        <v>729</v>
      </c>
      <c r="R18" s="6" t="s">
        <v>729</v>
      </c>
      <c r="S18" s="6" t="s">
        <v>729</v>
      </c>
      <c r="T18" s="6" t="s">
        <v>729</v>
      </c>
      <c r="U18" s="6" t="s">
        <v>729</v>
      </c>
      <c r="V18" s="8" t="s">
        <v>729</v>
      </c>
    </row>
    <row r="19" ht="18" customHeight="1" spans="1:22">
      <c r="A19" s="19"/>
      <c r="B19" s="21" t="s">
        <v>700</v>
      </c>
      <c r="C19" s="21"/>
      <c r="D19" s="21"/>
      <c r="E19" s="22" t="s">
        <v>729</v>
      </c>
      <c r="F19" s="22" t="s">
        <v>729</v>
      </c>
      <c r="G19" s="22" t="s">
        <v>729</v>
      </c>
      <c r="H19" s="22" t="s">
        <v>729</v>
      </c>
      <c r="I19" s="22" t="s">
        <v>729</v>
      </c>
      <c r="J19" s="22" t="s">
        <v>729</v>
      </c>
      <c r="K19" s="22" t="s">
        <v>729</v>
      </c>
      <c r="L19" s="22" t="s">
        <v>729</v>
      </c>
      <c r="M19" s="22" t="s">
        <v>729</v>
      </c>
      <c r="N19" s="22" t="s">
        <v>729</v>
      </c>
      <c r="O19" s="22" t="s">
        <v>729</v>
      </c>
      <c r="P19" s="22" t="s">
        <v>729</v>
      </c>
      <c r="Q19" s="22" t="s">
        <v>729</v>
      </c>
      <c r="R19" s="22" t="s">
        <v>729</v>
      </c>
      <c r="S19" s="22" t="s">
        <v>729</v>
      </c>
      <c r="T19" s="22" t="s">
        <v>729</v>
      </c>
      <c r="U19" s="22" t="s">
        <v>729</v>
      </c>
      <c r="V19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6:D16"/>
    <mergeCell ref="B17:D17"/>
    <mergeCell ref="B18:D18"/>
    <mergeCell ref="B19:D19"/>
    <mergeCell ref="A7:A10"/>
    <mergeCell ref="A11:A15"/>
    <mergeCell ref="A16:A19"/>
  </mergeCells>
  <dataValidations count="3">
    <dataValidation type="list" allowBlank="1" sqref="F10:V10 F12:V15 F8:V9">
      <formula1>"O,-"</formula1>
    </dataValidation>
    <dataValidation type="list" allowBlank="1" sqref="F16:V16">
      <formula1>"N,A,B"</formula1>
    </dataValidation>
    <dataValidation type="list" allowBlank="1" sqref="F17:V17">
      <formula1>"P,F"</formula1>
    </dataValidation>
  </dataValidations>
  <pageMargins left="0.7" right="0.7" top="0.75" bottom="0.75" header="0.3" footer="0.3"/>
  <pageSetup paperSize="1" orientation="portrait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0"/>
  <sheetViews>
    <sheetView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78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129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28" customHeight="1" spans="1:22">
      <c r="A3" s="5" t="s">
        <v>684</v>
      </c>
      <c r="B3" s="8" t="s">
        <v>844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3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0</v>
      </c>
      <c r="M5" s="11">
        <v>3</v>
      </c>
      <c r="N5" s="11">
        <v>0</v>
      </c>
      <c r="O5" s="12">
        <v>3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687</v>
      </c>
      <c r="H6" s="14" t="s">
        <v>688</v>
      </c>
      <c r="I6" s="14" t="s">
        <v>729</v>
      </c>
      <c r="J6" s="14" t="s">
        <v>729</v>
      </c>
      <c r="K6" s="14" t="s">
        <v>729</v>
      </c>
      <c r="L6" s="14" t="s">
        <v>729</v>
      </c>
      <c r="M6" s="14" t="s">
        <v>729</v>
      </c>
      <c r="N6" s="14" t="s">
        <v>729</v>
      </c>
      <c r="O6" s="14" t="s">
        <v>729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15.5" customHeight="1" spans="1:22">
      <c r="A7" s="16" t="s">
        <v>690</v>
      </c>
      <c r="B7" s="17" t="s">
        <v>845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15.5" customHeight="1" spans="1:22">
      <c r="A8" s="16"/>
      <c r="B8" s="6" t="s">
        <v>729</v>
      </c>
      <c r="C8" s="6" t="s">
        <v>729</v>
      </c>
      <c r="D8" s="18" t="s">
        <v>846</v>
      </c>
      <c r="E8" s="6" t="s">
        <v>729</v>
      </c>
      <c r="F8" s="11" t="s">
        <v>752</v>
      </c>
      <c r="G8" s="11" t="s">
        <v>756</v>
      </c>
      <c r="H8" s="11" t="s">
        <v>756</v>
      </c>
      <c r="I8" s="11" t="s">
        <v>729</v>
      </c>
      <c r="J8" s="11" t="s">
        <v>729</v>
      </c>
      <c r="K8" s="11" t="s">
        <v>729</v>
      </c>
      <c r="L8" s="11" t="s">
        <v>729</v>
      </c>
      <c r="M8" s="11" t="s">
        <v>729</v>
      </c>
      <c r="N8" s="11" t="s">
        <v>729</v>
      </c>
      <c r="O8" s="11" t="s">
        <v>729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15.5" customHeight="1" spans="1:22">
      <c r="A9" s="16"/>
      <c r="B9" s="6" t="s">
        <v>729</v>
      </c>
      <c r="C9" s="6" t="s">
        <v>729</v>
      </c>
      <c r="D9" s="18" t="s">
        <v>847</v>
      </c>
      <c r="E9" s="6" t="s">
        <v>729</v>
      </c>
      <c r="F9" s="11" t="s">
        <v>756</v>
      </c>
      <c r="G9" s="11" t="s">
        <v>752</v>
      </c>
      <c r="H9" s="11" t="s">
        <v>756</v>
      </c>
      <c r="I9" s="11" t="s">
        <v>729</v>
      </c>
      <c r="J9" s="11" t="s">
        <v>729</v>
      </c>
      <c r="K9" s="11" t="s">
        <v>729</v>
      </c>
      <c r="L9" s="11" t="s">
        <v>729</v>
      </c>
      <c r="M9" s="11" t="s">
        <v>729</v>
      </c>
      <c r="N9" s="11" t="s">
        <v>729</v>
      </c>
      <c r="O9" s="11" t="s">
        <v>729</v>
      </c>
      <c r="P9" s="11" t="s">
        <v>729</v>
      </c>
      <c r="Q9" s="11" t="s">
        <v>729</v>
      </c>
      <c r="R9" s="11" t="s">
        <v>729</v>
      </c>
      <c r="S9" s="11" t="s">
        <v>729</v>
      </c>
      <c r="T9" s="11" t="s">
        <v>729</v>
      </c>
      <c r="U9" s="11" t="s">
        <v>729</v>
      </c>
      <c r="V9" s="12" t="s">
        <v>729</v>
      </c>
    </row>
    <row r="10" ht="28" customHeight="1" spans="1:22">
      <c r="A10" s="16"/>
      <c r="B10" s="6" t="s">
        <v>729</v>
      </c>
      <c r="C10" s="6" t="s">
        <v>729</v>
      </c>
      <c r="D10" s="18" t="s">
        <v>848</v>
      </c>
      <c r="E10" s="6" t="s">
        <v>729</v>
      </c>
      <c r="F10" s="11" t="s">
        <v>756</v>
      </c>
      <c r="G10" s="11" t="s">
        <v>756</v>
      </c>
      <c r="H10" s="11" t="s">
        <v>752</v>
      </c>
      <c r="I10" s="11" t="s">
        <v>729</v>
      </c>
      <c r="J10" s="11" t="s">
        <v>729</v>
      </c>
      <c r="K10" s="11" t="s">
        <v>729</v>
      </c>
      <c r="L10" s="11" t="s">
        <v>729</v>
      </c>
      <c r="M10" s="11" t="s">
        <v>729</v>
      </c>
      <c r="N10" s="11" t="s">
        <v>729</v>
      </c>
      <c r="O10" s="11" t="s">
        <v>729</v>
      </c>
      <c r="P10" s="11" t="s">
        <v>729</v>
      </c>
      <c r="Q10" s="11" t="s">
        <v>729</v>
      </c>
      <c r="R10" s="11" t="s">
        <v>729</v>
      </c>
      <c r="S10" s="11" t="s">
        <v>729</v>
      </c>
      <c r="T10" s="11" t="s">
        <v>729</v>
      </c>
      <c r="U10" s="11" t="s">
        <v>729</v>
      </c>
      <c r="V10" s="12" t="s">
        <v>729</v>
      </c>
    </row>
    <row r="11" ht="15.5" customHeight="1" spans="1:22">
      <c r="A11" s="16"/>
      <c r="B11" s="17" t="s">
        <v>774</v>
      </c>
      <c r="C11" s="6" t="s">
        <v>729</v>
      </c>
      <c r="D11" s="6" t="s">
        <v>729</v>
      </c>
      <c r="E11" s="6" t="s">
        <v>729</v>
      </c>
      <c r="F11" s="6" t="s">
        <v>729</v>
      </c>
      <c r="G11" s="6" t="s">
        <v>729</v>
      </c>
      <c r="H11" s="6" t="s">
        <v>729</v>
      </c>
      <c r="I11" s="6" t="s">
        <v>729</v>
      </c>
      <c r="J11" s="6" t="s">
        <v>729</v>
      </c>
      <c r="K11" s="6" t="s">
        <v>729</v>
      </c>
      <c r="L11" s="6" t="s">
        <v>729</v>
      </c>
      <c r="M11" s="6" t="s">
        <v>729</v>
      </c>
      <c r="N11" s="6" t="s">
        <v>729</v>
      </c>
      <c r="O11" s="6" t="s">
        <v>729</v>
      </c>
      <c r="P11" s="6" t="s">
        <v>729</v>
      </c>
      <c r="Q11" s="6" t="s">
        <v>729</v>
      </c>
      <c r="R11" s="6" t="s">
        <v>729</v>
      </c>
      <c r="S11" s="6" t="s">
        <v>729</v>
      </c>
      <c r="T11" s="6" t="s">
        <v>729</v>
      </c>
      <c r="U11" s="6" t="s">
        <v>729</v>
      </c>
      <c r="V11" s="8" t="s">
        <v>729</v>
      </c>
    </row>
    <row r="12" ht="53" customHeight="1" spans="1:22">
      <c r="A12" s="16"/>
      <c r="B12" s="6" t="s">
        <v>729</v>
      </c>
      <c r="C12" s="6" t="s">
        <v>729</v>
      </c>
      <c r="D12" s="18" t="s">
        <v>849</v>
      </c>
      <c r="E12" s="6" t="s">
        <v>729</v>
      </c>
      <c r="F12" s="11" t="s">
        <v>752</v>
      </c>
      <c r="G12" s="11" t="s">
        <v>752</v>
      </c>
      <c r="H12" s="11" t="s">
        <v>752</v>
      </c>
      <c r="I12" s="11" t="s">
        <v>729</v>
      </c>
      <c r="J12" s="11" t="s">
        <v>729</v>
      </c>
      <c r="K12" s="11" t="s">
        <v>729</v>
      </c>
      <c r="L12" s="11" t="s">
        <v>729</v>
      </c>
      <c r="M12" s="11" t="s">
        <v>729</v>
      </c>
      <c r="N12" s="11" t="s">
        <v>729</v>
      </c>
      <c r="O12" s="11" t="s">
        <v>729</v>
      </c>
      <c r="P12" s="11" t="s">
        <v>729</v>
      </c>
      <c r="Q12" s="11" t="s">
        <v>729</v>
      </c>
      <c r="R12" s="11" t="s">
        <v>729</v>
      </c>
      <c r="S12" s="11" t="s">
        <v>729</v>
      </c>
      <c r="T12" s="11" t="s">
        <v>729</v>
      </c>
      <c r="U12" s="11" t="s">
        <v>729</v>
      </c>
      <c r="V12" s="12" t="s">
        <v>729</v>
      </c>
    </row>
    <row r="13" ht="15.5" customHeight="1" spans="1:22">
      <c r="A13" s="16" t="s">
        <v>692</v>
      </c>
      <c r="B13" s="17" t="s">
        <v>693</v>
      </c>
      <c r="C13" s="6" t="s">
        <v>729</v>
      </c>
      <c r="D13" s="6" t="s">
        <v>729</v>
      </c>
      <c r="E13" s="6" t="s">
        <v>729</v>
      </c>
      <c r="F13" s="6" t="s">
        <v>729</v>
      </c>
      <c r="G13" s="6" t="s">
        <v>729</v>
      </c>
      <c r="H13" s="6" t="s">
        <v>729</v>
      </c>
      <c r="I13" s="6" t="s">
        <v>729</v>
      </c>
      <c r="J13" s="6" t="s">
        <v>729</v>
      </c>
      <c r="K13" s="6" t="s">
        <v>729</v>
      </c>
      <c r="L13" s="6" t="s">
        <v>729</v>
      </c>
      <c r="M13" s="6" t="s">
        <v>729</v>
      </c>
      <c r="N13" s="6" t="s">
        <v>729</v>
      </c>
      <c r="O13" s="6" t="s">
        <v>729</v>
      </c>
      <c r="P13" s="6" t="s">
        <v>729</v>
      </c>
      <c r="Q13" s="6" t="s">
        <v>729</v>
      </c>
      <c r="R13" s="6" t="s">
        <v>729</v>
      </c>
      <c r="S13" s="6" t="s">
        <v>729</v>
      </c>
      <c r="T13" s="6" t="s">
        <v>729</v>
      </c>
      <c r="U13" s="6" t="s">
        <v>729</v>
      </c>
      <c r="V13" s="8" t="s">
        <v>729</v>
      </c>
    </row>
    <row r="14" ht="65.5" customHeight="1" spans="1:22">
      <c r="A14" s="16"/>
      <c r="B14" s="6" t="s">
        <v>729</v>
      </c>
      <c r="C14" s="6" t="s">
        <v>729</v>
      </c>
      <c r="D14" s="18" t="s">
        <v>850</v>
      </c>
      <c r="E14" s="6" t="s">
        <v>729</v>
      </c>
      <c r="F14" s="11" t="s">
        <v>752</v>
      </c>
      <c r="G14" s="11" t="s">
        <v>752</v>
      </c>
      <c r="H14" s="11" t="s">
        <v>752</v>
      </c>
      <c r="I14" s="11" t="s">
        <v>729</v>
      </c>
      <c r="J14" s="11" t="s">
        <v>729</v>
      </c>
      <c r="K14" s="11" t="s">
        <v>729</v>
      </c>
      <c r="L14" s="11" t="s">
        <v>729</v>
      </c>
      <c r="M14" s="11" t="s">
        <v>729</v>
      </c>
      <c r="N14" s="11" t="s">
        <v>729</v>
      </c>
      <c r="O14" s="11" t="s">
        <v>729</v>
      </c>
      <c r="P14" s="11" t="s">
        <v>729</v>
      </c>
      <c r="Q14" s="11" t="s">
        <v>729</v>
      </c>
      <c r="R14" s="11" t="s">
        <v>729</v>
      </c>
      <c r="S14" s="11" t="s">
        <v>729</v>
      </c>
      <c r="T14" s="11" t="s">
        <v>729</v>
      </c>
      <c r="U14" s="11" t="s">
        <v>729</v>
      </c>
      <c r="V14" s="12" t="s">
        <v>729</v>
      </c>
    </row>
    <row r="15" ht="15.5" customHeight="1" spans="1:22">
      <c r="A15" s="16"/>
      <c r="B15" s="17" t="s">
        <v>694</v>
      </c>
      <c r="C15" s="6" t="s">
        <v>729</v>
      </c>
      <c r="D15" s="6" t="s">
        <v>729</v>
      </c>
      <c r="E15" s="6" t="s">
        <v>729</v>
      </c>
      <c r="F15" s="6" t="s">
        <v>729</v>
      </c>
      <c r="G15" s="6" t="s">
        <v>729</v>
      </c>
      <c r="H15" s="6" t="s">
        <v>729</v>
      </c>
      <c r="I15" s="6" t="s">
        <v>729</v>
      </c>
      <c r="J15" s="6" t="s">
        <v>729</v>
      </c>
      <c r="K15" s="6" t="s">
        <v>729</v>
      </c>
      <c r="L15" s="6" t="s">
        <v>729</v>
      </c>
      <c r="M15" s="6" t="s">
        <v>729</v>
      </c>
      <c r="N15" s="6" t="s">
        <v>729</v>
      </c>
      <c r="O15" s="6" t="s">
        <v>729</v>
      </c>
      <c r="P15" s="6" t="s">
        <v>729</v>
      </c>
      <c r="Q15" s="6" t="s">
        <v>729</v>
      </c>
      <c r="R15" s="6" t="s">
        <v>729</v>
      </c>
      <c r="S15" s="6" t="s">
        <v>729</v>
      </c>
      <c r="T15" s="6" t="s">
        <v>729</v>
      </c>
      <c r="U15" s="6" t="s">
        <v>729</v>
      </c>
      <c r="V15" s="8" t="s">
        <v>729</v>
      </c>
    </row>
    <row r="16" ht="65.5" customHeight="1" spans="1:22">
      <c r="A16" s="16"/>
      <c r="B16" s="6" t="s">
        <v>729</v>
      </c>
      <c r="C16" s="6" t="s">
        <v>729</v>
      </c>
      <c r="D16" s="18" t="s">
        <v>851</v>
      </c>
      <c r="E16" s="6" t="s">
        <v>729</v>
      </c>
      <c r="F16" s="11" t="s">
        <v>752</v>
      </c>
      <c r="G16" s="11" t="s">
        <v>752</v>
      </c>
      <c r="H16" s="11" t="s">
        <v>752</v>
      </c>
      <c r="I16" s="11" t="s">
        <v>729</v>
      </c>
      <c r="J16" s="11" t="s">
        <v>729</v>
      </c>
      <c r="K16" s="11" t="s">
        <v>729</v>
      </c>
      <c r="L16" s="11" t="s">
        <v>729</v>
      </c>
      <c r="M16" s="11" t="s">
        <v>729</v>
      </c>
      <c r="N16" s="11" t="s">
        <v>729</v>
      </c>
      <c r="O16" s="11" t="s">
        <v>729</v>
      </c>
      <c r="P16" s="11" t="s">
        <v>729</v>
      </c>
      <c r="Q16" s="11" t="s">
        <v>729</v>
      </c>
      <c r="R16" s="11" t="s">
        <v>729</v>
      </c>
      <c r="S16" s="11" t="s">
        <v>729</v>
      </c>
      <c r="T16" s="11" t="s">
        <v>729</v>
      </c>
      <c r="U16" s="11" t="s">
        <v>729</v>
      </c>
      <c r="V16" s="12" t="s">
        <v>729</v>
      </c>
    </row>
    <row r="17" ht="18" customHeight="1" spans="1:22">
      <c r="A17" s="19" t="s">
        <v>696</v>
      </c>
      <c r="B17" s="20" t="s">
        <v>765</v>
      </c>
      <c r="C17" s="20"/>
      <c r="D17" s="20"/>
      <c r="E17" s="6" t="s">
        <v>729</v>
      </c>
      <c r="F17" s="11" t="s">
        <v>63</v>
      </c>
      <c r="G17" s="11" t="s">
        <v>63</v>
      </c>
      <c r="H17" s="11" t="s">
        <v>63</v>
      </c>
      <c r="I17" s="11" t="s">
        <v>729</v>
      </c>
      <c r="J17" s="11" t="s">
        <v>729</v>
      </c>
      <c r="K17" s="11" t="s">
        <v>729</v>
      </c>
      <c r="L17" s="11" t="s">
        <v>729</v>
      </c>
      <c r="M17" s="11" t="s">
        <v>729</v>
      </c>
      <c r="N17" s="11" t="s">
        <v>729</v>
      </c>
      <c r="O17" s="11" t="s">
        <v>729</v>
      </c>
      <c r="P17" s="11" t="s">
        <v>729</v>
      </c>
      <c r="Q17" s="11" t="s">
        <v>729</v>
      </c>
      <c r="R17" s="11" t="s">
        <v>729</v>
      </c>
      <c r="S17" s="11" t="s">
        <v>729</v>
      </c>
      <c r="T17" s="11" t="s">
        <v>729</v>
      </c>
      <c r="U17" s="11" t="s">
        <v>729</v>
      </c>
      <c r="V17" s="12" t="s">
        <v>729</v>
      </c>
    </row>
    <row r="18" ht="18" customHeight="1" spans="1:22">
      <c r="A18" s="19"/>
      <c r="B18" s="20" t="s">
        <v>698</v>
      </c>
      <c r="C18" s="20"/>
      <c r="D18" s="20"/>
      <c r="E18" s="6" t="s">
        <v>729</v>
      </c>
      <c r="F18" s="11" t="s">
        <v>766</v>
      </c>
      <c r="G18" s="11" t="s">
        <v>766</v>
      </c>
      <c r="H18" s="11" t="s">
        <v>766</v>
      </c>
      <c r="I18" s="11" t="s">
        <v>729</v>
      </c>
      <c r="J18" s="11" t="s">
        <v>729</v>
      </c>
      <c r="K18" s="11" t="s">
        <v>729</v>
      </c>
      <c r="L18" s="11" t="s">
        <v>729</v>
      </c>
      <c r="M18" s="11" t="s">
        <v>729</v>
      </c>
      <c r="N18" s="11" t="s">
        <v>729</v>
      </c>
      <c r="O18" s="11" t="s">
        <v>729</v>
      </c>
      <c r="P18" s="11" t="s">
        <v>729</v>
      </c>
      <c r="Q18" s="11" t="s">
        <v>729</v>
      </c>
      <c r="R18" s="11" t="s">
        <v>729</v>
      </c>
      <c r="S18" s="11" t="s">
        <v>729</v>
      </c>
      <c r="T18" s="11" t="s">
        <v>729</v>
      </c>
      <c r="U18" s="11" t="s">
        <v>729</v>
      </c>
      <c r="V18" s="12" t="s">
        <v>729</v>
      </c>
    </row>
    <row r="19" ht="18" customHeight="1" spans="1:22">
      <c r="A19" s="19"/>
      <c r="B19" s="20" t="s">
        <v>699</v>
      </c>
      <c r="C19" s="20"/>
      <c r="D19" s="20"/>
      <c r="E19" s="6" t="s">
        <v>729</v>
      </c>
      <c r="F19" s="6" t="s">
        <v>729</v>
      </c>
      <c r="G19" s="6" t="s">
        <v>729</v>
      </c>
      <c r="H19" s="6" t="s">
        <v>729</v>
      </c>
      <c r="I19" s="6" t="s">
        <v>729</v>
      </c>
      <c r="J19" s="6" t="s">
        <v>729</v>
      </c>
      <c r="K19" s="6" t="s">
        <v>729</v>
      </c>
      <c r="L19" s="6" t="s">
        <v>729</v>
      </c>
      <c r="M19" s="6" t="s">
        <v>729</v>
      </c>
      <c r="N19" s="6" t="s">
        <v>729</v>
      </c>
      <c r="O19" s="6" t="s">
        <v>729</v>
      </c>
      <c r="P19" s="6" t="s">
        <v>729</v>
      </c>
      <c r="Q19" s="6" t="s">
        <v>729</v>
      </c>
      <c r="R19" s="6" t="s">
        <v>729</v>
      </c>
      <c r="S19" s="6" t="s">
        <v>729</v>
      </c>
      <c r="T19" s="6" t="s">
        <v>729</v>
      </c>
      <c r="U19" s="6" t="s">
        <v>729</v>
      </c>
      <c r="V19" s="8" t="s">
        <v>729</v>
      </c>
    </row>
    <row r="20" ht="18" customHeight="1" spans="1:22">
      <c r="A20" s="19"/>
      <c r="B20" s="21" t="s">
        <v>700</v>
      </c>
      <c r="C20" s="21"/>
      <c r="D20" s="21"/>
      <c r="E20" s="22" t="s">
        <v>729</v>
      </c>
      <c r="F20" s="22" t="s">
        <v>729</v>
      </c>
      <c r="G20" s="22" t="s">
        <v>729</v>
      </c>
      <c r="H20" s="22" t="s">
        <v>729</v>
      </c>
      <c r="I20" s="22" t="s">
        <v>729</v>
      </c>
      <c r="J20" s="22" t="s">
        <v>729</v>
      </c>
      <c r="K20" s="22" t="s">
        <v>729</v>
      </c>
      <c r="L20" s="22" t="s">
        <v>729</v>
      </c>
      <c r="M20" s="22" t="s">
        <v>729</v>
      </c>
      <c r="N20" s="22" t="s">
        <v>729</v>
      </c>
      <c r="O20" s="22" t="s">
        <v>729</v>
      </c>
      <c r="P20" s="22" t="s">
        <v>729</v>
      </c>
      <c r="Q20" s="22" t="s">
        <v>729</v>
      </c>
      <c r="R20" s="22" t="s">
        <v>729</v>
      </c>
      <c r="S20" s="22" t="s">
        <v>729</v>
      </c>
      <c r="T20" s="22" t="s">
        <v>729</v>
      </c>
      <c r="U20" s="22" t="s">
        <v>729</v>
      </c>
      <c r="V20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7:D17"/>
    <mergeCell ref="B18:D18"/>
    <mergeCell ref="B19:D19"/>
    <mergeCell ref="B20:D20"/>
    <mergeCell ref="A7:A12"/>
    <mergeCell ref="A13:A16"/>
    <mergeCell ref="A17:A20"/>
  </mergeCells>
  <dataValidations count="3">
    <dataValidation type="list" allowBlank="1" sqref="F10:V10 F12:V12 F14:V14 F16:V16 F8:V9">
      <formula1>"O,-"</formula1>
    </dataValidation>
    <dataValidation type="list" allowBlank="1" sqref="F17:V17">
      <formula1>"N,A,B"</formula1>
    </dataValidation>
    <dataValidation type="list" allowBlank="1" sqref="F18:V18">
      <formula1>"P,F"</formula1>
    </dataValidation>
  </dataValidations>
  <pageMargins left="0.7" right="0.7" top="0.75" bottom="0.75" header="0.3" footer="0.3"/>
  <pageSetup paperSize="1" orientation="portrait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3"/>
  <sheetViews>
    <sheetView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135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136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852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4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2</v>
      </c>
      <c r="M5" s="11">
        <v>2</v>
      </c>
      <c r="N5" s="11">
        <v>0</v>
      </c>
      <c r="O5" s="12">
        <v>4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687</v>
      </c>
      <c r="H6" s="14" t="s">
        <v>688</v>
      </c>
      <c r="I6" s="14" t="s">
        <v>689</v>
      </c>
      <c r="J6" s="14" t="s">
        <v>729</v>
      </c>
      <c r="K6" s="14" t="s">
        <v>729</v>
      </c>
      <c r="L6" s="14" t="s">
        <v>729</v>
      </c>
      <c r="M6" s="14" t="s">
        <v>729</v>
      </c>
      <c r="N6" s="14" t="s">
        <v>729</v>
      </c>
      <c r="O6" s="14" t="s">
        <v>729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15.5" customHeight="1" spans="1:22">
      <c r="A7" s="16" t="s">
        <v>690</v>
      </c>
      <c r="B7" s="17" t="s">
        <v>750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40.5" customHeight="1" spans="1:22">
      <c r="A8" s="16"/>
      <c r="B8" s="6" t="s">
        <v>729</v>
      </c>
      <c r="C8" s="6" t="s">
        <v>729</v>
      </c>
      <c r="D8" s="18" t="s">
        <v>140</v>
      </c>
      <c r="E8" s="6" t="s">
        <v>729</v>
      </c>
      <c r="F8" s="11" t="s">
        <v>752</v>
      </c>
      <c r="G8" s="11" t="s">
        <v>752</v>
      </c>
      <c r="H8" s="11" t="s">
        <v>752</v>
      </c>
      <c r="I8" s="11" t="s">
        <v>752</v>
      </c>
      <c r="J8" s="11" t="s">
        <v>729</v>
      </c>
      <c r="K8" s="11" t="s">
        <v>729</v>
      </c>
      <c r="L8" s="11" t="s">
        <v>729</v>
      </c>
      <c r="M8" s="11" t="s">
        <v>729</v>
      </c>
      <c r="N8" s="11" t="s">
        <v>729</v>
      </c>
      <c r="O8" s="11" t="s">
        <v>729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15.5" customHeight="1" spans="1:22">
      <c r="A9" s="16"/>
      <c r="B9" s="17" t="s">
        <v>853</v>
      </c>
      <c r="C9" s="6" t="s">
        <v>729</v>
      </c>
      <c r="D9" s="6" t="s">
        <v>729</v>
      </c>
      <c r="E9" s="6" t="s">
        <v>729</v>
      </c>
      <c r="F9" s="6" t="s">
        <v>729</v>
      </c>
      <c r="G9" s="6" t="s">
        <v>729</v>
      </c>
      <c r="H9" s="6" t="s">
        <v>729</v>
      </c>
      <c r="I9" s="6" t="s">
        <v>729</v>
      </c>
      <c r="J9" s="6" t="s">
        <v>729</v>
      </c>
      <c r="K9" s="6" t="s">
        <v>729</v>
      </c>
      <c r="L9" s="6" t="s">
        <v>729</v>
      </c>
      <c r="M9" s="6" t="s">
        <v>729</v>
      </c>
      <c r="N9" s="6" t="s">
        <v>729</v>
      </c>
      <c r="O9" s="6" t="s">
        <v>729</v>
      </c>
      <c r="P9" s="6" t="s">
        <v>729</v>
      </c>
      <c r="Q9" s="6" t="s">
        <v>729</v>
      </c>
      <c r="R9" s="6" t="s">
        <v>729</v>
      </c>
      <c r="S9" s="6" t="s">
        <v>729</v>
      </c>
      <c r="T9" s="6" t="s">
        <v>729</v>
      </c>
      <c r="U9" s="6" t="s">
        <v>729</v>
      </c>
      <c r="V9" s="8" t="s">
        <v>729</v>
      </c>
    </row>
    <row r="10" ht="28" customHeight="1" spans="1:22">
      <c r="A10" s="16"/>
      <c r="B10" s="6" t="s">
        <v>729</v>
      </c>
      <c r="C10" s="6" t="s">
        <v>729</v>
      </c>
      <c r="D10" s="18" t="s">
        <v>854</v>
      </c>
      <c r="E10" s="6" t="s">
        <v>729</v>
      </c>
      <c r="F10" s="11" t="s">
        <v>752</v>
      </c>
      <c r="G10" s="11" t="s">
        <v>756</v>
      </c>
      <c r="H10" s="11" t="s">
        <v>756</v>
      </c>
      <c r="I10" s="11" t="s">
        <v>756</v>
      </c>
      <c r="J10" s="11" t="s">
        <v>729</v>
      </c>
      <c r="K10" s="11" t="s">
        <v>729</v>
      </c>
      <c r="L10" s="11" t="s">
        <v>729</v>
      </c>
      <c r="M10" s="11" t="s">
        <v>729</v>
      </c>
      <c r="N10" s="11" t="s">
        <v>729</v>
      </c>
      <c r="O10" s="11" t="s">
        <v>729</v>
      </c>
      <c r="P10" s="11" t="s">
        <v>729</v>
      </c>
      <c r="Q10" s="11" t="s">
        <v>729</v>
      </c>
      <c r="R10" s="11" t="s">
        <v>729</v>
      </c>
      <c r="S10" s="11" t="s">
        <v>729</v>
      </c>
      <c r="T10" s="11" t="s">
        <v>729</v>
      </c>
      <c r="U10" s="11" t="s">
        <v>729</v>
      </c>
      <c r="V10" s="12" t="s">
        <v>729</v>
      </c>
    </row>
    <row r="11" ht="28" customHeight="1" spans="1:22">
      <c r="A11" s="16"/>
      <c r="B11" s="6" t="s">
        <v>729</v>
      </c>
      <c r="C11" s="6" t="s">
        <v>729</v>
      </c>
      <c r="D11" s="18" t="s">
        <v>855</v>
      </c>
      <c r="E11" s="6" t="s">
        <v>729</v>
      </c>
      <c r="F11" s="11" t="s">
        <v>756</v>
      </c>
      <c r="G11" s="11" t="s">
        <v>752</v>
      </c>
      <c r="H11" s="11" t="s">
        <v>756</v>
      </c>
      <c r="I11" s="11" t="s">
        <v>756</v>
      </c>
      <c r="J11" s="11" t="s">
        <v>729</v>
      </c>
      <c r="K11" s="11" t="s">
        <v>729</v>
      </c>
      <c r="L11" s="11" t="s">
        <v>729</v>
      </c>
      <c r="M11" s="11" t="s">
        <v>729</v>
      </c>
      <c r="N11" s="11" t="s">
        <v>729</v>
      </c>
      <c r="O11" s="11" t="s">
        <v>729</v>
      </c>
      <c r="P11" s="11" t="s">
        <v>729</v>
      </c>
      <c r="Q11" s="11" t="s">
        <v>729</v>
      </c>
      <c r="R11" s="11" t="s">
        <v>729</v>
      </c>
      <c r="S11" s="11" t="s">
        <v>729</v>
      </c>
      <c r="T11" s="11" t="s">
        <v>729</v>
      </c>
      <c r="U11" s="11" t="s">
        <v>729</v>
      </c>
      <c r="V11" s="12" t="s">
        <v>729</v>
      </c>
    </row>
    <row r="12" ht="40.5" customHeight="1" spans="1:22">
      <c r="A12" s="16"/>
      <c r="B12" s="6" t="s">
        <v>729</v>
      </c>
      <c r="C12" s="6" t="s">
        <v>729</v>
      </c>
      <c r="D12" s="18" t="s">
        <v>856</v>
      </c>
      <c r="E12" s="6" t="s">
        <v>729</v>
      </c>
      <c r="F12" s="11" t="s">
        <v>756</v>
      </c>
      <c r="G12" s="11" t="s">
        <v>756</v>
      </c>
      <c r="H12" s="11" t="s">
        <v>752</v>
      </c>
      <c r="I12" s="11" t="s">
        <v>756</v>
      </c>
      <c r="J12" s="11" t="s">
        <v>729</v>
      </c>
      <c r="K12" s="11" t="s">
        <v>729</v>
      </c>
      <c r="L12" s="11" t="s">
        <v>729</v>
      </c>
      <c r="M12" s="11" t="s">
        <v>729</v>
      </c>
      <c r="N12" s="11" t="s">
        <v>729</v>
      </c>
      <c r="O12" s="11" t="s">
        <v>729</v>
      </c>
      <c r="P12" s="11" t="s">
        <v>729</v>
      </c>
      <c r="Q12" s="11" t="s">
        <v>729</v>
      </c>
      <c r="R12" s="11" t="s">
        <v>729</v>
      </c>
      <c r="S12" s="11" t="s">
        <v>729</v>
      </c>
      <c r="T12" s="11" t="s">
        <v>729</v>
      </c>
      <c r="U12" s="11" t="s">
        <v>729</v>
      </c>
      <c r="V12" s="12" t="s">
        <v>729</v>
      </c>
    </row>
    <row r="13" ht="28" customHeight="1" spans="1:22">
      <c r="A13" s="16"/>
      <c r="B13" s="6" t="s">
        <v>729</v>
      </c>
      <c r="C13" s="6" t="s">
        <v>729</v>
      </c>
      <c r="D13" s="18" t="s">
        <v>857</v>
      </c>
      <c r="E13" s="6" t="s">
        <v>729</v>
      </c>
      <c r="F13" s="11" t="s">
        <v>756</v>
      </c>
      <c r="G13" s="11" t="s">
        <v>756</v>
      </c>
      <c r="H13" s="11" t="s">
        <v>756</v>
      </c>
      <c r="I13" s="11" t="s">
        <v>752</v>
      </c>
      <c r="J13" s="11" t="s">
        <v>729</v>
      </c>
      <c r="K13" s="11" t="s">
        <v>729</v>
      </c>
      <c r="L13" s="11" t="s">
        <v>729</v>
      </c>
      <c r="M13" s="11" t="s">
        <v>729</v>
      </c>
      <c r="N13" s="11" t="s">
        <v>729</v>
      </c>
      <c r="O13" s="11" t="s">
        <v>729</v>
      </c>
      <c r="P13" s="11" t="s">
        <v>729</v>
      </c>
      <c r="Q13" s="11" t="s">
        <v>729</v>
      </c>
      <c r="R13" s="11" t="s">
        <v>729</v>
      </c>
      <c r="S13" s="11" t="s">
        <v>729</v>
      </c>
      <c r="T13" s="11" t="s">
        <v>729</v>
      </c>
      <c r="U13" s="11" t="s">
        <v>729</v>
      </c>
      <c r="V13" s="12" t="s">
        <v>729</v>
      </c>
    </row>
    <row r="14" ht="15.5" customHeight="1" spans="1:22">
      <c r="A14" s="16" t="s">
        <v>692</v>
      </c>
      <c r="B14" s="17" t="s">
        <v>693</v>
      </c>
      <c r="C14" s="6" t="s">
        <v>729</v>
      </c>
      <c r="D14" s="6" t="s">
        <v>729</v>
      </c>
      <c r="E14" s="6" t="s">
        <v>729</v>
      </c>
      <c r="F14" s="6" t="s">
        <v>729</v>
      </c>
      <c r="G14" s="6" t="s">
        <v>729</v>
      </c>
      <c r="H14" s="6" t="s">
        <v>729</v>
      </c>
      <c r="I14" s="6" t="s">
        <v>729</v>
      </c>
      <c r="J14" s="6" t="s">
        <v>729</v>
      </c>
      <c r="K14" s="6" t="s">
        <v>729</v>
      </c>
      <c r="L14" s="6" t="s">
        <v>729</v>
      </c>
      <c r="M14" s="6" t="s">
        <v>729</v>
      </c>
      <c r="N14" s="6" t="s">
        <v>729</v>
      </c>
      <c r="O14" s="6" t="s">
        <v>729</v>
      </c>
      <c r="P14" s="6" t="s">
        <v>729</v>
      </c>
      <c r="Q14" s="6" t="s">
        <v>729</v>
      </c>
      <c r="R14" s="6" t="s">
        <v>729</v>
      </c>
      <c r="S14" s="6" t="s">
        <v>729</v>
      </c>
      <c r="T14" s="6" t="s">
        <v>729</v>
      </c>
      <c r="U14" s="6" t="s">
        <v>729</v>
      </c>
      <c r="V14" s="8" t="s">
        <v>729</v>
      </c>
    </row>
    <row r="15" ht="40.5" customHeight="1" spans="1:22">
      <c r="A15" s="16"/>
      <c r="B15" s="6" t="s">
        <v>729</v>
      </c>
      <c r="C15" s="6" t="s">
        <v>729</v>
      </c>
      <c r="D15" s="18" t="s">
        <v>858</v>
      </c>
      <c r="E15" s="6" t="s">
        <v>729</v>
      </c>
      <c r="F15" s="11" t="s">
        <v>752</v>
      </c>
      <c r="G15" s="11" t="s">
        <v>756</v>
      </c>
      <c r="H15" s="11" t="s">
        <v>756</v>
      </c>
      <c r="I15" s="11" t="s">
        <v>752</v>
      </c>
      <c r="J15" s="11" t="s">
        <v>729</v>
      </c>
      <c r="K15" s="11" t="s">
        <v>729</v>
      </c>
      <c r="L15" s="11" t="s">
        <v>729</v>
      </c>
      <c r="M15" s="11" t="s">
        <v>729</v>
      </c>
      <c r="N15" s="11" t="s">
        <v>729</v>
      </c>
      <c r="O15" s="11" t="s">
        <v>729</v>
      </c>
      <c r="P15" s="11" t="s">
        <v>729</v>
      </c>
      <c r="Q15" s="11" t="s">
        <v>729</v>
      </c>
      <c r="R15" s="11" t="s">
        <v>729</v>
      </c>
      <c r="S15" s="11" t="s">
        <v>729</v>
      </c>
      <c r="T15" s="11" t="s">
        <v>729</v>
      </c>
      <c r="U15" s="11" t="s">
        <v>729</v>
      </c>
      <c r="V15" s="12" t="s">
        <v>729</v>
      </c>
    </row>
    <row r="16" ht="40.5" customHeight="1" spans="1:22">
      <c r="A16" s="16"/>
      <c r="B16" s="6" t="s">
        <v>729</v>
      </c>
      <c r="C16" s="6" t="s">
        <v>729</v>
      </c>
      <c r="D16" s="18" t="s">
        <v>859</v>
      </c>
      <c r="E16" s="6" t="s">
        <v>729</v>
      </c>
      <c r="F16" s="11" t="s">
        <v>756</v>
      </c>
      <c r="G16" s="11" t="s">
        <v>752</v>
      </c>
      <c r="H16" s="11" t="s">
        <v>752</v>
      </c>
      <c r="I16" s="11" t="s">
        <v>756</v>
      </c>
      <c r="J16" s="11" t="s">
        <v>729</v>
      </c>
      <c r="K16" s="11" t="s">
        <v>729</v>
      </c>
      <c r="L16" s="11" t="s">
        <v>729</v>
      </c>
      <c r="M16" s="11" t="s">
        <v>729</v>
      </c>
      <c r="N16" s="11" t="s">
        <v>729</v>
      </c>
      <c r="O16" s="11" t="s">
        <v>729</v>
      </c>
      <c r="P16" s="11" t="s">
        <v>729</v>
      </c>
      <c r="Q16" s="11" t="s">
        <v>729</v>
      </c>
      <c r="R16" s="11" t="s">
        <v>729</v>
      </c>
      <c r="S16" s="11" t="s">
        <v>729</v>
      </c>
      <c r="T16" s="11" t="s">
        <v>729</v>
      </c>
      <c r="U16" s="11" t="s">
        <v>729</v>
      </c>
      <c r="V16" s="12" t="s">
        <v>729</v>
      </c>
    </row>
    <row r="17" ht="40.5" customHeight="1" spans="1:22">
      <c r="A17" s="16"/>
      <c r="B17" s="6" t="s">
        <v>729</v>
      </c>
      <c r="C17" s="6" t="s">
        <v>729</v>
      </c>
      <c r="D17" s="18" t="s">
        <v>860</v>
      </c>
      <c r="E17" s="6" t="s">
        <v>729</v>
      </c>
      <c r="F17" s="11" t="s">
        <v>756</v>
      </c>
      <c r="G17" s="11" t="s">
        <v>752</v>
      </c>
      <c r="H17" s="11" t="s">
        <v>752</v>
      </c>
      <c r="I17" s="11" t="s">
        <v>756</v>
      </c>
      <c r="J17" s="11" t="s">
        <v>729</v>
      </c>
      <c r="K17" s="11" t="s">
        <v>729</v>
      </c>
      <c r="L17" s="11" t="s">
        <v>729</v>
      </c>
      <c r="M17" s="11" t="s">
        <v>729</v>
      </c>
      <c r="N17" s="11" t="s">
        <v>729</v>
      </c>
      <c r="O17" s="11" t="s">
        <v>729</v>
      </c>
      <c r="P17" s="11" t="s">
        <v>729</v>
      </c>
      <c r="Q17" s="11" t="s">
        <v>729</v>
      </c>
      <c r="R17" s="11" t="s">
        <v>729</v>
      </c>
      <c r="S17" s="11" t="s">
        <v>729</v>
      </c>
      <c r="T17" s="11" t="s">
        <v>729</v>
      </c>
      <c r="U17" s="11" t="s">
        <v>729</v>
      </c>
      <c r="V17" s="12" t="s">
        <v>729</v>
      </c>
    </row>
    <row r="18" ht="15.5" customHeight="1" spans="1:22">
      <c r="A18" s="16"/>
      <c r="B18" s="17" t="s">
        <v>694</v>
      </c>
      <c r="C18" s="6" t="s">
        <v>729</v>
      </c>
      <c r="D18" s="6" t="s">
        <v>729</v>
      </c>
      <c r="E18" s="6" t="s">
        <v>729</v>
      </c>
      <c r="F18" s="6" t="s">
        <v>729</v>
      </c>
      <c r="G18" s="6" t="s">
        <v>729</v>
      </c>
      <c r="H18" s="6" t="s">
        <v>729</v>
      </c>
      <c r="I18" s="6" t="s">
        <v>729</v>
      </c>
      <c r="J18" s="6" t="s">
        <v>729</v>
      </c>
      <c r="K18" s="6" t="s">
        <v>729</v>
      </c>
      <c r="L18" s="6" t="s">
        <v>729</v>
      </c>
      <c r="M18" s="6" t="s">
        <v>729</v>
      </c>
      <c r="N18" s="6" t="s">
        <v>729</v>
      </c>
      <c r="O18" s="6" t="s">
        <v>729</v>
      </c>
      <c r="P18" s="6" t="s">
        <v>729</v>
      </c>
      <c r="Q18" s="6" t="s">
        <v>729</v>
      </c>
      <c r="R18" s="6" t="s">
        <v>729</v>
      </c>
      <c r="S18" s="6" t="s">
        <v>729</v>
      </c>
      <c r="T18" s="6" t="s">
        <v>729</v>
      </c>
      <c r="U18" s="6" t="s">
        <v>729</v>
      </c>
      <c r="V18" s="8" t="s">
        <v>729</v>
      </c>
    </row>
    <row r="19" ht="90.5" customHeight="1" spans="1:22">
      <c r="A19" s="16"/>
      <c r="B19" s="6" t="s">
        <v>729</v>
      </c>
      <c r="C19" s="6" t="s">
        <v>729</v>
      </c>
      <c r="D19" s="18" t="s">
        <v>861</v>
      </c>
      <c r="E19" s="6" t="s">
        <v>729</v>
      </c>
      <c r="F19" s="11" t="s">
        <v>756</v>
      </c>
      <c r="G19" s="11" t="s">
        <v>752</v>
      </c>
      <c r="H19" s="11" t="s">
        <v>756</v>
      </c>
      <c r="I19" s="11" t="s">
        <v>756</v>
      </c>
      <c r="J19" s="11" t="s">
        <v>729</v>
      </c>
      <c r="K19" s="11" t="s">
        <v>729</v>
      </c>
      <c r="L19" s="11" t="s">
        <v>729</v>
      </c>
      <c r="M19" s="11" t="s">
        <v>729</v>
      </c>
      <c r="N19" s="11" t="s">
        <v>729</v>
      </c>
      <c r="O19" s="11" t="s">
        <v>729</v>
      </c>
      <c r="P19" s="11" t="s">
        <v>729</v>
      </c>
      <c r="Q19" s="11" t="s">
        <v>729</v>
      </c>
      <c r="R19" s="11" t="s">
        <v>729</v>
      </c>
      <c r="S19" s="11" t="s">
        <v>729</v>
      </c>
      <c r="T19" s="11" t="s">
        <v>729</v>
      </c>
      <c r="U19" s="11" t="s">
        <v>729</v>
      </c>
      <c r="V19" s="12" t="s">
        <v>729</v>
      </c>
    </row>
    <row r="20" ht="18" customHeight="1" spans="1:22">
      <c r="A20" s="19" t="s">
        <v>696</v>
      </c>
      <c r="B20" s="20" t="s">
        <v>765</v>
      </c>
      <c r="C20" s="20"/>
      <c r="D20" s="20"/>
      <c r="E20" s="6" t="s">
        <v>729</v>
      </c>
      <c r="F20" s="11" t="s">
        <v>670</v>
      </c>
      <c r="G20" s="11" t="s">
        <v>63</v>
      </c>
      <c r="H20" s="11" t="s">
        <v>670</v>
      </c>
      <c r="I20" s="11" t="s">
        <v>63</v>
      </c>
      <c r="J20" s="11" t="s">
        <v>729</v>
      </c>
      <c r="K20" s="11" t="s">
        <v>729</v>
      </c>
      <c r="L20" s="11" t="s">
        <v>729</v>
      </c>
      <c r="M20" s="11" t="s">
        <v>729</v>
      </c>
      <c r="N20" s="11" t="s">
        <v>729</v>
      </c>
      <c r="O20" s="11" t="s">
        <v>729</v>
      </c>
      <c r="P20" s="11" t="s">
        <v>729</v>
      </c>
      <c r="Q20" s="11" t="s">
        <v>729</v>
      </c>
      <c r="R20" s="11" t="s">
        <v>729</v>
      </c>
      <c r="S20" s="11" t="s">
        <v>729</v>
      </c>
      <c r="T20" s="11" t="s">
        <v>729</v>
      </c>
      <c r="U20" s="11" t="s">
        <v>729</v>
      </c>
      <c r="V20" s="12" t="s">
        <v>729</v>
      </c>
    </row>
    <row r="21" ht="18" customHeight="1" spans="1:22">
      <c r="A21" s="19"/>
      <c r="B21" s="20" t="s">
        <v>698</v>
      </c>
      <c r="C21" s="20"/>
      <c r="D21" s="20"/>
      <c r="E21" s="6" t="s">
        <v>729</v>
      </c>
      <c r="F21" s="11" t="s">
        <v>766</v>
      </c>
      <c r="G21" s="11" t="s">
        <v>766</v>
      </c>
      <c r="H21" s="11" t="s">
        <v>766</v>
      </c>
      <c r="I21" s="11" t="s">
        <v>766</v>
      </c>
      <c r="J21" s="11" t="s">
        <v>729</v>
      </c>
      <c r="K21" s="11" t="s">
        <v>729</v>
      </c>
      <c r="L21" s="11" t="s">
        <v>729</v>
      </c>
      <c r="M21" s="11" t="s">
        <v>729</v>
      </c>
      <c r="N21" s="11" t="s">
        <v>729</v>
      </c>
      <c r="O21" s="11" t="s">
        <v>729</v>
      </c>
      <c r="P21" s="11" t="s">
        <v>729</v>
      </c>
      <c r="Q21" s="11" t="s">
        <v>729</v>
      </c>
      <c r="R21" s="11" t="s">
        <v>729</v>
      </c>
      <c r="S21" s="11" t="s">
        <v>729</v>
      </c>
      <c r="T21" s="11" t="s">
        <v>729</v>
      </c>
      <c r="U21" s="11" t="s">
        <v>729</v>
      </c>
      <c r="V21" s="12" t="s">
        <v>729</v>
      </c>
    </row>
    <row r="22" ht="18" customHeight="1" spans="1:22">
      <c r="A22" s="19"/>
      <c r="B22" s="20" t="s">
        <v>699</v>
      </c>
      <c r="C22" s="20"/>
      <c r="D22" s="20"/>
      <c r="E22" s="6" t="s">
        <v>729</v>
      </c>
      <c r="F22" s="6" t="s">
        <v>729</v>
      </c>
      <c r="G22" s="6" t="s">
        <v>729</v>
      </c>
      <c r="H22" s="6" t="s">
        <v>729</v>
      </c>
      <c r="I22" s="6" t="s">
        <v>729</v>
      </c>
      <c r="J22" s="6" t="s">
        <v>729</v>
      </c>
      <c r="K22" s="6" t="s">
        <v>729</v>
      </c>
      <c r="L22" s="6" t="s">
        <v>729</v>
      </c>
      <c r="M22" s="6" t="s">
        <v>729</v>
      </c>
      <c r="N22" s="6" t="s">
        <v>729</v>
      </c>
      <c r="O22" s="6" t="s">
        <v>729</v>
      </c>
      <c r="P22" s="6" t="s">
        <v>729</v>
      </c>
      <c r="Q22" s="6" t="s">
        <v>729</v>
      </c>
      <c r="R22" s="6" t="s">
        <v>729</v>
      </c>
      <c r="S22" s="6" t="s">
        <v>729</v>
      </c>
      <c r="T22" s="6" t="s">
        <v>729</v>
      </c>
      <c r="U22" s="6" t="s">
        <v>729</v>
      </c>
      <c r="V22" s="8" t="s">
        <v>729</v>
      </c>
    </row>
    <row r="23" ht="18" customHeight="1" spans="1:22">
      <c r="A23" s="19"/>
      <c r="B23" s="21" t="s">
        <v>700</v>
      </c>
      <c r="C23" s="21"/>
      <c r="D23" s="21"/>
      <c r="E23" s="22" t="s">
        <v>729</v>
      </c>
      <c r="F23" s="22" t="s">
        <v>729</v>
      </c>
      <c r="G23" s="22" t="s">
        <v>729</v>
      </c>
      <c r="H23" s="22" t="s">
        <v>729</v>
      </c>
      <c r="I23" s="22" t="s">
        <v>729</v>
      </c>
      <c r="J23" s="22" t="s">
        <v>729</v>
      </c>
      <c r="K23" s="22" t="s">
        <v>729</v>
      </c>
      <c r="L23" s="22" t="s">
        <v>729</v>
      </c>
      <c r="M23" s="22" t="s">
        <v>729</v>
      </c>
      <c r="N23" s="22" t="s">
        <v>729</v>
      </c>
      <c r="O23" s="22" t="s">
        <v>729</v>
      </c>
      <c r="P23" s="22" t="s">
        <v>729</v>
      </c>
      <c r="Q23" s="22" t="s">
        <v>729</v>
      </c>
      <c r="R23" s="22" t="s">
        <v>729</v>
      </c>
      <c r="S23" s="22" t="s">
        <v>729</v>
      </c>
      <c r="T23" s="22" t="s">
        <v>729</v>
      </c>
      <c r="U23" s="22" t="s">
        <v>729</v>
      </c>
      <c r="V23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20:D20"/>
    <mergeCell ref="B21:D21"/>
    <mergeCell ref="B22:D22"/>
    <mergeCell ref="B23:D23"/>
    <mergeCell ref="A7:A13"/>
    <mergeCell ref="A14:A19"/>
    <mergeCell ref="A20:A23"/>
  </mergeCells>
  <dataValidations count="3">
    <dataValidation type="list" allowBlank="1" sqref="F8:V8 F19:V19 F10:V13 F15:V17">
      <formula1>"O,-"</formula1>
    </dataValidation>
    <dataValidation type="list" allowBlank="1" sqref="F20:V20">
      <formula1>"N,A,B"</formula1>
    </dataValidation>
    <dataValidation type="list" allowBlank="1" sqref="F21:V21">
      <formula1>"P,F"</formula1>
    </dataValidation>
  </dataValidations>
  <pageMargins left="0.7" right="0.7" top="0.75" bottom="0.75" header="0.3" footer="0.3"/>
  <pageSetup paperSize="1" orientation="portrait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2"/>
  <sheetViews>
    <sheetView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135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141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28" customHeight="1" spans="1:22">
      <c r="A3" s="5" t="s">
        <v>684</v>
      </c>
      <c r="B3" s="8" t="s">
        <v>862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6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4</v>
      </c>
      <c r="M5" s="11">
        <v>1</v>
      </c>
      <c r="N5" s="11">
        <v>1</v>
      </c>
      <c r="O5" s="12">
        <v>6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687</v>
      </c>
      <c r="H6" s="14" t="s">
        <v>688</v>
      </c>
      <c r="I6" s="14" t="s">
        <v>689</v>
      </c>
      <c r="J6" s="14" t="s">
        <v>863</v>
      </c>
      <c r="K6" s="14" t="s">
        <v>864</v>
      </c>
      <c r="L6" s="14" t="s">
        <v>729</v>
      </c>
      <c r="M6" s="14" t="s">
        <v>729</v>
      </c>
      <c r="N6" s="14" t="s">
        <v>729</v>
      </c>
      <c r="O6" s="14" t="s">
        <v>729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15.5" customHeight="1" spans="1:22">
      <c r="A7" s="16" t="s">
        <v>690</v>
      </c>
      <c r="B7" s="17" t="s">
        <v>865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15.5" customHeight="1" spans="1:22">
      <c r="A8" s="16"/>
      <c r="B8" s="6" t="s">
        <v>729</v>
      </c>
      <c r="C8" s="6" t="s">
        <v>729</v>
      </c>
      <c r="D8" s="18" t="s">
        <v>866</v>
      </c>
      <c r="E8" s="6" t="s">
        <v>729</v>
      </c>
      <c r="F8" s="11" t="s">
        <v>752</v>
      </c>
      <c r="G8" s="11" t="s">
        <v>756</v>
      </c>
      <c r="H8" s="11" t="s">
        <v>756</v>
      </c>
      <c r="I8" s="11" t="s">
        <v>756</v>
      </c>
      <c r="J8" s="11" t="s">
        <v>756</v>
      </c>
      <c r="K8" s="11" t="s">
        <v>756</v>
      </c>
      <c r="L8" s="11" t="s">
        <v>729</v>
      </c>
      <c r="M8" s="11" t="s">
        <v>729</v>
      </c>
      <c r="N8" s="11" t="s">
        <v>729</v>
      </c>
      <c r="O8" s="11" t="s">
        <v>729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15.5" customHeight="1" spans="1:22">
      <c r="A9" s="16"/>
      <c r="B9" s="6" t="s">
        <v>729</v>
      </c>
      <c r="C9" s="6" t="s">
        <v>729</v>
      </c>
      <c r="D9" s="18" t="s">
        <v>867</v>
      </c>
      <c r="E9" s="6" t="s">
        <v>729</v>
      </c>
      <c r="F9" s="11" t="s">
        <v>756</v>
      </c>
      <c r="G9" s="11" t="s">
        <v>752</v>
      </c>
      <c r="H9" s="11" t="s">
        <v>756</v>
      </c>
      <c r="I9" s="11" t="s">
        <v>756</v>
      </c>
      <c r="J9" s="11" t="s">
        <v>756</v>
      </c>
      <c r="K9" s="11" t="s">
        <v>756</v>
      </c>
      <c r="L9" s="11" t="s">
        <v>729</v>
      </c>
      <c r="M9" s="11" t="s">
        <v>729</v>
      </c>
      <c r="N9" s="11" t="s">
        <v>729</v>
      </c>
      <c r="O9" s="11" t="s">
        <v>729</v>
      </c>
      <c r="P9" s="11" t="s">
        <v>729</v>
      </c>
      <c r="Q9" s="11" t="s">
        <v>729</v>
      </c>
      <c r="R9" s="11" t="s">
        <v>729</v>
      </c>
      <c r="S9" s="11" t="s">
        <v>729</v>
      </c>
      <c r="T9" s="11" t="s">
        <v>729</v>
      </c>
      <c r="U9" s="11" t="s">
        <v>729</v>
      </c>
      <c r="V9" s="12" t="s">
        <v>729</v>
      </c>
    </row>
    <row r="10" ht="15.5" customHeight="1" spans="1:22">
      <c r="A10" s="16"/>
      <c r="B10" s="6" t="s">
        <v>729</v>
      </c>
      <c r="C10" s="6" t="s">
        <v>729</v>
      </c>
      <c r="D10" s="18" t="s">
        <v>868</v>
      </c>
      <c r="E10" s="6" t="s">
        <v>729</v>
      </c>
      <c r="F10" s="11" t="s">
        <v>756</v>
      </c>
      <c r="G10" s="11" t="s">
        <v>756</v>
      </c>
      <c r="H10" s="11" t="s">
        <v>752</v>
      </c>
      <c r="I10" s="11" t="s">
        <v>756</v>
      </c>
      <c r="J10" s="11" t="s">
        <v>756</v>
      </c>
      <c r="K10" s="11" t="s">
        <v>756</v>
      </c>
      <c r="L10" s="11" t="s">
        <v>729</v>
      </c>
      <c r="M10" s="11" t="s">
        <v>729</v>
      </c>
      <c r="N10" s="11" t="s">
        <v>729</v>
      </c>
      <c r="O10" s="11" t="s">
        <v>729</v>
      </c>
      <c r="P10" s="11" t="s">
        <v>729</v>
      </c>
      <c r="Q10" s="11" t="s">
        <v>729</v>
      </c>
      <c r="R10" s="11" t="s">
        <v>729</v>
      </c>
      <c r="S10" s="11" t="s">
        <v>729</v>
      </c>
      <c r="T10" s="11" t="s">
        <v>729</v>
      </c>
      <c r="U10" s="11" t="s">
        <v>729</v>
      </c>
      <c r="V10" s="12" t="s">
        <v>729</v>
      </c>
    </row>
    <row r="11" ht="28" customHeight="1" spans="1:22">
      <c r="A11" s="16"/>
      <c r="B11" s="6" t="s">
        <v>729</v>
      </c>
      <c r="C11" s="6" t="s">
        <v>729</v>
      </c>
      <c r="D11" s="18" t="s">
        <v>869</v>
      </c>
      <c r="E11" s="6" t="s">
        <v>729</v>
      </c>
      <c r="F11" s="11" t="s">
        <v>756</v>
      </c>
      <c r="G11" s="11" t="s">
        <v>756</v>
      </c>
      <c r="H11" s="11" t="s">
        <v>756</v>
      </c>
      <c r="I11" s="11" t="s">
        <v>752</v>
      </c>
      <c r="J11" s="11" t="s">
        <v>756</v>
      </c>
      <c r="K11" s="11" t="s">
        <v>756</v>
      </c>
      <c r="L11" s="11" t="s">
        <v>729</v>
      </c>
      <c r="M11" s="11" t="s">
        <v>729</v>
      </c>
      <c r="N11" s="11" t="s">
        <v>729</v>
      </c>
      <c r="O11" s="11" t="s">
        <v>729</v>
      </c>
      <c r="P11" s="11" t="s">
        <v>729</v>
      </c>
      <c r="Q11" s="11" t="s">
        <v>729</v>
      </c>
      <c r="R11" s="11" t="s">
        <v>729</v>
      </c>
      <c r="S11" s="11" t="s">
        <v>729</v>
      </c>
      <c r="T11" s="11" t="s">
        <v>729</v>
      </c>
      <c r="U11" s="11" t="s">
        <v>729</v>
      </c>
      <c r="V11" s="12" t="s">
        <v>729</v>
      </c>
    </row>
    <row r="12" ht="28" customHeight="1" spans="1:22">
      <c r="A12" s="16"/>
      <c r="B12" s="6" t="s">
        <v>729</v>
      </c>
      <c r="C12" s="6" t="s">
        <v>729</v>
      </c>
      <c r="D12" s="18" t="s">
        <v>870</v>
      </c>
      <c r="E12" s="6" t="s">
        <v>729</v>
      </c>
      <c r="F12" s="11" t="s">
        <v>756</v>
      </c>
      <c r="G12" s="11" t="s">
        <v>756</v>
      </c>
      <c r="H12" s="11" t="s">
        <v>756</v>
      </c>
      <c r="I12" s="11" t="s">
        <v>756</v>
      </c>
      <c r="J12" s="11" t="s">
        <v>752</v>
      </c>
      <c r="K12" s="11" t="s">
        <v>756</v>
      </c>
      <c r="L12" s="11" t="s">
        <v>729</v>
      </c>
      <c r="M12" s="11" t="s">
        <v>729</v>
      </c>
      <c r="N12" s="11" t="s">
        <v>729</v>
      </c>
      <c r="O12" s="11" t="s">
        <v>729</v>
      </c>
      <c r="P12" s="11" t="s">
        <v>729</v>
      </c>
      <c r="Q12" s="11" t="s">
        <v>729</v>
      </c>
      <c r="R12" s="11" t="s">
        <v>729</v>
      </c>
      <c r="S12" s="11" t="s">
        <v>729</v>
      </c>
      <c r="T12" s="11" t="s">
        <v>729</v>
      </c>
      <c r="U12" s="11" t="s">
        <v>729</v>
      </c>
      <c r="V12" s="12" t="s">
        <v>729</v>
      </c>
    </row>
    <row r="13" ht="53" customHeight="1" spans="1:22">
      <c r="A13" s="16"/>
      <c r="B13" s="6" t="s">
        <v>729</v>
      </c>
      <c r="C13" s="6" t="s">
        <v>729</v>
      </c>
      <c r="D13" s="18" t="s">
        <v>871</v>
      </c>
      <c r="E13" s="6" t="s">
        <v>729</v>
      </c>
      <c r="F13" s="11" t="s">
        <v>756</v>
      </c>
      <c r="G13" s="11" t="s">
        <v>756</v>
      </c>
      <c r="H13" s="11" t="s">
        <v>756</v>
      </c>
      <c r="I13" s="11" t="s">
        <v>756</v>
      </c>
      <c r="J13" s="11" t="s">
        <v>756</v>
      </c>
      <c r="K13" s="11" t="s">
        <v>752</v>
      </c>
      <c r="L13" s="11" t="s">
        <v>729</v>
      </c>
      <c r="M13" s="11" t="s">
        <v>729</v>
      </c>
      <c r="N13" s="11" t="s">
        <v>729</v>
      </c>
      <c r="O13" s="11" t="s">
        <v>729</v>
      </c>
      <c r="P13" s="11" t="s">
        <v>729</v>
      </c>
      <c r="Q13" s="11" t="s">
        <v>729</v>
      </c>
      <c r="R13" s="11" t="s">
        <v>729</v>
      </c>
      <c r="S13" s="11" t="s">
        <v>729</v>
      </c>
      <c r="T13" s="11" t="s">
        <v>729</v>
      </c>
      <c r="U13" s="11" t="s">
        <v>729</v>
      </c>
      <c r="V13" s="12" t="s">
        <v>729</v>
      </c>
    </row>
    <row r="14" ht="15.5" customHeight="1" spans="1:22">
      <c r="A14" s="16" t="s">
        <v>692</v>
      </c>
      <c r="B14" s="17" t="s">
        <v>693</v>
      </c>
      <c r="C14" s="6" t="s">
        <v>729</v>
      </c>
      <c r="D14" s="6" t="s">
        <v>729</v>
      </c>
      <c r="E14" s="6" t="s">
        <v>729</v>
      </c>
      <c r="F14" s="6" t="s">
        <v>729</v>
      </c>
      <c r="G14" s="6" t="s">
        <v>729</v>
      </c>
      <c r="H14" s="6" t="s">
        <v>729</v>
      </c>
      <c r="I14" s="6" t="s">
        <v>729</v>
      </c>
      <c r="J14" s="6" t="s">
        <v>729</v>
      </c>
      <c r="K14" s="6" t="s">
        <v>729</v>
      </c>
      <c r="L14" s="6" t="s">
        <v>729</v>
      </c>
      <c r="M14" s="6" t="s">
        <v>729</v>
      </c>
      <c r="N14" s="6" t="s">
        <v>729</v>
      </c>
      <c r="O14" s="6" t="s">
        <v>729</v>
      </c>
      <c r="P14" s="6" t="s">
        <v>729</v>
      </c>
      <c r="Q14" s="6" t="s">
        <v>729</v>
      </c>
      <c r="R14" s="6" t="s">
        <v>729</v>
      </c>
      <c r="S14" s="6" t="s">
        <v>729</v>
      </c>
      <c r="T14" s="6" t="s">
        <v>729</v>
      </c>
      <c r="U14" s="6" t="s">
        <v>729</v>
      </c>
      <c r="V14" s="8" t="s">
        <v>729</v>
      </c>
    </row>
    <row r="15" ht="40.5" customHeight="1" spans="1:22">
      <c r="A15" s="16"/>
      <c r="B15" s="6" t="s">
        <v>729</v>
      </c>
      <c r="C15" s="6" t="s">
        <v>729</v>
      </c>
      <c r="D15" s="18" t="s">
        <v>872</v>
      </c>
      <c r="E15" s="6" t="s">
        <v>729</v>
      </c>
      <c r="F15" s="11" t="s">
        <v>752</v>
      </c>
      <c r="G15" s="11" t="s">
        <v>752</v>
      </c>
      <c r="H15" s="11" t="s">
        <v>752</v>
      </c>
      <c r="I15" s="11" t="s">
        <v>752</v>
      </c>
      <c r="J15" s="11" t="s">
        <v>756</v>
      </c>
      <c r="K15" s="11" t="s">
        <v>752</v>
      </c>
      <c r="L15" s="11" t="s">
        <v>729</v>
      </c>
      <c r="M15" s="11" t="s">
        <v>729</v>
      </c>
      <c r="N15" s="11" t="s">
        <v>729</v>
      </c>
      <c r="O15" s="11" t="s">
        <v>729</v>
      </c>
      <c r="P15" s="11" t="s">
        <v>729</v>
      </c>
      <c r="Q15" s="11" t="s">
        <v>729</v>
      </c>
      <c r="R15" s="11" t="s">
        <v>729</v>
      </c>
      <c r="S15" s="11" t="s">
        <v>729</v>
      </c>
      <c r="T15" s="11" t="s">
        <v>729</v>
      </c>
      <c r="U15" s="11" t="s">
        <v>729</v>
      </c>
      <c r="V15" s="12" t="s">
        <v>729</v>
      </c>
    </row>
    <row r="16" ht="40.5" customHeight="1" spans="1:22">
      <c r="A16" s="16"/>
      <c r="B16" s="6" t="s">
        <v>729</v>
      </c>
      <c r="C16" s="6" t="s">
        <v>729</v>
      </c>
      <c r="D16" s="18" t="s">
        <v>873</v>
      </c>
      <c r="E16" s="6" t="s">
        <v>729</v>
      </c>
      <c r="F16" s="11" t="s">
        <v>756</v>
      </c>
      <c r="G16" s="11" t="s">
        <v>756</v>
      </c>
      <c r="H16" s="11" t="s">
        <v>756</v>
      </c>
      <c r="I16" s="11" t="s">
        <v>756</v>
      </c>
      <c r="J16" s="11" t="s">
        <v>752</v>
      </c>
      <c r="K16" s="11" t="s">
        <v>756</v>
      </c>
      <c r="L16" s="11" t="s">
        <v>729</v>
      </c>
      <c r="M16" s="11" t="s">
        <v>729</v>
      </c>
      <c r="N16" s="11" t="s">
        <v>729</v>
      </c>
      <c r="O16" s="11" t="s">
        <v>729</v>
      </c>
      <c r="P16" s="11" t="s">
        <v>729</v>
      </c>
      <c r="Q16" s="11" t="s">
        <v>729</v>
      </c>
      <c r="R16" s="11" t="s">
        <v>729</v>
      </c>
      <c r="S16" s="11" t="s">
        <v>729</v>
      </c>
      <c r="T16" s="11" t="s">
        <v>729</v>
      </c>
      <c r="U16" s="11" t="s">
        <v>729</v>
      </c>
      <c r="V16" s="12" t="s">
        <v>729</v>
      </c>
    </row>
    <row r="17" ht="15.5" customHeight="1" spans="1:22">
      <c r="A17" s="16"/>
      <c r="B17" s="17" t="s">
        <v>694</v>
      </c>
      <c r="C17" s="6" t="s">
        <v>729</v>
      </c>
      <c r="D17" s="6" t="s">
        <v>729</v>
      </c>
      <c r="E17" s="6" t="s">
        <v>729</v>
      </c>
      <c r="F17" s="6" t="s">
        <v>729</v>
      </c>
      <c r="G17" s="6" t="s">
        <v>729</v>
      </c>
      <c r="H17" s="6" t="s">
        <v>729</v>
      </c>
      <c r="I17" s="6" t="s">
        <v>729</v>
      </c>
      <c r="J17" s="6" t="s">
        <v>729</v>
      </c>
      <c r="K17" s="6" t="s">
        <v>729</v>
      </c>
      <c r="L17" s="6" t="s">
        <v>729</v>
      </c>
      <c r="M17" s="6" t="s">
        <v>729</v>
      </c>
      <c r="N17" s="6" t="s">
        <v>729</v>
      </c>
      <c r="O17" s="6" t="s">
        <v>729</v>
      </c>
      <c r="P17" s="6" t="s">
        <v>729</v>
      </c>
      <c r="Q17" s="6" t="s">
        <v>729</v>
      </c>
      <c r="R17" s="6" t="s">
        <v>729</v>
      </c>
      <c r="S17" s="6" t="s">
        <v>729</v>
      </c>
      <c r="T17" s="6" t="s">
        <v>729</v>
      </c>
      <c r="U17" s="6" t="s">
        <v>729</v>
      </c>
      <c r="V17" s="8" t="s">
        <v>729</v>
      </c>
    </row>
    <row r="18" ht="90.5" customHeight="1" spans="1:22">
      <c r="A18" s="16"/>
      <c r="B18" s="6" t="s">
        <v>729</v>
      </c>
      <c r="C18" s="6" t="s">
        <v>729</v>
      </c>
      <c r="D18" s="18" t="s">
        <v>874</v>
      </c>
      <c r="E18" s="6" t="s">
        <v>729</v>
      </c>
      <c r="F18" s="11" t="s">
        <v>756</v>
      </c>
      <c r="G18" s="11" t="s">
        <v>756</v>
      </c>
      <c r="H18" s="11" t="s">
        <v>756</v>
      </c>
      <c r="I18" s="11" t="s">
        <v>756</v>
      </c>
      <c r="J18" s="11" t="s">
        <v>756</v>
      </c>
      <c r="K18" s="11" t="s">
        <v>752</v>
      </c>
      <c r="L18" s="11" t="s">
        <v>729</v>
      </c>
      <c r="M18" s="11" t="s">
        <v>729</v>
      </c>
      <c r="N18" s="11" t="s">
        <v>729</v>
      </c>
      <c r="O18" s="11" t="s">
        <v>729</v>
      </c>
      <c r="P18" s="11" t="s">
        <v>729</v>
      </c>
      <c r="Q18" s="11" t="s">
        <v>729</v>
      </c>
      <c r="R18" s="11" t="s">
        <v>729</v>
      </c>
      <c r="S18" s="11" t="s">
        <v>729</v>
      </c>
      <c r="T18" s="11" t="s">
        <v>729</v>
      </c>
      <c r="U18" s="11" t="s">
        <v>729</v>
      </c>
      <c r="V18" s="12" t="s">
        <v>729</v>
      </c>
    </row>
    <row r="19" ht="18" customHeight="1" spans="1:22">
      <c r="A19" s="19" t="s">
        <v>696</v>
      </c>
      <c r="B19" s="20" t="s">
        <v>765</v>
      </c>
      <c r="C19" s="20"/>
      <c r="D19" s="20"/>
      <c r="E19" s="6" t="s">
        <v>729</v>
      </c>
      <c r="F19" s="11" t="s">
        <v>670</v>
      </c>
      <c r="G19" s="11" t="s">
        <v>670</v>
      </c>
      <c r="H19" s="11" t="s">
        <v>670</v>
      </c>
      <c r="I19" s="11" t="s">
        <v>670</v>
      </c>
      <c r="J19" s="11" t="s">
        <v>63</v>
      </c>
      <c r="K19" s="11" t="s">
        <v>671</v>
      </c>
      <c r="L19" s="11" t="s">
        <v>729</v>
      </c>
      <c r="M19" s="11" t="s">
        <v>729</v>
      </c>
      <c r="N19" s="11" t="s">
        <v>729</v>
      </c>
      <c r="O19" s="11" t="s">
        <v>729</v>
      </c>
      <c r="P19" s="11" t="s">
        <v>729</v>
      </c>
      <c r="Q19" s="11" t="s">
        <v>729</v>
      </c>
      <c r="R19" s="11" t="s">
        <v>729</v>
      </c>
      <c r="S19" s="11" t="s">
        <v>729</v>
      </c>
      <c r="T19" s="11" t="s">
        <v>729</v>
      </c>
      <c r="U19" s="11" t="s">
        <v>729</v>
      </c>
      <c r="V19" s="12" t="s">
        <v>729</v>
      </c>
    </row>
    <row r="20" ht="18" customHeight="1" spans="1:22">
      <c r="A20" s="19"/>
      <c r="B20" s="20" t="s">
        <v>698</v>
      </c>
      <c r="C20" s="20"/>
      <c r="D20" s="20"/>
      <c r="E20" s="6" t="s">
        <v>729</v>
      </c>
      <c r="F20" s="11" t="s">
        <v>766</v>
      </c>
      <c r="G20" s="11" t="s">
        <v>766</v>
      </c>
      <c r="H20" s="11" t="s">
        <v>766</v>
      </c>
      <c r="I20" s="11" t="s">
        <v>766</v>
      </c>
      <c r="J20" s="11" t="s">
        <v>766</v>
      </c>
      <c r="K20" s="11" t="s">
        <v>766</v>
      </c>
      <c r="L20" s="11" t="s">
        <v>729</v>
      </c>
      <c r="M20" s="11" t="s">
        <v>729</v>
      </c>
      <c r="N20" s="11" t="s">
        <v>729</v>
      </c>
      <c r="O20" s="11" t="s">
        <v>729</v>
      </c>
      <c r="P20" s="11" t="s">
        <v>729</v>
      </c>
      <c r="Q20" s="11" t="s">
        <v>729</v>
      </c>
      <c r="R20" s="11" t="s">
        <v>729</v>
      </c>
      <c r="S20" s="11" t="s">
        <v>729</v>
      </c>
      <c r="T20" s="11" t="s">
        <v>729</v>
      </c>
      <c r="U20" s="11" t="s">
        <v>729</v>
      </c>
      <c r="V20" s="12" t="s">
        <v>729</v>
      </c>
    </row>
    <row r="21" ht="18" customHeight="1" spans="1:22">
      <c r="A21" s="19"/>
      <c r="B21" s="20" t="s">
        <v>699</v>
      </c>
      <c r="C21" s="20"/>
      <c r="D21" s="20"/>
      <c r="E21" s="6" t="s">
        <v>729</v>
      </c>
      <c r="F21" s="6" t="s">
        <v>729</v>
      </c>
      <c r="G21" s="6" t="s">
        <v>729</v>
      </c>
      <c r="H21" s="6" t="s">
        <v>729</v>
      </c>
      <c r="I21" s="6" t="s">
        <v>729</v>
      </c>
      <c r="J21" s="6" t="s">
        <v>729</v>
      </c>
      <c r="K21" s="6" t="s">
        <v>729</v>
      </c>
      <c r="L21" s="6" t="s">
        <v>729</v>
      </c>
      <c r="M21" s="6" t="s">
        <v>729</v>
      </c>
      <c r="N21" s="6" t="s">
        <v>729</v>
      </c>
      <c r="O21" s="6" t="s">
        <v>729</v>
      </c>
      <c r="P21" s="6" t="s">
        <v>729</v>
      </c>
      <c r="Q21" s="6" t="s">
        <v>729</v>
      </c>
      <c r="R21" s="6" t="s">
        <v>729</v>
      </c>
      <c r="S21" s="6" t="s">
        <v>729</v>
      </c>
      <c r="T21" s="6" t="s">
        <v>729</v>
      </c>
      <c r="U21" s="6" t="s">
        <v>729</v>
      </c>
      <c r="V21" s="8" t="s">
        <v>729</v>
      </c>
    </row>
    <row r="22" ht="18" customHeight="1" spans="1:22">
      <c r="A22" s="19"/>
      <c r="B22" s="21" t="s">
        <v>700</v>
      </c>
      <c r="C22" s="21"/>
      <c r="D22" s="21"/>
      <c r="E22" s="22" t="s">
        <v>729</v>
      </c>
      <c r="F22" s="22" t="s">
        <v>729</v>
      </c>
      <c r="G22" s="22" t="s">
        <v>729</v>
      </c>
      <c r="H22" s="22" t="s">
        <v>729</v>
      </c>
      <c r="I22" s="22" t="s">
        <v>729</v>
      </c>
      <c r="J22" s="22" t="s">
        <v>729</v>
      </c>
      <c r="K22" s="22" t="s">
        <v>729</v>
      </c>
      <c r="L22" s="22" t="s">
        <v>729</v>
      </c>
      <c r="M22" s="22" t="s">
        <v>729</v>
      </c>
      <c r="N22" s="22" t="s">
        <v>729</v>
      </c>
      <c r="O22" s="22" t="s">
        <v>729</v>
      </c>
      <c r="P22" s="22" t="s">
        <v>729</v>
      </c>
      <c r="Q22" s="22" t="s">
        <v>729</v>
      </c>
      <c r="R22" s="22" t="s">
        <v>729</v>
      </c>
      <c r="S22" s="22" t="s">
        <v>729</v>
      </c>
      <c r="T22" s="22" t="s">
        <v>729</v>
      </c>
      <c r="U22" s="22" t="s">
        <v>729</v>
      </c>
      <c r="V22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9:D19"/>
    <mergeCell ref="B20:D20"/>
    <mergeCell ref="B21:D21"/>
    <mergeCell ref="B22:D22"/>
    <mergeCell ref="A7:A13"/>
    <mergeCell ref="A14:A18"/>
    <mergeCell ref="A19:A22"/>
  </mergeCells>
  <dataValidations count="3">
    <dataValidation type="list" allowBlank="1" sqref="F18:V18 F10:V13 F15:V16 F8:V9">
      <formula1>"O,-"</formula1>
    </dataValidation>
    <dataValidation type="list" allowBlank="1" sqref="F19:V19">
      <formula1>"N,A,B"</formula1>
    </dataValidation>
    <dataValidation type="list" allowBlank="1" sqref="F20:V20">
      <formula1>"P,F"</formula1>
    </dataValidation>
  </dataValidations>
  <pageMargins left="0.7" right="0.7" top="0.75" bottom="0.75" header="0.3" footer="0.3"/>
  <pageSetup paperSize="1" orientation="portrait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1"/>
  <sheetViews>
    <sheetView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135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146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875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4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3</v>
      </c>
      <c r="M5" s="11">
        <v>1</v>
      </c>
      <c r="N5" s="11">
        <v>0</v>
      </c>
      <c r="O5" s="12">
        <v>4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687</v>
      </c>
      <c r="H6" s="14" t="s">
        <v>688</v>
      </c>
      <c r="I6" s="14" t="s">
        <v>689</v>
      </c>
      <c r="J6" s="14" t="s">
        <v>729</v>
      </c>
      <c r="K6" s="14" t="s">
        <v>729</v>
      </c>
      <c r="L6" s="14" t="s">
        <v>729</v>
      </c>
      <c r="M6" s="14" t="s">
        <v>729</v>
      </c>
      <c r="N6" s="14" t="s">
        <v>729</v>
      </c>
      <c r="O6" s="14" t="s">
        <v>729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15.5" customHeight="1" spans="1:22">
      <c r="A7" s="16" t="s">
        <v>690</v>
      </c>
      <c r="B7" s="17" t="s">
        <v>750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53" customHeight="1" spans="1:22">
      <c r="A8" s="16"/>
      <c r="B8" s="6" t="s">
        <v>729</v>
      </c>
      <c r="C8" s="6" t="s">
        <v>729</v>
      </c>
      <c r="D8" s="18" t="s">
        <v>150</v>
      </c>
      <c r="E8" s="6" t="s">
        <v>729</v>
      </c>
      <c r="F8" s="11" t="s">
        <v>752</v>
      </c>
      <c r="G8" s="11" t="s">
        <v>752</v>
      </c>
      <c r="H8" s="11" t="s">
        <v>752</v>
      </c>
      <c r="I8" s="11" t="s">
        <v>752</v>
      </c>
      <c r="J8" s="11" t="s">
        <v>729</v>
      </c>
      <c r="K8" s="11" t="s">
        <v>729</v>
      </c>
      <c r="L8" s="11" t="s">
        <v>729</v>
      </c>
      <c r="M8" s="11" t="s">
        <v>729</v>
      </c>
      <c r="N8" s="11" t="s">
        <v>729</v>
      </c>
      <c r="O8" s="11" t="s">
        <v>729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28" customHeight="1" spans="1:22">
      <c r="A9" s="16"/>
      <c r="B9" s="17" t="s">
        <v>876</v>
      </c>
      <c r="C9" s="6" t="s">
        <v>729</v>
      </c>
      <c r="D9" s="6" t="s">
        <v>729</v>
      </c>
      <c r="E9" s="6" t="s">
        <v>729</v>
      </c>
      <c r="F9" s="6" t="s">
        <v>729</v>
      </c>
      <c r="G9" s="6" t="s">
        <v>729</v>
      </c>
      <c r="H9" s="6" t="s">
        <v>729</v>
      </c>
      <c r="I9" s="6" t="s">
        <v>729</v>
      </c>
      <c r="J9" s="6" t="s">
        <v>729</v>
      </c>
      <c r="K9" s="6" t="s">
        <v>729</v>
      </c>
      <c r="L9" s="6" t="s">
        <v>729</v>
      </c>
      <c r="M9" s="6" t="s">
        <v>729</v>
      </c>
      <c r="N9" s="6" t="s">
        <v>729</v>
      </c>
      <c r="O9" s="6" t="s">
        <v>729</v>
      </c>
      <c r="P9" s="6" t="s">
        <v>729</v>
      </c>
      <c r="Q9" s="6" t="s">
        <v>729</v>
      </c>
      <c r="R9" s="6" t="s">
        <v>729</v>
      </c>
      <c r="S9" s="6" t="s">
        <v>729</v>
      </c>
      <c r="T9" s="6" t="s">
        <v>729</v>
      </c>
      <c r="U9" s="6" t="s">
        <v>729</v>
      </c>
      <c r="V9" s="8" t="s">
        <v>729</v>
      </c>
    </row>
    <row r="10" ht="15.5" customHeight="1" spans="1:22">
      <c r="A10" s="16"/>
      <c r="B10" s="6" t="s">
        <v>729</v>
      </c>
      <c r="C10" s="6" t="s">
        <v>729</v>
      </c>
      <c r="D10" s="18" t="s">
        <v>877</v>
      </c>
      <c r="E10" s="6" t="s">
        <v>729</v>
      </c>
      <c r="F10" s="11" t="s">
        <v>752</v>
      </c>
      <c r="G10" s="11" t="s">
        <v>756</v>
      </c>
      <c r="H10" s="11" t="s">
        <v>756</v>
      </c>
      <c r="I10" s="11" t="s">
        <v>756</v>
      </c>
      <c r="J10" s="11" t="s">
        <v>729</v>
      </c>
      <c r="K10" s="11" t="s">
        <v>729</v>
      </c>
      <c r="L10" s="11" t="s">
        <v>729</v>
      </c>
      <c r="M10" s="11" t="s">
        <v>729</v>
      </c>
      <c r="N10" s="11" t="s">
        <v>729</v>
      </c>
      <c r="O10" s="11" t="s">
        <v>729</v>
      </c>
      <c r="P10" s="11" t="s">
        <v>729</v>
      </c>
      <c r="Q10" s="11" t="s">
        <v>729</v>
      </c>
      <c r="R10" s="11" t="s">
        <v>729</v>
      </c>
      <c r="S10" s="11" t="s">
        <v>729</v>
      </c>
      <c r="T10" s="11" t="s">
        <v>729</v>
      </c>
      <c r="U10" s="11" t="s">
        <v>729</v>
      </c>
      <c r="V10" s="12" t="s">
        <v>729</v>
      </c>
    </row>
    <row r="11" ht="15.5" customHeight="1" spans="1:22">
      <c r="A11" s="16"/>
      <c r="B11" s="6" t="s">
        <v>729</v>
      </c>
      <c r="C11" s="6" t="s">
        <v>729</v>
      </c>
      <c r="D11" s="18" t="s">
        <v>878</v>
      </c>
      <c r="E11" s="6" t="s">
        <v>729</v>
      </c>
      <c r="F11" s="11" t="s">
        <v>756</v>
      </c>
      <c r="G11" s="11" t="s">
        <v>752</v>
      </c>
      <c r="H11" s="11" t="s">
        <v>756</v>
      </c>
      <c r="I11" s="11" t="s">
        <v>756</v>
      </c>
      <c r="J11" s="11" t="s">
        <v>729</v>
      </c>
      <c r="K11" s="11" t="s">
        <v>729</v>
      </c>
      <c r="L11" s="11" t="s">
        <v>729</v>
      </c>
      <c r="M11" s="11" t="s">
        <v>729</v>
      </c>
      <c r="N11" s="11" t="s">
        <v>729</v>
      </c>
      <c r="O11" s="11" t="s">
        <v>729</v>
      </c>
      <c r="P11" s="11" t="s">
        <v>729</v>
      </c>
      <c r="Q11" s="11" t="s">
        <v>729</v>
      </c>
      <c r="R11" s="11" t="s">
        <v>729</v>
      </c>
      <c r="S11" s="11" t="s">
        <v>729</v>
      </c>
      <c r="T11" s="11" t="s">
        <v>729</v>
      </c>
      <c r="U11" s="11" t="s">
        <v>729</v>
      </c>
      <c r="V11" s="12" t="s">
        <v>729</v>
      </c>
    </row>
    <row r="12" ht="15.5" customHeight="1" spans="1:22">
      <c r="A12" s="16"/>
      <c r="B12" s="6" t="s">
        <v>729</v>
      </c>
      <c r="C12" s="6" t="s">
        <v>729</v>
      </c>
      <c r="D12" s="18" t="s">
        <v>879</v>
      </c>
      <c r="E12" s="6" t="s">
        <v>729</v>
      </c>
      <c r="F12" s="11" t="s">
        <v>756</v>
      </c>
      <c r="G12" s="11" t="s">
        <v>756</v>
      </c>
      <c r="H12" s="11" t="s">
        <v>752</v>
      </c>
      <c r="I12" s="11" t="s">
        <v>756</v>
      </c>
      <c r="J12" s="11" t="s">
        <v>729</v>
      </c>
      <c r="K12" s="11" t="s">
        <v>729</v>
      </c>
      <c r="L12" s="11" t="s">
        <v>729</v>
      </c>
      <c r="M12" s="11" t="s">
        <v>729</v>
      </c>
      <c r="N12" s="11" t="s">
        <v>729</v>
      </c>
      <c r="O12" s="11" t="s">
        <v>729</v>
      </c>
      <c r="P12" s="11" t="s">
        <v>729</v>
      </c>
      <c r="Q12" s="11" t="s">
        <v>729</v>
      </c>
      <c r="R12" s="11" t="s">
        <v>729</v>
      </c>
      <c r="S12" s="11" t="s">
        <v>729</v>
      </c>
      <c r="T12" s="11" t="s">
        <v>729</v>
      </c>
      <c r="U12" s="11" t="s">
        <v>729</v>
      </c>
      <c r="V12" s="12" t="s">
        <v>729</v>
      </c>
    </row>
    <row r="13" ht="15.5" customHeight="1" spans="1:22">
      <c r="A13" s="16"/>
      <c r="B13" s="6" t="s">
        <v>729</v>
      </c>
      <c r="C13" s="6" t="s">
        <v>729</v>
      </c>
      <c r="D13" s="18" t="s">
        <v>668</v>
      </c>
      <c r="E13" s="6" t="s">
        <v>729</v>
      </c>
      <c r="F13" s="11" t="s">
        <v>756</v>
      </c>
      <c r="G13" s="11" t="s">
        <v>756</v>
      </c>
      <c r="H13" s="11" t="s">
        <v>756</v>
      </c>
      <c r="I13" s="11" t="s">
        <v>752</v>
      </c>
      <c r="J13" s="11" t="s">
        <v>729</v>
      </c>
      <c r="K13" s="11" t="s">
        <v>729</v>
      </c>
      <c r="L13" s="11" t="s">
        <v>729</v>
      </c>
      <c r="M13" s="11" t="s">
        <v>729</v>
      </c>
      <c r="N13" s="11" t="s">
        <v>729</v>
      </c>
      <c r="O13" s="11" t="s">
        <v>729</v>
      </c>
      <c r="P13" s="11" t="s">
        <v>729</v>
      </c>
      <c r="Q13" s="11" t="s">
        <v>729</v>
      </c>
      <c r="R13" s="11" t="s">
        <v>729</v>
      </c>
      <c r="S13" s="11" t="s">
        <v>729</v>
      </c>
      <c r="T13" s="11" t="s">
        <v>729</v>
      </c>
      <c r="U13" s="11" t="s">
        <v>729</v>
      </c>
      <c r="V13" s="12" t="s">
        <v>729</v>
      </c>
    </row>
    <row r="14" ht="15.5" customHeight="1" spans="1:22">
      <c r="A14" s="16" t="s">
        <v>692</v>
      </c>
      <c r="B14" s="17" t="s">
        <v>693</v>
      </c>
      <c r="C14" s="6" t="s">
        <v>729</v>
      </c>
      <c r="D14" s="6" t="s">
        <v>729</v>
      </c>
      <c r="E14" s="6" t="s">
        <v>729</v>
      </c>
      <c r="F14" s="6" t="s">
        <v>729</v>
      </c>
      <c r="G14" s="6" t="s">
        <v>729</v>
      </c>
      <c r="H14" s="6" t="s">
        <v>729</v>
      </c>
      <c r="I14" s="6" t="s">
        <v>729</v>
      </c>
      <c r="J14" s="6" t="s">
        <v>729</v>
      </c>
      <c r="K14" s="6" t="s">
        <v>729</v>
      </c>
      <c r="L14" s="6" t="s">
        <v>729</v>
      </c>
      <c r="M14" s="6" t="s">
        <v>729</v>
      </c>
      <c r="N14" s="6" t="s">
        <v>729</v>
      </c>
      <c r="O14" s="6" t="s">
        <v>729</v>
      </c>
      <c r="P14" s="6" t="s">
        <v>729</v>
      </c>
      <c r="Q14" s="6" t="s">
        <v>729</v>
      </c>
      <c r="R14" s="6" t="s">
        <v>729</v>
      </c>
      <c r="S14" s="6" t="s">
        <v>729</v>
      </c>
      <c r="T14" s="6" t="s">
        <v>729</v>
      </c>
      <c r="U14" s="6" t="s">
        <v>729</v>
      </c>
      <c r="V14" s="8" t="s">
        <v>729</v>
      </c>
    </row>
    <row r="15" ht="40.5" customHeight="1" spans="1:22">
      <c r="A15" s="16"/>
      <c r="B15" s="6" t="s">
        <v>729</v>
      </c>
      <c r="C15" s="6" t="s">
        <v>729</v>
      </c>
      <c r="D15" s="18" t="s">
        <v>880</v>
      </c>
      <c r="E15" s="6" t="s">
        <v>729</v>
      </c>
      <c r="F15" s="11" t="s">
        <v>752</v>
      </c>
      <c r="G15" s="11" t="s">
        <v>752</v>
      </c>
      <c r="H15" s="11" t="s">
        <v>752</v>
      </c>
      <c r="I15" s="11" t="s">
        <v>752</v>
      </c>
      <c r="J15" s="11" t="s">
        <v>729</v>
      </c>
      <c r="K15" s="11" t="s">
        <v>729</v>
      </c>
      <c r="L15" s="11" t="s">
        <v>729</v>
      </c>
      <c r="M15" s="11" t="s">
        <v>729</v>
      </c>
      <c r="N15" s="11" t="s">
        <v>729</v>
      </c>
      <c r="O15" s="11" t="s">
        <v>729</v>
      </c>
      <c r="P15" s="11" t="s">
        <v>729</v>
      </c>
      <c r="Q15" s="11" t="s">
        <v>729</v>
      </c>
      <c r="R15" s="11" t="s">
        <v>729</v>
      </c>
      <c r="S15" s="11" t="s">
        <v>729</v>
      </c>
      <c r="T15" s="11" t="s">
        <v>729</v>
      </c>
      <c r="U15" s="11" t="s">
        <v>729</v>
      </c>
      <c r="V15" s="12" t="s">
        <v>729</v>
      </c>
    </row>
    <row r="16" ht="65.5" customHeight="1" spans="1:22">
      <c r="A16" s="16"/>
      <c r="B16" s="6" t="s">
        <v>729</v>
      </c>
      <c r="C16" s="6" t="s">
        <v>729</v>
      </c>
      <c r="D16" s="18" t="s">
        <v>881</v>
      </c>
      <c r="E16" s="6" t="s">
        <v>729</v>
      </c>
      <c r="F16" s="11" t="s">
        <v>752</v>
      </c>
      <c r="G16" s="11" t="s">
        <v>752</v>
      </c>
      <c r="H16" s="11" t="s">
        <v>756</v>
      </c>
      <c r="I16" s="11" t="s">
        <v>752</v>
      </c>
      <c r="J16" s="11" t="s">
        <v>729</v>
      </c>
      <c r="K16" s="11" t="s">
        <v>729</v>
      </c>
      <c r="L16" s="11" t="s">
        <v>729</v>
      </c>
      <c r="M16" s="11" t="s">
        <v>729</v>
      </c>
      <c r="N16" s="11" t="s">
        <v>729</v>
      </c>
      <c r="O16" s="11" t="s">
        <v>729</v>
      </c>
      <c r="P16" s="11" t="s">
        <v>729</v>
      </c>
      <c r="Q16" s="11" t="s">
        <v>729</v>
      </c>
      <c r="R16" s="11" t="s">
        <v>729</v>
      </c>
      <c r="S16" s="11" t="s">
        <v>729</v>
      </c>
      <c r="T16" s="11" t="s">
        <v>729</v>
      </c>
      <c r="U16" s="11" t="s">
        <v>729</v>
      </c>
      <c r="V16" s="12" t="s">
        <v>729</v>
      </c>
    </row>
    <row r="17" ht="53" customHeight="1" spans="1:22">
      <c r="A17" s="16"/>
      <c r="B17" s="6" t="s">
        <v>729</v>
      </c>
      <c r="C17" s="6" t="s">
        <v>729</v>
      </c>
      <c r="D17" s="18" t="s">
        <v>882</v>
      </c>
      <c r="E17" s="6" t="s">
        <v>729</v>
      </c>
      <c r="F17" s="11" t="s">
        <v>756</v>
      </c>
      <c r="G17" s="11" t="s">
        <v>756</v>
      </c>
      <c r="H17" s="11" t="s">
        <v>752</v>
      </c>
      <c r="I17" s="11" t="s">
        <v>756</v>
      </c>
      <c r="J17" s="11" t="s">
        <v>729</v>
      </c>
      <c r="K17" s="11" t="s">
        <v>729</v>
      </c>
      <c r="L17" s="11" t="s">
        <v>729</v>
      </c>
      <c r="M17" s="11" t="s">
        <v>729</v>
      </c>
      <c r="N17" s="11" t="s">
        <v>729</v>
      </c>
      <c r="O17" s="11" t="s">
        <v>729</v>
      </c>
      <c r="P17" s="11" t="s">
        <v>729</v>
      </c>
      <c r="Q17" s="11" t="s">
        <v>729</v>
      </c>
      <c r="R17" s="11" t="s">
        <v>729</v>
      </c>
      <c r="S17" s="11" t="s">
        <v>729</v>
      </c>
      <c r="T17" s="11" t="s">
        <v>729</v>
      </c>
      <c r="U17" s="11" t="s">
        <v>729</v>
      </c>
      <c r="V17" s="12" t="s">
        <v>729</v>
      </c>
    </row>
    <row r="18" ht="18" customHeight="1" spans="1:22">
      <c r="A18" s="19" t="s">
        <v>696</v>
      </c>
      <c r="B18" s="20" t="s">
        <v>765</v>
      </c>
      <c r="C18" s="20"/>
      <c r="D18" s="20"/>
      <c r="E18" s="6" t="s">
        <v>729</v>
      </c>
      <c r="F18" s="11" t="s">
        <v>670</v>
      </c>
      <c r="G18" s="11" t="s">
        <v>670</v>
      </c>
      <c r="H18" s="11" t="s">
        <v>670</v>
      </c>
      <c r="I18" s="11" t="s">
        <v>63</v>
      </c>
      <c r="J18" s="11" t="s">
        <v>729</v>
      </c>
      <c r="K18" s="11" t="s">
        <v>729</v>
      </c>
      <c r="L18" s="11" t="s">
        <v>729</v>
      </c>
      <c r="M18" s="11" t="s">
        <v>729</v>
      </c>
      <c r="N18" s="11" t="s">
        <v>729</v>
      </c>
      <c r="O18" s="11" t="s">
        <v>729</v>
      </c>
      <c r="P18" s="11" t="s">
        <v>729</v>
      </c>
      <c r="Q18" s="11" t="s">
        <v>729</v>
      </c>
      <c r="R18" s="11" t="s">
        <v>729</v>
      </c>
      <c r="S18" s="11" t="s">
        <v>729</v>
      </c>
      <c r="T18" s="11" t="s">
        <v>729</v>
      </c>
      <c r="U18" s="11" t="s">
        <v>729</v>
      </c>
      <c r="V18" s="12" t="s">
        <v>729</v>
      </c>
    </row>
    <row r="19" ht="18" customHeight="1" spans="1:22">
      <c r="A19" s="19"/>
      <c r="B19" s="20" t="s">
        <v>698</v>
      </c>
      <c r="C19" s="20"/>
      <c r="D19" s="20"/>
      <c r="E19" s="6" t="s">
        <v>729</v>
      </c>
      <c r="F19" s="11" t="s">
        <v>766</v>
      </c>
      <c r="G19" s="11" t="s">
        <v>766</v>
      </c>
      <c r="H19" s="11" t="s">
        <v>766</v>
      </c>
      <c r="I19" s="11" t="s">
        <v>766</v>
      </c>
      <c r="J19" s="11" t="s">
        <v>729</v>
      </c>
      <c r="K19" s="11" t="s">
        <v>729</v>
      </c>
      <c r="L19" s="11" t="s">
        <v>729</v>
      </c>
      <c r="M19" s="11" t="s">
        <v>729</v>
      </c>
      <c r="N19" s="11" t="s">
        <v>729</v>
      </c>
      <c r="O19" s="11" t="s">
        <v>729</v>
      </c>
      <c r="P19" s="11" t="s">
        <v>729</v>
      </c>
      <c r="Q19" s="11" t="s">
        <v>729</v>
      </c>
      <c r="R19" s="11" t="s">
        <v>729</v>
      </c>
      <c r="S19" s="11" t="s">
        <v>729</v>
      </c>
      <c r="T19" s="11" t="s">
        <v>729</v>
      </c>
      <c r="U19" s="11" t="s">
        <v>729</v>
      </c>
      <c r="V19" s="12" t="s">
        <v>729</v>
      </c>
    </row>
    <row r="20" ht="18" customHeight="1" spans="1:22">
      <c r="A20" s="19"/>
      <c r="B20" s="20" t="s">
        <v>699</v>
      </c>
      <c r="C20" s="20"/>
      <c r="D20" s="20"/>
      <c r="E20" s="6" t="s">
        <v>729</v>
      </c>
      <c r="F20" s="6" t="s">
        <v>729</v>
      </c>
      <c r="G20" s="6" t="s">
        <v>729</v>
      </c>
      <c r="H20" s="6" t="s">
        <v>729</v>
      </c>
      <c r="I20" s="6" t="s">
        <v>729</v>
      </c>
      <c r="J20" s="6" t="s">
        <v>729</v>
      </c>
      <c r="K20" s="6" t="s">
        <v>729</v>
      </c>
      <c r="L20" s="6" t="s">
        <v>729</v>
      </c>
      <c r="M20" s="6" t="s">
        <v>729</v>
      </c>
      <c r="N20" s="6" t="s">
        <v>729</v>
      </c>
      <c r="O20" s="6" t="s">
        <v>729</v>
      </c>
      <c r="P20" s="6" t="s">
        <v>729</v>
      </c>
      <c r="Q20" s="6" t="s">
        <v>729</v>
      </c>
      <c r="R20" s="6" t="s">
        <v>729</v>
      </c>
      <c r="S20" s="6" t="s">
        <v>729</v>
      </c>
      <c r="T20" s="6" t="s">
        <v>729</v>
      </c>
      <c r="U20" s="6" t="s">
        <v>729</v>
      </c>
      <c r="V20" s="8" t="s">
        <v>729</v>
      </c>
    </row>
    <row r="21" ht="18" customHeight="1" spans="1:22">
      <c r="A21" s="19"/>
      <c r="B21" s="21" t="s">
        <v>700</v>
      </c>
      <c r="C21" s="21"/>
      <c r="D21" s="21"/>
      <c r="E21" s="22" t="s">
        <v>729</v>
      </c>
      <c r="F21" s="22" t="s">
        <v>729</v>
      </c>
      <c r="G21" s="22" t="s">
        <v>729</v>
      </c>
      <c r="H21" s="22" t="s">
        <v>729</v>
      </c>
      <c r="I21" s="22" t="s">
        <v>729</v>
      </c>
      <c r="J21" s="22" t="s">
        <v>729</v>
      </c>
      <c r="K21" s="22" t="s">
        <v>729</v>
      </c>
      <c r="L21" s="22" t="s">
        <v>729</v>
      </c>
      <c r="M21" s="22" t="s">
        <v>729</v>
      </c>
      <c r="N21" s="22" t="s">
        <v>729</v>
      </c>
      <c r="O21" s="22" t="s">
        <v>729</v>
      </c>
      <c r="P21" s="22" t="s">
        <v>729</v>
      </c>
      <c r="Q21" s="22" t="s">
        <v>729</v>
      </c>
      <c r="R21" s="22" t="s">
        <v>729</v>
      </c>
      <c r="S21" s="22" t="s">
        <v>729</v>
      </c>
      <c r="T21" s="22" t="s">
        <v>729</v>
      </c>
      <c r="U21" s="22" t="s">
        <v>729</v>
      </c>
      <c r="V21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8:D18"/>
    <mergeCell ref="B19:D19"/>
    <mergeCell ref="B20:D20"/>
    <mergeCell ref="B21:D21"/>
    <mergeCell ref="A7:A13"/>
    <mergeCell ref="A14:A17"/>
    <mergeCell ref="A18:A21"/>
  </mergeCells>
  <dataValidations count="3">
    <dataValidation type="list" allowBlank="1" sqref="F8:V8 F10:V13 F15:V17">
      <formula1>"O,-"</formula1>
    </dataValidation>
    <dataValidation type="list" allowBlank="1" sqref="F18:V18">
      <formula1>"N,A,B"</formula1>
    </dataValidation>
    <dataValidation type="list" allowBlank="1" sqref="F19:V19">
      <formula1>"P,F"</formula1>
    </dataValidation>
  </dataValidations>
  <pageMargins left="0.7" right="0.7" top="0.75" bottom="0.75" header="0.3" footer="0.3"/>
  <pageSetup paperSize="1" orientation="portrait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8"/>
  <sheetViews>
    <sheetView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135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151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883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3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3</v>
      </c>
      <c r="M5" s="11">
        <v>0</v>
      </c>
      <c r="N5" s="11">
        <v>0</v>
      </c>
      <c r="O5" s="12">
        <v>3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687</v>
      </c>
      <c r="H6" s="14" t="s">
        <v>688</v>
      </c>
      <c r="I6" s="14" t="s">
        <v>729</v>
      </c>
      <c r="J6" s="14" t="s">
        <v>729</v>
      </c>
      <c r="K6" s="14" t="s">
        <v>729</v>
      </c>
      <c r="L6" s="14" t="s">
        <v>729</v>
      </c>
      <c r="M6" s="14" t="s">
        <v>729</v>
      </c>
      <c r="N6" s="14" t="s">
        <v>729</v>
      </c>
      <c r="O6" s="14" t="s">
        <v>729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15.5" customHeight="1" spans="1:22">
      <c r="A7" s="16" t="s">
        <v>690</v>
      </c>
      <c r="B7" s="17" t="s">
        <v>884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40.5" customHeight="1" spans="1:22">
      <c r="A8" s="16"/>
      <c r="B8" s="6" t="s">
        <v>729</v>
      </c>
      <c r="C8" s="6" t="s">
        <v>729</v>
      </c>
      <c r="D8" s="18" t="s">
        <v>885</v>
      </c>
      <c r="E8" s="6" t="s">
        <v>729</v>
      </c>
      <c r="F8" s="11" t="s">
        <v>752</v>
      </c>
      <c r="G8" s="11" t="s">
        <v>756</v>
      </c>
      <c r="H8" s="11" t="s">
        <v>756</v>
      </c>
      <c r="I8" s="11" t="s">
        <v>729</v>
      </c>
      <c r="J8" s="11" t="s">
        <v>729</v>
      </c>
      <c r="K8" s="11" t="s">
        <v>729</v>
      </c>
      <c r="L8" s="11" t="s">
        <v>729</v>
      </c>
      <c r="M8" s="11" t="s">
        <v>729</v>
      </c>
      <c r="N8" s="11" t="s">
        <v>729</v>
      </c>
      <c r="O8" s="11" t="s">
        <v>729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53" customHeight="1" spans="1:22">
      <c r="A9" s="16"/>
      <c r="B9" s="6" t="s">
        <v>729</v>
      </c>
      <c r="C9" s="6" t="s">
        <v>729</v>
      </c>
      <c r="D9" s="18" t="s">
        <v>886</v>
      </c>
      <c r="E9" s="6" t="s">
        <v>729</v>
      </c>
      <c r="F9" s="11" t="s">
        <v>756</v>
      </c>
      <c r="G9" s="11" t="s">
        <v>752</v>
      </c>
      <c r="H9" s="11" t="s">
        <v>756</v>
      </c>
      <c r="I9" s="11" t="s">
        <v>729</v>
      </c>
      <c r="J9" s="11" t="s">
        <v>729</v>
      </c>
      <c r="K9" s="11" t="s">
        <v>729</v>
      </c>
      <c r="L9" s="11" t="s">
        <v>729</v>
      </c>
      <c r="M9" s="11" t="s">
        <v>729</v>
      </c>
      <c r="N9" s="11" t="s">
        <v>729</v>
      </c>
      <c r="O9" s="11" t="s">
        <v>729</v>
      </c>
      <c r="P9" s="11" t="s">
        <v>729</v>
      </c>
      <c r="Q9" s="11" t="s">
        <v>729</v>
      </c>
      <c r="R9" s="11" t="s">
        <v>729</v>
      </c>
      <c r="S9" s="11" t="s">
        <v>729</v>
      </c>
      <c r="T9" s="11" t="s">
        <v>729</v>
      </c>
      <c r="U9" s="11" t="s">
        <v>729</v>
      </c>
      <c r="V9" s="12" t="s">
        <v>729</v>
      </c>
    </row>
    <row r="10" ht="53" customHeight="1" spans="1:22">
      <c r="A10" s="16"/>
      <c r="B10" s="6" t="s">
        <v>729</v>
      </c>
      <c r="C10" s="6" t="s">
        <v>729</v>
      </c>
      <c r="D10" s="18" t="s">
        <v>887</v>
      </c>
      <c r="E10" s="6" t="s">
        <v>729</v>
      </c>
      <c r="F10" s="11" t="s">
        <v>756</v>
      </c>
      <c r="G10" s="11" t="s">
        <v>756</v>
      </c>
      <c r="H10" s="11" t="s">
        <v>752</v>
      </c>
      <c r="I10" s="11" t="s">
        <v>729</v>
      </c>
      <c r="J10" s="11" t="s">
        <v>729</v>
      </c>
      <c r="K10" s="11" t="s">
        <v>729</v>
      </c>
      <c r="L10" s="11" t="s">
        <v>729</v>
      </c>
      <c r="M10" s="11" t="s">
        <v>729</v>
      </c>
      <c r="N10" s="11" t="s">
        <v>729</v>
      </c>
      <c r="O10" s="11" t="s">
        <v>729</v>
      </c>
      <c r="P10" s="11" t="s">
        <v>729</v>
      </c>
      <c r="Q10" s="11" t="s">
        <v>729</v>
      </c>
      <c r="R10" s="11" t="s">
        <v>729</v>
      </c>
      <c r="S10" s="11" t="s">
        <v>729</v>
      </c>
      <c r="T10" s="11" t="s">
        <v>729</v>
      </c>
      <c r="U10" s="11" t="s">
        <v>729</v>
      </c>
      <c r="V10" s="12" t="s">
        <v>729</v>
      </c>
    </row>
    <row r="11" ht="15.5" customHeight="1" spans="1:22">
      <c r="A11" s="16" t="s">
        <v>692</v>
      </c>
      <c r="B11" s="17" t="s">
        <v>693</v>
      </c>
      <c r="C11" s="6" t="s">
        <v>729</v>
      </c>
      <c r="D11" s="6" t="s">
        <v>729</v>
      </c>
      <c r="E11" s="6" t="s">
        <v>729</v>
      </c>
      <c r="F11" s="6" t="s">
        <v>729</v>
      </c>
      <c r="G11" s="6" t="s">
        <v>729</v>
      </c>
      <c r="H11" s="6" t="s">
        <v>729</v>
      </c>
      <c r="I11" s="6" t="s">
        <v>729</v>
      </c>
      <c r="J11" s="6" t="s">
        <v>729</v>
      </c>
      <c r="K11" s="6" t="s">
        <v>729</v>
      </c>
      <c r="L11" s="6" t="s">
        <v>729</v>
      </c>
      <c r="M11" s="6" t="s">
        <v>729</v>
      </c>
      <c r="N11" s="6" t="s">
        <v>729</v>
      </c>
      <c r="O11" s="6" t="s">
        <v>729</v>
      </c>
      <c r="P11" s="6" t="s">
        <v>729</v>
      </c>
      <c r="Q11" s="6" t="s">
        <v>729</v>
      </c>
      <c r="R11" s="6" t="s">
        <v>729</v>
      </c>
      <c r="S11" s="6" t="s">
        <v>729</v>
      </c>
      <c r="T11" s="6" t="s">
        <v>729</v>
      </c>
      <c r="U11" s="6" t="s">
        <v>729</v>
      </c>
      <c r="V11" s="8" t="s">
        <v>729</v>
      </c>
    </row>
    <row r="12" ht="28" customHeight="1" spans="1:22">
      <c r="A12" s="16"/>
      <c r="B12" s="6" t="s">
        <v>729</v>
      </c>
      <c r="C12" s="6" t="s">
        <v>729</v>
      </c>
      <c r="D12" s="18" t="s">
        <v>888</v>
      </c>
      <c r="E12" s="6" t="s">
        <v>729</v>
      </c>
      <c r="F12" s="11" t="s">
        <v>752</v>
      </c>
      <c r="G12" s="11" t="s">
        <v>756</v>
      </c>
      <c r="H12" s="11" t="s">
        <v>756</v>
      </c>
      <c r="I12" s="11" t="s">
        <v>729</v>
      </c>
      <c r="J12" s="11" t="s">
        <v>729</v>
      </c>
      <c r="K12" s="11" t="s">
        <v>729</v>
      </c>
      <c r="L12" s="11" t="s">
        <v>729</v>
      </c>
      <c r="M12" s="11" t="s">
        <v>729</v>
      </c>
      <c r="N12" s="11" t="s">
        <v>729</v>
      </c>
      <c r="O12" s="11" t="s">
        <v>729</v>
      </c>
      <c r="P12" s="11" t="s">
        <v>729</v>
      </c>
      <c r="Q12" s="11" t="s">
        <v>729</v>
      </c>
      <c r="R12" s="11" t="s">
        <v>729</v>
      </c>
      <c r="S12" s="11" t="s">
        <v>729</v>
      </c>
      <c r="T12" s="11" t="s">
        <v>729</v>
      </c>
      <c r="U12" s="11" t="s">
        <v>729</v>
      </c>
      <c r="V12" s="12" t="s">
        <v>729</v>
      </c>
    </row>
    <row r="13" ht="53" customHeight="1" spans="1:22">
      <c r="A13" s="16"/>
      <c r="B13" s="6" t="s">
        <v>729</v>
      </c>
      <c r="C13" s="6" t="s">
        <v>729</v>
      </c>
      <c r="D13" s="18" t="s">
        <v>889</v>
      </c>
      <c r="E13" s="6" t="s">
        <v>729</v>
      </c>
      <c r="F13" s="11" t="s">
        <v>756</v>
      </c>
      <c r="G13" s="11" t="s">
        <v>752</v>
      </c>
      <c r="H13" s="11" t="s">
        <v>752</v>
      </c>
      <c r="I13" s="11" t="s">
        <v>729</v>
      </c>
      <c r="J13" s="11" t="s">
        <v>729</v>
      </c>
      <c r="K13" s="11" t="s">
        <v>729</v>
      </c>
      <c r="L13" s="11" t="s">
        <v>729</v>
      </c>
      <c r="M13" s="11" t="s">
        <v>729</v>
      </c>
      <c r="N13" s="11" t="s">
        <v>729</v>
      </c>
      <c r="O13" s="11" t="s">
        <v>729</v>
      </c>
      <c r="P13" s="11" t="s">
        <v>729</v>
      </c>
      <c r="Q13" s="11" t="s">
        <v>729</v>
      </c>
      <c r="R13" s="11" t="s">
        <v>729</v>
      </c>
      <c r="S13" s="11" t="s">
        <v>729</v>
      </c>
      <c r="T13" s="11" t="s">
        <v>729</v>
      </c>
      <c r="U13" s="11" t="s">
        <v>729</v>
      </c>
      <c r="V13" s="12" t="s">
        <v>729</v>
      </c>
    </row>
    <row r="14" ht="65.5" customHeight="1" spans="1:22">
      <c r="A14" s="16"/>
      <c r="B14" s="6" t="s">
        <v>729</v>
      </c>
      <c r="C14" s="6" t="s">
        <v>729</v>
      </c>
      <c r="D14" s="18" t="s">
        <v>890</v>
      </c>
      <c r="E14" s="6" t="s">
        <v>729</v>
      </c>
      <c r="F14" s="11" t="s">
        <v>756</v>
      </c>
      <c r="G14" s="11" t="s">
        <v>752</v>
      </c>
      <c r="H14" s="11" t="s">
        <v>752</v>
      </c>
      <c r="I14" s="11" t="s">
        <v>729</v>
      </c>
      <c r="J14" s="11" t="s">
        <v>729</v>
      </c>
      <c r="K14" s="11" t="s">
        <v>729</v>
      </c>
      <c r="L14" s="11" t="s">
        <v>729</v>
      </c>
      <c r="M14" s="11" t="s">
        <v>729</v>
      </c>
      <c r="N14" s="11" t="s">
        <v>729</v>
      </c>
      <c r="O14" s="11" t="s">
        <v>729</v>
      </c>
      <c r="P14" s="11" t="s">
        <v>729</v>
      </c>
      <c r="Q14" s="11" t="s">
        <v>729</v>
      </c>
      <c r="R14" s="11" t="s">
        <v>729</v>
      </c>
      <c r="S14" s="11" t="s">
        <v>729</v>
      </c>
      <c r="T14" s="11" t="s">
        <v>729</v>
      </c>
      <c r="U14" s="11" t="s">
        <v>729</v>
      </c>
      <c r="V14" s="12" t="s">
        <v>729</v>
      </c>
    </row>
    <row r="15" ht="18" customHeight="1" spans="1:22">
      <c r="A15" s="19" t="s">
        <v>696</v>
      </c>
      <c r="B15" s="20" t="s">
        <v>765</v>
      </c>
      <c r="C15" s="20"/>
      <c r="D15" s="20"/>
      <c r="E15" s="6" t="s">
        <v>729</v>
      </c>
      <c r="F15" s="11" t="s">
        <v>670</v>
      </c>
      <c r="G15" s="11" t="s">
        <v>670</v>
      </c>
      <c r="H15" s="11" t="s">
        <v>670</v>
      </c>
      <c r="I15" s="11" t="s">
        <v>729</v>
      </c>
      <c r="J15" s="11" t="s">
        <v>729</v>
      </c>
      <c r="K15" s="11" t="s">
        <v>729</v>
      </c>
      <c r="L15" s="11" t="s">
        <v>729</v>
      </c>
      <c r="M15" s="11" t="s">
        <v>729</v>
      </c>
      <c r="N15" s="11" t="s">
        <v>729</v>
      </c>
      <c r="O15" s="11" t="s">
        <v>729</v>
      </c>
      <c r="P15" s="11" t="s">
        <v>729</v>
      </c>
      <c r="Q15" s="11" t="s">
        <v>729</v>
      </c>
      <c r="R15" s="11" t="s">
        <v>729</v>
      </c>
      <c r="S15" s="11" t="s">
        <v>729</v>
      </c>
      <c r="T15" s="11" t="s">
        <v>729</v>
      </c>
      <c r="U15" s="11" t="s">
        <v>729</v>
      </c>
      <c r="V15" s="12" t="s">
        <v>729</v>
      </c>
    </row>
    <row r="16" ht="18" customHeight="1" spans="1:22">
      <c r="A16" s="19"/>
      <c r="B16" s="20" t="s">
        <v>698</v>
      </c>
      <c r="C16" s="20"/>
      <c r="D16" s="20"/>
      <c r="E16" s="6" t="s">
        <v>729</v>
      </c>
      <c r="F16" s="11" t="s">
        <v>766</v>
      </c>
      <c r="G16" s="11" t="s">
        <v>766</v>
      </c>
      <c r="H16" s="11" t="s">
        <v>766</v>
      </c>
      <c r="I16" s="11" t="s">
        <v>729</v>
      </c>
      <c r="J16" s="11" t="s">
        <v>729</v>
      </c>
      <c r="K16" s="11" t="s">
        <v>729</v>
      </c>
      <c r="L16" s="11" t="s">
        <v>729</v>
      </c>
      <c r="M16" s="11" t="s">
        <v>729</v>
      </c>
      <c r="N16" s="11" t="s">
        <v>729</v>
      </c>
      <c r="O16" s="11" t="s">
        <v>729</v>
      </c>
      <c r="P16" s="11" t="s">
        <v>729</v>
      </c>
      <c r="Q16" s="11" t="s">
        <v>729</v>
      </c>
      <c r="R16" s="11" t="s">
        <v>729</v>
      </c>
      <c r="S16" s="11" t="s">
        <v>729</v>
      </c>
      <c r="T16" s="11" t="s">
        <v>729</v>
      </c>
      <c r="U16" s="11" t="s">
        <v>729</v>
      </c>
      <c r="V16" s="12" t="s">
        <v>729</v>
      </c>
    </row>
    <row r="17" ht="18" customHeight="1" spans="1:22">
      <c r="A17" s="19"/>
      <c r="B17" s="20" t="s">
        <v>699</v>
      </c>
      <c r="C17" s="20"/>
      <c r="D17" s="20"/>
      <c r="E17" s="6" t="s">
        <v>729</v>
      </c>
      <c r="F17" s="6" t="s">
        <v>729</v>
      </c>
      <c r="G17" s="6" t="s">
        <v>729</v>
      </c>
      <c r="H17" s="6" t="s">
        <v>729</v>
      </c>
      <c r="I17" s="6" t="s">
        <v>729</v>
      </c>
      <c r="J17" s="6" t="s">
        <v>729</v>
      </c>
      <c r="K17" s="6" t="s">
        <v>729</v>
      </c>
      <c r="L17" s="6" t="s">
        <v>729</v>
      </c>
      <c r="M17" s="6" t="s">
        <v>729</v>
      </c>
      <c r="N17" s="6" t="s">
        <v>729</v>
      </c>
      <c r="O17" s="6" t="s">
        <v>729</v>
      </c>
      <c r="P17" s="6" t="s">
        <v>729</v>
      </c>
      <c r="Q17" s="6" t="s">
        <v>729</v>
      </c>
      <c r="R17" s="6" t="s">
        <v>729</v>
      </c>
      <c r="S17" s="6" t="s">
        <v>729</v>
      </c>
      <c r="T17" s="6" t="s">
        <v>729</v>
      </c>
      <c r="U17" s="6" t="s">
        <v>729</v>
      </c>
      <c r="V17" s="8" t="s">
        <v>729</v>
      </c>
    </row>
    <row r="18" ht="18" customHeight="1" spans="1:22">
      <c r="A18" s="19"/>
      <c r="B18" s="21" t="s">
        <v>700</v>
      </c>
      <c r="C18" s="21"/>
      <c r="D18" s="21"/>
      <c r="E18" s="22" t="s">
        <v>729</v>
      </c>
      <c r="F18" s="22" t="s">
        <v>729</v>
      </c>
      <c r="G18" s="22" t="s">
        <v>729</v>
      </c>
      <c r="H18" s="22" t="s">
        <v>729</v>
      </c>
      <c r="I18" s="22" t="s">
        <v>729</v>
      </c>
      <c r="J18" s="22" t="s">
        <v>729</v>
      </c>
      <c r="K18" s="22" t="s">
        <v>729</v>
      </c>
      <c r="L18" s="22" t="s">
        <v>729</v>
      </c>
      <c r="M18" s="22" t="s">
        <v>729</v>
      </c>
      <c r="N18" s="22" t="s">
        <v>729</v>
      </c>
      <c r="O18" s="22" t="s">
        <v>729</v>
      </c>
      <c r="P18" s="22" t="s">
        <v>729</v>
      </c>
      <c r="Q18" s="22" t="s">
        <v>729</v>
      </c>
      <c r="R18" s="22" t="s">
        <v>729</v>
      </c>
      <c r="S18" s="22" t="s">
        <v>729</v>
      </c>
      <c r="T18" s="22" t="s">
        <v>729</v>
      </c>
      <c r="U18" s="22" t="s">
        <v>729</v>
      </c>
      <c r="V18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5:D15"/>
    <mergeCell ref="B16:D16"/>
    <mergeCell ref="B17:D17"/>
    <mergeCell ref="B18:D18"/>
    <mergeCell ref="A7:A10"/>
    <mergeCell ref="A11:A14"/>
    <mergeCell ref="A15:A18"/>
  </mergeCells>
  <dataValidations count="3">
    <dataValidation type="list" allowBlank="1" sqref="F10:V10 F12:V14 F8:V9">
      <formula1>"O,-"</formula1>
    </dataValidation>
    <dataValidation type="list" allowBlank="1" sqref="F15:V15">
      <formula1>"N,A,B"</formula1>
    </dataValidation>
    <dataValidation type="list" allowBlank="1" sqref="F16:V16">
      <formula1>"P,F"</formula1>
    </dataValidation>
  </dataValidations>
  <pageMargins left="0.7" right="0.7" top="0.75" bottom="0.75" header="0.3" footer="0.3"/>
  <pageSetup paperSize="1" orientation="portrait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2"/>
  <sheetViews>
    <sheetView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135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156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891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3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3</v>
      </c>
      <c r="M5" s="11">
        <v>0</v>
      </c>
      <c r="N5" s="11">
        <v>0</v>
      </c>
      <c r="O5" s="12">
        <v>3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687</v>
      </c>
      <c r="H6" s="14" t="s">
        <v>688</v>
      </c>
      <c r="I6" s="14" t="s">
        <v>729</v>
      </c>
      <c r="J6" s="14" t="s">
        <v>729</v>
      </c>
      <c r="K6" s="14" t="s">
        <v>729</v>
      </c>
      <c r="L6" s="14" t="s">
        <v>729</v>
      </c>
      <c r="M6" s="14" t="s">
        <v>729</v>
      </c>
      <c r="N6" s="14" t="s">
        <v>729</v>
      </c>
      <c r="O6" s="14" t="s">
        <v>729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15.5" customHeight="1" spans="1:22">
      <c r="A7" s="16" t="s">
        <v>690</v>
      </c>
      <c r="B7" s="17" t="s">
        <v>750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40.5" customHeight="1" spans="1:22">
      <c r="A8" s="16"/>
      <c r="B8" s="6" t="s">
        <v>729</v>
      </c>
      <c r="C8" s="6" t="s">
        <v>729</v>
      </c>
      <c r="D8" s="18" t="s">
        <v>160</v>
      </c>
      <c r="E8" s="6" t="s">
        <v>729</v>
      </c>
      <c r="F8" s="11" t="s">
        <v>752</v>
      </c>
      <c r="G8" s="11" t="s">
        <v>752</v>
      </c>
      <c r="H8" s="11" t="s">
        <v>752</v>
      </c>
      <c r="I8" s="11" t="s">
        <v>729</v>
      </c>
      <c r="J8" s="11" t="s">
        <v>729</v>
      </c>
      <c r="K8" s="11" t="s">
        <v>729</v>
      </c>
      <c r="L8" s="11" t="s">
        <v>729</v>
      </c>
      <c r="M8" s="11" t="s">
        <v>729</v>
      </c>
      <c r="N8" s="11" t="s">
        <v>729</v>
      </c>
      <c r="O8" s="11" t="s">
        <v>729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15.5" customHeight="1" spans="1:22">
      <c r="A9" s="16"/>
      <c r="B9" s="17" t="s">
        <v>892</v>
      </c>
      <c r="C9" s="6" t="s">
        <v>729</v>
      </c>
      <c r="D9" s="6" t="s">
        <v>729</v>
      </c>
      <c r="E9" s="6" t="s">
        <v>729</v>
      </c>
      <c r="F9" s="6" t="s">
        <v>729</v>
      </c>
      <c r="G9" s="6" t="s">
        <v>729</v>
      </c>
      <c r="H9" s="6" t="s">
        <v>729</v>
      </c>
      <c r="I9" s="6" t="s">
        <v>729</v>
      </c>
      <c r="J9" s="6" t="s">
        <v>729</v>
      </c>
      <c r="K9" s="6" t="s">
        <v>729</v>
      </c>
      <c r="L9" s="6" t="s">
        <v>729</v>
      </c>
      <c r="M9" s="6" t="s">
        <v>729</v>
      </c>
      <c r="N9" s="6" t="s">
        <v>729</v>
      </c>
      <c r="O9" s="6" t="s">
        <v>729</v>
      </c>
      <c r="P9" s="6" t="s">
        <v>729</v>
      </c>
      <c r="Q9" s="6" t="s">
        <v>729</v>
      </c>
      <c r="R9" s="6" t="s">
        <v>729</v>
      </c>
      <c r="S9" s="6" t="s">
        <v>729</v>
      </c>
      <c r="T9" s="6" t="s">
        <v>729</v>
      </c>
      <c r="U9" s="6" t="s">
        <v>729</v>
      </c>
      <c r="V9" s="8" t="s">
        <v>729</v>
      </c>
    </row>
    <row r="10" ht="28" customHeight="1" spans="1:22">
      <c r="A10" s="16"/>
      <c r="B10" s="6" t="s">
        <v>729</v>
      </c>
      <c r="C10" s="6" t="s">
        <v>729</v>
      </c>
      <c r="D10" s="18" t="s">
        <v>893</v>
      </c>
      <c r="E10" s="6" t="s">
        <v>729</v>
      </c>
      <c r="F10" s="11" t="s">
        <v>752</v>
      </c>
      <c r="G10" s="11" t="s">
        <v>756</v>
      </c>
      <c r="H10" s="11" t="s">
        <v>756</v>
      </c>
      <c r="I10" s="11" t="s">
        <v>729</v>
      </c>
      <c r="J10" s="11" t="s">
        <v>729</v>
      </c>
      <c r="K10" s="11" t="s">
        <v>729</v>
      </c>
      <c r="L10" s="11" t="s">
        <v>729</v>
      </c>
      <c r="M10" s="11" t="s">
        <v>729</v>
      </c>
      <c r="N10" s="11" t="s">
        <v>729</v>
      </c>
      <c r="O10" s="11" t="s">
        <v>729</v>
      </c>
      <c r="P10" s="11" t="s">
        <v>729</v>
      </c>
      <c r="Q10" s="11" t="s">
        <v>729</v>
      </c>
      <c r="R10" s="11" t="s">
        <v>729</v>
      </c>
      <c r="S10" s="11" t="s">
        <v>729</v>
      </c>
      <c r="T10" s="11" t="s">
        <v>729</v>
      </c>
      <c r="U10" s="11" t="s">
        <v>729</v>
      </c>
      <c r="V10" s="12" t="s">
        <v>729</v>
      </c>
    </row>
    <row r="11" ht="40.5" customHeight="1" spans="1:22">
      <c r="A11" s="16"/>
      <c r="B11" s="6" t="s">
        <v>729</v>
      </c>
      <c r="C11" s="6" t="s">
        <v>729</v>
      </c>
      <c r="D11" s="18" t="s">
        <v>894</v>
      </c>
      <c r="E11" s="6" t="s">
        <v>729</v>
      </c>
      <c r="F11" s="11" t="s">
        <v>756</v>
      </c>
      <c r="G11" s="11" t="s">
        <v>752</v>
      </c>
      <c r="H11" s="11" t="s">
        <v>756</v>
      </c>
      <c r="I11" s="11" t="s">
        <v>729</v>
      </c>
      <c r="J11" s="11" t="s">
        <v>729</v>
      </c>
      <c r="K11" s="11" t="s">
        <v>729</v>
      </c>
      <c r="L11" s="11" t="s">
        <v>729</v>
      </c>
      <c r="M11" s="11" t="s">
        <v>729</v>
      </c>
      <c r="N11" s="11" t="s">
        <v>729</v>
      </c>
      <c r="O11" s="11" t="s">
        <v>729</v>
      </c>
      <c r="P11" s="11" t="s">
        <v>729</v>
      </c>
      <c r="Q11" s="11" t="s">
        <v>729</v>
      </c>
      <c r="R11" s="11" t="s">
        <v>729</v>
      </c>
      <c r="S11" s="11" t="s">
        <v>729</v>
      </c>
      <c r="T11" s="11" t="s">
        <v>729</v>
      </c>
      <c r="U11" s="11" t="s">
        <v>729</v>
      </c>
      <c r="V11" s="12" t="s">
        <v>729</v>
      </c>
    </row>
    <row r="12" ht="53" customHeight="1" spans="1:22">
      <c r="A12" s="16"/>
      <c r="B12" s="6" t="s">
        <v>729</v>
      </c>
      <c r="C12" s="6" t="s">
        <v>729</v>
      </c>
      <c r="D12" s="18" t="s">
        <v>895</v>
      </c>
      <c r="E12" s="6" t="s">
        <v>729</v>
      </c>
      <c r="F12" s="11" t="s">
        <v>756</v>
      </c>
      <c r="G12" s="11" t="s">
        <v>756</v>
      </c>
      <c r="H12" s="11" t="s">
        <v>752</v>
      </c>
      <c r="I12" s="11" t="s">
        <v>729</v>
      </c>
      <c r="J12" s="11" t="s">
        <v>729</v>
      </c>
      <c r="K12" s="11" t="s">
        <v>729</v>
      </c>
      <c r="L12" s="11" t="s">
        <v>729</v>
      </c>
      <c r="M12" s="11" t="s">
        <v>729</v>
      </c>
      <c r="N12" s="11" t="s">
        <v>729</v>
      </c>
      <c r="O12" s="11" t="s">
        <v>729</v>
      </c>
      <c r="P12" s="11" t="s">
        <v>729</v>
      </c>
      <c r="Q12" s="11" t="s">
        <v>729</v>
      </c>
      <c r="R12" s="11" t="s">
        <v>729</v>
      </c>
      <c r="S12" s="11" t="s">
        <v>729</v>
      </c>
      <c r="T12" s="11" t="s">
        <v>729</v>
      </c>
      <c r="U12" s="11" t="s">
        <v>729</v>
      </c>
      <c r="V12" s="12" t="s">
        <v>729</v>
      </c>
    </row>
    <row r="13" ht="15.5" customHeight="1" spans="1:22">
      <c r="A13" s="16" t="s">
        <v>692</v>
      </c>
      <c r="B13" s="17" t="s">
        <v>693</v>
      </c>
      <c r="C13" s="6" t="s">
        <v>729</v>
      </c>
      <c r="D13" s="6" t="s">
        <v>729</v>
      </c>
      <c r="E13" s="6" t="s">
        <v>729</v>
      </c>
      <c r="F13" s="6" t="s">
        <v>729</v>
      </c>
      <c r="G13" s="6" t="s">
        <v>729</v>
      </c>
      <c r="H13" s="6" t="s">
        <v>729</v>
      </c>
      <c r="I13" s="6" t="s">
        <v>729</v>
      </c>
      <c r="J13" s="6" t="s">
        <v>729</v>
      </c>
      <c r="K13" s="6" t="s">
        <v>729</v>
      </c>
      <c r="L13" s="6" t="s">
        <v>729</v>
      </c>
      <c r="M13" s="6" t="s">
        <v>729</v>
      </c>
      <c r="N13" s="6" t="s">
        <v>729</v>
      </c>
      <c r="O13" s="6" t="s">
        <v>729</v>
      </c>
      <c r="P13" s="6" t="s">
        <v>729</v>
      </c>
      <c r="Q13" s="6" t="s">
        <v>729</v>
      </c>
      <c r="R13" s="6" t="s">
        <v>729</v>
      </c>
      <c r="S13" s="6" t="s">
        <v>729</v>
      </c>
      <c r="T13" s="6" t="s">
        <v>729</v>
      </c>
      <c r="U13" s="6" t="s">
        <v>729</v>
      </c>
      <c r="V13" s="8" t="s">
        <v>729</v>
      </c>
    </row>
    <row r="14" ht="78" customHeight="1" spans="1:22">
      <c r="A14" s="16"/>
      <c r="B14" s="6" t="s">
        <v>729</v>
      </c>
      <c r="C14" s="6" t="s">
        <v>729</v>
      </c>
      <c r="D14" s="18" t="s">
        <v>896</v>
      </c>
      <c r="E14" s="6" t="s">
        <v>729</v>
      </c>
      <c r="F14" s="11" t="s">
        <v>752</v>
      </c>
      <c r="G14" s="11" t="s">
        <v>752</v>
      </c>
      <c r="H14" s="11" t="s">
        <v>752</v>
      </c>
      <c r="I14" s="11" t="s">
        <v>729</v>
      </c>
      <c r="J14" s="11" t="s">
        <v>729</v>
      </c>
      <c r="K14" s="11" t="s">
        <v>729</v>
      </c>
      <c r="L14" s="11" t="s">
        <v>729</v>
      </c>
      <c r="M14" s="11" t="s">
        <v>729</v>
      </c>
      <c r="N14" s="11" t="s">
        <v>729</v>
      </c>
      <c r="O14" s="11" t="s">
        <v>729</v>
      </c>
      <c r="P14" s="11" t="s">
        <v>729</v>
      </c>
      <c r="Q14" s="11" t="s">
        <v>729</v>
      </c>
      <c r="R14" s="11" t="s">
        <v>729</v>
      </c>
      <c r="S14" s="11" t="s">
        <v>729</v>
      </c>
      <c r="T14" s="11" t="s">
        <v>729</v>
      </c>
      <c r="U14" s="11" t="s">
        <v>729</v>
      </c>
      <c r="V14" s="12" t="s">
        <v>729</v>
      </c>
    </row>
    <row r="15" ht="65.5" customHeight="1" spans="1:22">
      <c r="A15" s="16"/>
      <c r="B15" s="6" t="s">
        <v>729</v>
      </c>
      <c r="C15" s="6" t="s">
        <v>729</v>
      </c>
      <c r="D15" s="18" t="s">
        <v>897</v>
      </c>
      <c r="E15" s="6" t="s">
        <v>729</v>
      </c>
      <c r="F15" s="11" t="s">
        <v>752</v>
      </c>
      <c r="G15" s="11" t="s">
        <v>752</v>
      </c>
      <c r="H15" s="11" t="s">
        <v>752</v>
      </c>
      <c r="I15" s="11" t="s">
        <v>729</v>
      </c>
      <c r="J15" s="11" t="s">
        <v>729</v>
      </c>
      <c r="K15" s="11" t="s">
        <v>729</v>
      </c>
      <c r="L15" s="11" t="s">
        <v>729</v>
      </c>
      <c r="M15" s="11" t="s">
        <v>729</v>
      </c>
      <c r="N15" s="11" t="s">
        <v>729</v>
      </c>
      <c r="O15" s="11" t="s">
        <v>729</v>
      </c>
      <c r="P15" s="11" t="s">
        <v>729</v>
      </c>
      <c r="Q15" s="11" t="s">
        <v>729</v>
      </c>
      <c r="R15" s="11" t="s">
        <v>729</v>
      </c>
      <c r="S15" s="11" t="s">
        <v>729</v>
      </c>
      <c r="T15" s="11" t="s">
        <v>729</v>
      </c>
      <c r="U15" s="11" t="s">
        <v>729</v>
      </c>
      <c r="V15" s="12" t="s">
        <v>729</v>
      </c>
    </row>
    <row r="16" ht="53" customHeight="1" spans="1:22">
      <c r="A16" s="16"/>
      <c r="B16" s="6" t="s">
        <v>729</v>
      </c>
      <c r="C16" s="6" t="s">
        <v>729</v>
      </c>
      <c r="D16" s="18" t="s">
        <v>898</v>
      </c>
      <c r="E16" s="6" t="s">
        <v>729</v>
      </c>
      <c r="F16" s="11" t="s">
        <v>752</v>
      </c>
      <c r="G16" s="11" t="s">
        <v>752</v>
      </c>
      <c r="H16" s="11" t="s">
        <v>752</v>
      </c>
      <c r="I16" s="11" t="s">
        <v>729</v>
      </c>
      <c r="J16" s="11" t="s">
        <v>729</v>
      </c>
      <c r="K16" s="11" t="s">
        <v>729</v>
      </c>
      <c r="L16" s="11" t="s">
        <v>729</v>
      </c>
      <c r="M16" s="11" t="s">
        <v>729</v>
      </c>
      <c r="N16" s="11" t="s">
        <v>729</v>
      </c>
      <c r="O16" s="11" t="s">
        <v>729</v>
      </c>
      <c r="P16" s="11" t="s">
        <v>729</v>
      </c>
      <c r="Q16" s="11" t="s">
        <v>729</v>
      </c>
      <c r="R16" s="11" t="s">
        <v>729</v>
      </c>
      <c r="S16" s="11" t="s">
        <v>729</v>
      </c>
      <c r="T16" s="11" t="s">
        <v>729</v>
      </c>
      <c r="U16" s="11" t="s">
        <v>729</v>
      </c>
      <c r="V16" s="12" t="s">
        <v>729</v>
      </c>
    </row>
    <row r="17" ht="15.5" customHeight="1" spans="1:22">
      <c r="A17" s="16"/>
      <c r="B17" s="17" t="s">
        <v>695</v>
      </c>
      <c r="C17" s="6" t="s">
        <v>729</v>
      </c>
      <c r="D17" s="6" t="s">
        <v>729</v>
      </c>
      <c r="E17" s="6" t="s">
        <v>729</v>
      </c>
      <c r="F17" s="6" t="s">
        <v>729</v>
      </c>
      <c r="G17" s="6" t="s">
        <v>729</v>
      </c>
      <c r="H17" s="6" t="s">
        <v>729</v>
      </c>
      <c r="I17" s="6" t="s">
        <v>729</v>
      </c>
      <c r="J17" s="6" t="s">
        <v>729</v>
      </c>
      <c r="K17" s="6" t="s">
        <v>729</v>
      </c>
      <c r="L17" s="6" t="s">
        <v>729</v>
      </c>
      <c r="M17" s="6" t="s">
        <v>729</v>
      </c>
      <c r="N17" s="6" t="s">
        <v>729</v>
      </c>
      <c r="O17" s="6" t="s">
        <v>729</v>
      </c>
      <c r="P17" s="6" t="s">
        <v>729</v>
      </c>
      <c r="Q17" s="6" t="s">
        <v>729</v>
      </c>
      <c r="R17" s="6" t="s">
        <v>729</v>
      </c>
      <c r="S17" s="6" t="s">
        <v>729</v>
      </c>
      <c r="T17" s="6" t="s">
        <v>729</v>
      </c>
      <c r="U17" s="6" t="s">
        <v>729</v>
      </c>
      <c r="V17" s="8" t="s">
        <v>729</v>
      </c>
    </row>
    <row r="18" ht="65.5" customHeight="1" spans="1:22">
      <c r="A18" s="16"/>
      <c r="B18" s="6" t="s">
        <v>729</v>
      </c>
      <c r="C18" s="6" t="s">
        <v>729</v>
      </c>
      <c r="D18" s="18" t="s">
        <v>899</v>
      </c>
      <c r="E18" s="6" t="s">
        <v>729</v>
      </c>
      <c r="F18" s="11" t="s">
        <v>752</v>
      </c>
      <c r="G18" s="11" t="s">
        <v>752</v>
      </c>
      <c r="H18" s="11" t="s">
        <v>752</v>
      </c>
      <c r="I18" s="11" t="s">
        <v>729</v>
      </c>
      <c r="J18" s="11" t="s">
        <v>729</v>
      </c>
      <c r="K18" s="11" t="s">
        <v>729</v>
      </c>
      <c r="L18" s="11" t="s">
        <v>729</v>
      </c>
      <c r="M18" s="11" t="s">
        <v>729</v>
      </c>
      <c r="N18" s="11" t="s">
        <v>729</v>
      </c>
      <c r="O18" s="11" t="s">
        <v>729</v>
      </c>
      <c r="P18" s="11" t="s">
        <v>729</v>
      </c>
      <c r="Q18" s="11" t="s">
        <v>729</v>
      </c>
      <c r="R18" s="11" t="s">
        <v>729</v>
      </c>
      <c r="S18" s="11" t="s">
        <v>729</v>
      </c>
      <c r="T18" s="11" t="s">
        <v>729</v>
      </c>
      <c r="U18" s="11" t="s">
        <v>729</v>
      </c>
      <c r="V18" s="12" t="s">
        <v>729</v>
      </c>
    </row>
    <row r="19" ht="18" customHeight="1" spans="1:22">
      <c r="A19" s="19" t="s">
        <v>696</v>
      </c>
      <c r="B19" s="20" t="s">
        <v>765</v>
      </c>
      <c r="C19" s="20"/>
      <c r="D19" s="20"/>
      <c r="E19" s="6" t="s">
        <v>729</v>
      </c>
      <c r="F19" s="11" t="s">
        <v>670</v>
      </c>
      <c r="G19" s="11" t="s">
        <v>670</v>
      </c>
      <c r="H19" s="11" t="s">
        <v>670</v>
      </c>
      <c r="I19" s="11" t="s">
        <v>729</v>
      </c>
      <c r="J19" s="11" t="s">
        <v>729</v>
      </c>
      <c r="K19" s="11" t="s">
        <v>729</v>
      </c>
      <c r="L19" s="11" t="s">
        <v>729</v>
      </c>
      <c r="M19" s="11" t="s">
        <v>729</v>
      </c>
      <c r="N19" s="11" t="s">
        <v>729</v>
      </c>
      <c r="O19" s="11" t="s">
        <v>729</v>
      </c>
      <c r="P19" s="11" t="s">
        <v>729</v>
      </c>
      <c r="Q19" s="11" t="s">
        <v>729</v>
      </c>
      <c r="R19" s="11" t="s">
        <v>729</v>
      </c>
      <c r="S19" s="11" t="s">
        <v>729</v>
      </c>
      <c r="T19" s="11" t="s">
        <v>729</v>
      </c>
      <c r="U19" s="11" t="s">
        <v>729</v>
      </c>
      <c r="V19" s="12" t="s">
        <v>729</v>
      </c>
    </row>
    <row r="20" ht="18" customHeight="1" spans="1:22">
      <c r="A20" s="19"/>
      <c r="B20" s="20" t="s">
        <v>698</v>
      </c>
      <c r="C20" s="20"/>
      <c r="D20" s="20"/>
      <c r="E20" s="6" t="s">
        <v>729</v>
      </c>
      <c r="F20" s="11" t="s">
        <v>766</v>
      </c>
      <c r="G20" s="11" t="s">
        <v>766</v>
      </c>
      <c r="H20" s="11" t="s">
        <v>766</v>
      </c>
      <c r="I20" s="11" t="s">
        <v>729</v>
      </c>
      <c r="J20" s="11" t="s">
        <v>729</v>
      </c>
      <c r="K20" s="11" t="s">
        <v>729</v>
      </c>
      <c r="L20" s="11" t="s">
        <v>729</v>
      </c>
      <c r="M20" s="11" t="s">
        <v>729</v>
      </c>
      <c r="N20" s="11" t="s">
        <v>729</v>
      </c>
      <c r="O20" s="11" t="s">
        <v>729</v>
      </c>
      <c r="P20" s="11" t="s">
        <v>729</v>
      </c>
      <c r="Q20" s="11" t="s">
        <v>729</v>
      </c>
      <c r="R20" s="11" t="s">
        <v>729</v>
      </c>
      <c r="S20" s="11" t="s">
        <v>729</v>
      </c>
      <c r="T20" s="11" t="s">
        <v>729</v>
      </c>
      <c r="U20" s="11" t="s">
        <v>729</v>
      </c>
      <c r="V20" s="12" t="s">
        <v>729</v>
      </c>
    </row>
    <row r="21" ht="18" customHeight="1" spans="1:22">
      <c r="A21" s="19"/>
      <c r="B21" s="20" t="s">
        <v>699</v>
      </c>
      <c r="C21" s="20"/>
      <c r="D21" s="20"/>
      <c r="E21" s="6" t="s">
        <v>729</v>
      </c>
      <c r="F21" s="6" t="s">
        <v>729</v>
      </c>
      <c r="G21" s="6" t="s">
        <v>729</v>
      </c>
      <c r="H21" s="6" t="s">
        <v>729</v>
      </c>
      <c r="I21" s="6" t="s">
        <v>729</v>
      </c>
      <c r="J21" s="6" t="s">
        <v>729</v>
      </c>
      <c r="K21" s="6" t="s">
        <v>729</v>
      </c>
      <c r="L21" s="6" t="s">
        <v>729</v>
      </c>
      <c r="M21" s="6" t="s">
        <v>729</v>
      </c>
      <c r="N21" s="6" t="s">
        <v>729</v>
      </c>
      <c r="O21" s="6" t="s">
        <v>729</v>
      </c>
      <c r="P21" s="6" t="s">
        <v>729</v>
      </c>
      <c r="Q21" s="6" t="s">
        <v>729</v>
      </c>
      <c r="R21" s="6" t="s">
        <v>729</v>
      </c>
      <c r="S21" s="6" t="s">
        <v>729</v>
      </c>
      <c r="T21" s="6" t="s">
        <v>729</v>
      </c>
      <c r="U21" s="6" t="s">
        <v>729</v>
      </c>
      <c r="V21" s="8" t="s">
        <v>729</v>
      </c>
    </row>
    <row r="22" ht="18" customHeight="1" spans="1:22">
      <c r="A22" s="19"/>
      <c r="B22" s="21" t="s">
        <v>700</v>
      </c>
      <c r="C22" s="21"/>
      <c r="D22" s="21"/>
      <c r="E22" s="22" t="s">
        <v>729</v>
      </c>
      <c r="F22" s="22" t="s">
        <v>729</v>
      </c>
      <c r="G22" s="22" t="s">
        <v>729</v>
      </c>
      <c r="H22" s="22" t="s">
        <v>729</v>
      </c>
      <c r="I22" s="22" t="s">
        <v>729</v>
      </c>
      <c r="J22" s="22" t="s">
        <v>729</v>
      </c>
      <c r="K22" s="22" t="s">
        <v>729</v>
      </c>
      <c r="L22" s="22" t="s">
        <v>729</v>
      </c>
      <c r="M22" s="22" t="s">
        <v>729</v>
      </c>
      <c r="N22" s="22" t="s">
        <v>729</v>
      </c>
      <c r="O22" s="22" t="s">
        <v>729</v>
      </c>
      <c r="P22" s="22" t="s">
        <v>729</v>
      </c>
      <c r="Q22" s="22" t="s">
        <v>729</v>
      </c>
      <c r="R22" s="22" t="s">
        <v>729</v>
      </c>
      <c r="S22" s="22" t="s">
        <v>729</v>
      </c>
      <c r="T22" s="22" t="s">
        <v>729</v>
      </c>
      <c r="U22" s="22" t="s">
        <v>729</v>
      </c>
      <c r="V22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9:D19"/>
    <mergeCell ref="B20:D20"/>
    <mergeCell ref="B21:D21"/>
    <mergeCell ref="B22:D22"/>
    <mergeCell ref="A7:A12"/>
    <mergeCell ref="A13:A18"/>
    <mergeCell ref="A19:A22"/>
  </mergeCells>
  <dataValidations count="3">
    <dataValidation type="list" allowBlank="1" sqref="F8:V8 F18:V18 F10:V12 F14:V16">
      <formula1>"O,-"</formula1>
    </dataValidation>
    <dataValidation type="list" allowBlank="1" sqref="F19:V19">
      <formula1>"N,A,B"</formula1>
    </dataValidation>
    <dataValidation type="list" allowBlank="1" sqref="F20:V20">
      <formula1>"P,F"</formula1>
    </dataValidation>
  </dataValidations>
  <pageMargins left="0.7" right="0.7" top="0.75" bottom="0.75" header="0.3" footer="0.3"/>
  <pageSetup paperSize="1" orientation="portrait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9"/>
  <sheetViews>
    <sheetView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135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161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900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3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1</v>
      </c>
      <c r="M5" s="11">
        <v>2</v>
      </c>
      <c r="N5" s="11">
        <v>0</v>
      </c>
      <c r="O5" s="12">
        <v>3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687</v>
      </c>
      <c r="H6" s="14" t="s">
        <v>688</v>
      </c>
      <c r="I6" s="14" t="s">
        <v>729</v>
      </c>
      <c r="J6" s="14" t="s">
        <v>729</v>
      </c>
      <c r="K6" s="14" t="s">
        <v>729</v>
      </c>
      <c r="L6" s="14" t="s">
        <v>729</v>
      </c>
      <c r="M6" s="14" t="s">
        <v>729</v>
      </c>
      <c r="N6" s="14" t="s">
        <v>729</v>
      </c>
      <c r="O6" s="14" t="s">
        <v>729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15.5" customHeight="1" spans="1:22">
      <c r="A7" s="16" t="s">
        <v>690</v>
      </c>
      <c r="B7" s="17" t="s">
        <v>750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40.5" customHeight="1" spans="1:22">
      <c r="A8" s="16"/>
      <c r="B8" s="6" t="s">
        <v>729</v>
      </c>
      <c r="C8" s="6" t="s">
        <v>729</v>
      </c>
      <c r="D8" s="18" t="s">
        <v>901</v>
      </c>
      <c r="E8" s="6" t="s">
        <v>729</v>
      </c>
      <c r="F8" s="11" t="s">
        <v>752</v>
      </c>
      <c r="G8" s="11" t="s">
        <v>756</v>
      </c>
      <c r="H8" s="11" t="s">
        <v>756</v>
      </c>
      <c r="I8" s="11" t="s">
        <v>729</v>
      </c>
      <c r="J8" s="11" t="s">
        <v>729</v>
      </c>
      <c r="K8" s="11" t="s">
        <v>729</v>
      </c>
      <c r="L8" s="11" t="s">
        <v>729</v>
      </c>
      <c r="M8" s="11" t="s">
        <v>729</v>
      </c>
      <c r="N8" s="11" t="s">
        <v>729</v>
      </c>
      <c r="O8" s="11" t="s">
        <v>729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53" customHeight="1" spans="1:22">
      <c r="A9" s="16"/>
      <c r="B9" s="6" t="s">
        <v>729</v>
      </c>
      <c r="C9" s="6" t="s">
        <v>729</v>
      </c>
      <c r="D9" s="18" t="s">
        <v>902</v>
      </c>
      <c r="E9" s="6" t="s">
        <v>729</v>
      </c>
      <c r="F9" s="11" t="s">
        <v>756</v>
      </c>
      <c r="G9" s="11" t="s">
        <v>752</v>
      </c>
      <c r="H9" s="11" t="s">
        <v>752</v>
      </c>
      <c r="I9" s="11" t="s">
        <v>729</v>
      </c>
      <c r="J9" s="11" t="s">
        <v>729</v>
      </c>
      <c r="K9" s="11" t="s">
        <v>729</v>
      </c>
      <c r="L9" s="11" t="s">
        <v>729</v>
      </c>
      <c r="M9" s="11" t="s">
        <v>729</v>
      </c>
      <c r="N9" s="11" t="s">
        <v>729</v>
      </c>
      <c r="O9" s="11" t="s">
        <v>729</v>
      </c>
      <c r="P9" s="11" t="s">
        <v>729</v>
      </c>
      <c r="Q9" s="11" t="s">
        <v>729</v>
      </c>
      <c r="R9" s="11" t="s">
        <v>729</v>
      </c>
      <c r="S9" s="11" t="s">
        <v>729</v>
      </c>
      <c r="T9" s="11" t="s">
        <v>729</v>
      </c>
      <c r="U9" s="11" t="s">
        <v>729</v>
      </c>
      <c r="V9" s="12" t="s">
        <v>729</v>
      </c>
    </row>
    <row r="10" ht="15.5" customHeight="1" spans="1:22">
      <c r="A10" s="16" t="s">
        <v>692</v>
      </c>
      <c r="B10" s="17" t="s">
        <v>693</v>
      </c>
      <c r="C10" s="6" t="s">
        <v>729</v>
      </c>
      <c r="D10" s="6" t="s">
        <v>729</v>
      </c>
      <c r="E10" s="6" t="s">
        <v>729</v>
      </c>
      <c r="F10" s="6" t="s">
        <v>729</v>
      </c>
      <c r="G10" s="6" t="s">
        <v>729</v>
      </c>
      <c r="H10" s="6" t="s">
        <v>729</v>
      </c>
      <c r="I10" s="6" t="s">
        <v>729</v>
      </c>
      <c r="J10" s="6" t="s">
        <v>729</v>
      </c>
      <c r="K10" s="6" t="s">
        <v>729</v>
      </c>
      <c r="L10" s="6" t="s">
        <v>729</v>
      </c>
      <c r="M10" s="6" t="s">
        <v>729</v>
      </c>
      <c r="N10" s="6" t="s">
        <v>729</v>
      </c>
      <c r="O10" s="6" t="s">
        <v>729</v>
      </c>
      <c r="P10" s="6" t="s">
        <v>729</v>
      </c>
      <c r="Q10" s="6" t="s">
        <v>729</v>
      </c>
      <c r="R10" s="6" t="s">
        <v>729</v>
      </c>
      <c r="S10" s="6" t="s">
        <v>729</v>
      </c>
      <c r="T10" s="6" t="s">
        <v>729</v>
      </c>
      <c r="U10" s="6" t="s">
        <v>729</v>
      </c>
      <c r="V10" s="8" t="s">
        <v>729</v>
      </c>
    </row>
    <row r="11" ht="40.5" customHeight="1" spans="1:22">
      <c r="A11" s="16"/>
      <c r="B11" s="6" t="s">
        <v>729</v>
      </c>
      <c r="C11" s="6" t="s">
        <v>729</v>
      </c>
      <c r="D11" s="18" t="s">
        <v>903</v>
      </c>
      <c r="E11" s="6" t="s">
        <v>729</v>
      </c>
      <c r="F11" s="11" t="s">
        <v>752</v>
      </c>
      <c r="G11" s="11" t="s">
        <v>756</v>
      </c>
      <c r="H11" s="11" t="s">
        <v>756</v>
      </c>
      <c r="I11" s="11" t="s">
        <v>729</v>
      </c>
      <c r="J11" s="11" t="s">
        <v>729</v>
      </c>
      <c r="K11" s="11" t="s">
        <v>729</v>
      </c>
      <c r="L11" s="11" t="s">
        <v>729</v>
      </c>
      <c r="M11" s="11" t="s">
        <v>729</v>
      </c>
      <c r="N11" s="11" t="s">
        <v>729</v>
      </c>
      <c r="O11" s="11" t="s">
        <v>729</v>
      </c>
      <c r="P11" s="11" t="s">
        <v>729</v>
      </c>
      <c r="Q11" s="11" t="s">
        <v>729</v>
      </c>
      <c r="R11" s="11" t="s">
        <v>729</v>
      </c>
      <c r="S11" s="11" t="s">
        <v>729</v>
      </c>
      <c r="T11" s="11" t="s">
        <v>729</v>
      </c>
      <c r="U11" s="11" t="s">
        <v>729</v>
      </c>
      <c r="V11" s="12" t="s">
        <v>729</v>
      </c>
    </row>
    <row r="12" ht="103" customHeight="1" spans="1:22">
      <c r="A12" s="16"/>
      <c r="B12" s="6" t="s">
        <v>729</v>
      </c>
      <c r="C12" s="6" t="s">
        <v>729</v>
      </c>
      <c r="D12" s="18" t="s">
        <v>904</v>
      </c>
      <c r="E12" s="6" t="s">
        <v>729</v>
      </c>
      <c r="F12" s="11" t="s">
        <v>756</v>
      </c>
      <c r="G12" s="11" t="s">
        <v>752</v>
      </c>
      <c r="H12" s="11" t="s">
        <v>756</v>
      </c>
      <c r="I12" s="11" t="s">
        <v>729</v>
      </c>
      <c r="J12" s="11" t="s">
        <v>729</v>
      </c>
      <c r="K12" s="11" t="s">
        <v>729</v>
      </c>
      <c r="L12" s="11" t="s">
        <v>729</v>
      </c>
      <c r="M12" s="11" t="s">
        <v>729</v>
      </c>
      <c r="N12" s="11" t="s">
        <v>729</v>
      </c>
      <c r="O12" s="11" t="s">
        <v>729</v>
      </c>
      <c r="P12" s="11" t="s">
        <v>729</v>
      </c>
      <c r="Q12" s="11" t="s">
        <v>729</v>
      </c>
      <c r="R12" s="11" t="s">
        <v>729</v>
      </c>
      <c r="S12" s="11" t="s">
        <v>729</v>
      </c>
      <c r="T12" s="11" t="s">
        <v>729</v>
      </c>
      <c r="U12" s="11" t="s">
        <v>729</v>
      </c>
      <c r="V12" s="12" t="s">
        <v>729</v>
      </c>
    </row>
    <row r="13" ht="40.5" customHeight="1" spans="1:22">
      <c r="A13" s="16"/>
      <c r="B13" s="6" t="s">
        <v>729</v>
      </c>
      <c r="C13" s="6" t="s">
        <v>729</v>
      </c>
      <c r="D13" s="18" t="s">
        <v>905</v>
      </c>
      <c r="E13" s="6" t="s">
        <v>729</v>
      </c>
      <c r="F13" s="11" t="s">
        <v>756</v>
      </c>
      <c r="G13" s="11" t="s">
        <v>756</v>
      </c>
      <c r="H13" s="11" t="s">
        <v>752</v>
      </c>
      <c r="I13" s="11" t="s">
        <v>729</v>
      </c>
      <c r="J13" s="11" t="s">
        <v>729</v>
      </c>
      <c r="K13" s="11" t="s">
        <v>729</v>
      </c>
      <c r="L13" s="11" t="s">
        <v>729</v>
      </c>
      <c r="M13" s="11" t="s">
        <v>729</v>
      </c>
      <c r="N13" s="11" t="s">
        <v>729</v>
      </c>
      <c r="O13" s="11" t="s">
        <v>729</v>
      </c>
      <c r="P13" s="11" t="s">
        <v>729</v>
      </c>
      <c r="Q13" s="11" t="s">
        <v>729</v>
      </c>
      <c r="R13" s="11" t="s">
        <v>729</v>
      </c>
      <c r="S13" s="11" t="s">
        <v>729</v>
      </c>
      <c r="T13" s="11" t="s">
        <v>729</v>
      </c>
      <c r="U13" s="11" t="s">
        <v>729</v>
      </c>
      <c r="V13" s="12" t="s">
        <v>729</v>
      </c>
    </row>
    <row r="14" ht="15.5" customHeight="1" spans="1:22">
      <c r="A14" s="16"/>
      <c r="B14" s="17" t="s">
        <v>694</v>
      </c>
      <c r="C14" s="6" t="s">
        <v>729</v>
      </c>
      <c r="D14" s="6" t="s">
        <v>729</v>
      </c>
      <c r="E14" s="6" t="s">
        <v>729</v>
      </c>
      <c r="F14" s="6" t="s">
        <v>729</v>
      </c>
      <c r="G14" s="6" t="s">
        <v>729</v>
      </c>
      <c r="H14" s="6" t="s">
        <v>729</v>
      </c>
      <c r="I14" s="6" t="s">
        <v>729</v>
      </c>
      <c r="J14" s="6" t="s">
        <v>729</v>
      </c>
      <c r="K14" s="6" t="s">
        <v>729</v>
      </c>
      <c r="L14" s="6" t="s">
        <v>729</v>
      </c>
      <c r="M14" s="6" t="s">
        <v>729</v>
      </c>
      <c r="N14" s="6" t="s">
        <v>729</v>
      </c>
      <c r="O14" s="6" t="s">
        <v>729</v>
      </c>
      <c r="P14" s="6" t="s">
        <v>729</v>
      </c>
      <c r="Q14" s="6" t="s">
        <v>729</v>
      </c>
      <c r="R14" s="6" t="s">
        <v>729</v>
      </c>
      <c r="S14" s="6" t="s">
        <v>729</v>
      </c>
      <c r="T14" s="6" t="s">
        <v>729</v>
      </c>
      <c r="U14" s="6" t="s">
        <v>729</v>
      </c>
      <c r="V14" s="8" t="s">
        <v>729</v>
      </c>
    </row>
    <row r="15" ht="78" customHeight="1" spans="1:22">
      <c r="A15" s="16"/>
      <c r="B15" s="6" t="s">
        <v>729</v>
      </c>
      <c r="C15" s="6" t="s">
        <v>729</v>
      </c>
      <c r="D15" s="18" t="s">
        <v>906</v>
      </c>
      <c r="E15" s="6" t="s">
        <v>729</v>
      </c>
      <c r="F15" s="11" t="s">
        <v>756</v>
      </c>
      <c r="G15" s="11" t="s">
        <v>752</v>
      </c>
      <c r="H15" s="11" t="s">
        <v>756</v>
      </c>
      <c r="I15" s="11" t="s">
        <v>729</v>
      </c>
      <c r="J15" s="11" t="s">
        <v>729</v>
      </c>
      <c r="K15" s="11" t="s">
        <v>729</v>
      </c>
      <c r="L15" s="11" t="s">
        <v>729</v>
      </c>
      <c r="M15" s="11" t="s">
        <v>729</v>
      </c>
      <c r="N15" s="11" t="s">
        <v>729</v>
      </c>
      <c r="O15" s="11" t="s">
        <v>729</v>
      </c>
      <c r="P15" s="11" t="s">
        <v>729</v>
      </c>
      <c r="Q15" s="11" t="s">
        <v>729</v>
      </c>
      <c r="R15" s="11" t="s">
        <v>729</v>
      </c>
      <c r="S15" s="11" t="s">
        <v>729</v>
      </c>
      <c r="T15" s="11" t="s">
        <v>729</v>
      </c>
      <c r="U15" s="11" t="s">
        <v>729</v>
      </c>
      <c r="V15" s="12" t="s">
        <v>729</v>
      </c>
    </row>
    <row r="16" ht="18" customHeight="1" spans="1:22">
      <c r="A16" s="19" t="s">
        <v>696</v>
      </c>
      <c r="B16" s="20" t="s">
        <v>765</v>
      </c>
      <c r="C16" s="20"/>
      <c r="D16" s="20"/>
      <c r="E16" s="6" t="s">
        <v>729</v>
      </c>
      <c r="F16" s="11" t="s">
        <v>670</v>
      </c>
      <c r="G16" s="11" t="s">
        <v>63</v>
      </c>
      <c r="H16" s="11" t="s">
        <v>63</v>
      </c>
      <c r="I16" s="11" t="s">
        <v>729</v>
      </c>
      <c r="J16" s="11" t="s">
        <v>729</v>
      </c>
      <c r="K16" s="11" t="s">
        <v>729</v>
      </c>
      <c r="L16" s="11" t="s">
        <v>729</v>
      </c>
      <c r="M16" s="11" t="s">
        <v>729</v>
      </c>
      <c r="N16" s="11" t="s">
        <v>729</v>
      </c>
      <c r="O16" s="11" t="s">
        <v>729</v>
      </c>
      <c r="P16" s="11" t="s">
        <v>729</v>
      </c>
      <c r="Q16" s="11" t="s">
        <v>729</v>
      </c>
      <c r="R16" s="11" t="s">
        <v>729</v>
      </c>
      <c r="S16" s="11" t="s">
        <v>729</v>
      </c>
      <c r="T16" s="11" t="s">
        <v>729</v>
      </c>
      <c r="U16" s="11" t="s">
        <v>729</v>
      </c>
      <c r="V16" s="12" t="s">
        <v>729</v>
      </c>
    </row>
    <row r="17" ht="18" customHeight="1" spans="1:22">
      <c r="A17" s="19"/>
      <c r="B17" s="20" t="s">
        <v>698</v>
      </c>
      <c r="C17" s="20"/>
      <c r="D17" s="20"/>
      <c r="E17" s="6" t="s">
        <v>729</v>
      </c>
      <c r="F17" s="11" t="s">
        <v>766</v>
      </c>
      <c r="G17" s="11" t="s">
        <v>766</v>
      </c>
      <c r="H17" s="11" t="s">
        <v>766</v>
      </c>
      <c r="I17" s="11" t="s">
        <v>729</v>
      </c>
      <c r="J17" s="11" t="s">
        <v>729</v>
      </c>
      <c r="K17" s="11" t="s">
        <v>729</v>
      </c>
      <c r="L17" s="11" t="s">
        <v>729</v>
      </c>
      <c r="M17" s="11" t="s">
        <v>729</v>
      </c>
      <c r="N17" s="11" t="s">
        <v>729</v>
      </c>
      <c r="O17" s="11" t="s">
        <v>729</v>
      </c>
      <c r="P17" s="11" t="s">
        <v>729</v>
      </c>
      <c r="Q17" s="11" t="s">
        <v>729</v>
      </c>
      <c r="R17" s="11" t="s">
        <v>729</v>
      </c>
      <c r="S17" s="11" t="s">
        <v>729</v>
      </c>
      <c r="T17" s="11" t="s">
        <v>729</v>
      </c>
      <c r="U17" s="11" t="s">
        <v>729</v>
      </c>
      <c r="V17" s="12" t="s">
        <v>729</v>
      </c>
    </row>
    <row r="18" ht="18" customHeight="1" spans="1:22">
      <c r="A18" s="19"/>
      <c r="B18" s="20" t="s">
        <v>699</v>
      </c>
      <c r="C18" s="20"/>
      <c r="D18" s="20"/>
      <c r="E18" s="6" t="s">
        <v>729</v>
      </c>
      <c r="F18" s="6" t="s">
        <v>729</v>
      </c>
      <c r="G18" s="6" t="s">
        <v>729</v>
      </c>
      <c r="H18" s="6" t="s">
        <v>729</v>
      </c>
      <c r="I18" s="6" t="s">
        <v>729</v>
      </c>
      <c r="J18" s="6" t="s">
        <v>729</v>
      </c>
      <c r="K18" s="6" t="s">
        <v>729</v>
      </c>
      <c r="L18" s="6" t="s">
        <v>729</v>
      </c>
      <c r="M18" s="6" t="s">
        <v>729</v>
      </c>
      <c r="N18" s="6" t="s">
        <v>729</v>
      </c>
      <c r="O18" s="6" t="s">
        <v>729</v>
      </c>
      <c r="P18" s="6" t="s">
        <v>729</v>
      </c>
      <c r="Q18" s="6" t="s">
        <v>729</v>
      </c>
      <c r="R18" s="6" t="s">
        <v>729</v>
      </c>
      <c r="S18" s="6" t="s">
        <v>729</v>
      </c>
      <c r="T18" s="6" t="s">
        <v>729</v>
      </c>
      <c r="U18" s="6" t="s">
        <v>729</v>
      </c>
      <c r="V18" s="8" t="s">
        <v>729</v>
      </c>
    </row>
    <row r="19" ht="18" customHeight="1" spans="1:22">
      <c r="A19" s="19"/>
      <c r="B19" s="21" t="s">
        <v>700</v>
      </c>
      <c r="C19" s="21"/>
      <c r="D19" s="21"/>
      <c r="E19" s="22" t="s">
        <v>729</v>
      </c>
      <c r="F19" s="22" t="s">
        <v>729</v>
      </c>
      <c r="G19" s="22" t="s">
        <v>729</v>
      </c>
      <c r="H19" s="22" t="s">
        <v>729</v>
      </c>
      <c r="I19" s="22" t="s">
        <v>729</v>
      </c>
      <c r="J19" s="22" t="s">
        <v>729</v>
      </c>
      <c r="K19" s="22" t="s">
        <v>729</v>
      </c>
      <c r="L19" s="22" t="s">
        <v>729</v>
      </c>
      <c r="M19" s="22" t="s">
        <v>729</v>
      </c>
      <c r="N19" s="22" t="s">
        <v>729</v>
      </c>
      <c r="O19" s="22" t="s">
        <v>729</v>
      </c>
      <c r="P19" s="22" t="s">
        <v>729</v>
      </c>
      <c r="Q19" s="22" t="s">
        <v>729</v>
      </c>
      <c r="R19" s="22" t="s">
        <v>729</v>
      </c>
      <c r="S19" s="22" t="s">
        <v>729</v>
      </c>
      <c r="T19" s="22" t="s">
        <v>729</v>
      </c>
      <c r="U19" s="22" t="s">
        <v>729</v>
      </c>
      <c r="V19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6:D16"/>
    <mergeCell ref="B17:D17"/>
    <mergeCell ref="B18:D18"/>
    <mergeCell ref="B19:D19"/>
    <mergeCell ref="A7:A9"/>
    <mergeCell ref="A10:A15"/>
    <mergeCell ref="A16:A19"/>
  </mergeCells>
  <dataValidations count="3">
    <dataValidation type="list" allowBlank="1" sqref="F15:V15 F11:V13 F8:V9">
      <formula1>"O,-"</formula1>
    </dataValidation>
    <dataValidation type="list" allowBlank="1" sqref="F16:V16">
      <formula1>"N,A,B"</formula1>
    </dataValidation>
    <dataValidation type="list" allowBlank="1" sqref="F17:V17">
      <formula1>"P,F"</formula1>
    </dataValidation>
  </dataValidations>
  <pageMargins left="0.7" right="0.7" top="0.75" bottom="0.75" header="0.3" footer="0.3"/>
  <pageSetup paperSize="1" orientation="portrait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8"/>
  <sheetViews>
    <sheetView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135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166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907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3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1</v>
      </c>
      <c r="M5" s="11">
        <v>2</v>
      </c>
      <c r="N5" s="11">
        <v>0</v>
      </c>
      <c r="O5" s="12">
        <v>3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687</v>
      </c>
      <c r="H6" s="14" t="s">
        <v>688</v>
      </c>
      <c r="I6" s="14" t="s">
        <v>729</v>
      </c>
      <c r="J6" s="14" t="s">
        <v>729</v>
      </c>
      <c r="K6" s="14" t="s">
        <v>729</v>
      </c>
      <c r="L6" s="14" t="s">
        <v>729</v>
      </c>
      <c r="M6" s="14" t="s">
        <v>729</v>
      </c>
      <c r="N6" s="14" t="s">
        <v>729</v>
      </c>
      <c r="O6" s="14" t="s">
        <v>729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15.5" customHeight="1" spans="1:22">
      <c r="A7" s="16" t="s">
        <v>690</v>
      </c>
      <c r="B7" s="17" t="s">
        <v>908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53" customHeight="1" spans="1:22">
      <c r="A8" s="16"/>
      <c r="B8" s="6" t="s">
        <v>729</v>
      </c>
      <c r="C8" s="6" t="s">
        <v>729</v>
      </c>
      <c r="D8" s="18" t="s">
        <v>909</v>
      </c>
      <c r="E8" s="6" t="s">
        <v>729</v>
      </c>
      <c r="F8" s="11" t="s">
        <v>752</v>
      </c>
      <c r="G8" s="11" t="s">
        <v>756</v>
      </c>
      <c r="H8" s="11" t="s">
        <v>756</v>
      </c>
      <c r="I8" s="11" t="s">
        <v>729</v>
      </c>
      <c r="J8" s="11" t="s">
        <v>729</v>
      </c>
      <c r="K8" s="11" t="s">
        <v>729</v>
      </c>
      <c r="L8" s="11" t="s">
        <v>729</v>
      </c>
      <c r="M8" s="11" t="s">
        <v>729</v>
      </c>
      <c r="N8" s="11" t="s">
        <v>729</v>
      </c>
      <c r="O8" s="11" t="s">
        <v>729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40.5" customHeight="1" spans="1:22">
      <c r="A9" s="16"/>
      <c r="B9" s="6" t="s">
        <v>729</v>
      </c>
      <c r="C9" s="6" t="s">
        <v>729</v>
      </c>
      <c r="D9" s="18" t="s">
        <v>910</v>
      </c>
      <c r="E9" s="6" t="s">
        <v>729</v>
      </c>
      <c r="F9" s="11" t="s">
        <v>756</v>
      </c>
      <c r="G9" s="11" t="s">
        <v>752</v>
      </c>
      <c r="H9" s="11" t="s">
        <v>756</v>
      </c>
      <c r="I9" s="11" t="s">
        <v>729</v>
      </c>
      <c r="J9" s="11" t="s">
        <v>729</v>
      </c>
      <c r="K9" s="11" t="s">
        <v>729</v>
      </c>
      <c r="L9" s="11" t="s">
        <v>729</v>
      </c>
      <c r="M9" s="11" t="s">
        <v>729</v>
      </c>
      <c r="N9" s="11" t="s">
        <v>729</v>
      </c>
      <c r="O9" s="11" t="s">
        <v>729</v>
      </c>
      <c r="P9" s="11" t="s">
        <v>729</v>
      </c>
      <c r="Q9" s="11" t="s">
        <v>729</v>
      </c>
      <c r="R9" s="11" t="s">
        <v>729</v>
      </c>
      <c r="S9" s="11" t="s">
        <v>729</v>
      </c>
      <c r="T9" s="11" t="s">
        <v>729</v>
      </c>
      <c r="U9" s="11" t="s">
        <v>729</v>
      </c>
      <c r="V9" s="12" t="s">
        <v>729</v>
      </c>
    </row>
    <row r="10" ht="53" customHeight="1" spans="1:22">
      <c r="A10" s="16"/>
      <c r="B10" s="6" t="s">
        <v>729</v>
      </c>
      <c r="C10" s="6" t="s">
        <v>729</v>
      </c>
      <c r="D10" s="18" t="s">
        <v>911</v>
      </c>
      <c r="E10" s="6" t="s">
        <v>729</v>
      </c>
      <c r="F10" s="11" t="s">
        <v>756</v>
      </c>
      <c r="G10" s="11" t="s">
        <v>756</v>
      </c>
      <c r="H10" s="11" t="s">
        <v>752</v>
      </c>
      <c r="I10" s="11" t="s">
        <v>729</v>
      </c>
      <c r="J10" s="11" t="s">
        <v>729</v>
      </c>
      <c r="K10" s="11" t="s">
        <v>729</v>
      </c>
      <c r="L10" s="11" t="s">
        <v>729</v>
      </c>
      <c r="M10" s="11" t="s">
        <v>729</v>
      </c>
      <c r="N10" s="11" t="s">
        <v>729</v>
      </c>
      <c r="O10" s="11" t="s">
        <v>729</v>
      </c>
      <c r="P10" s="11" t="s">
        <v>729</v>
      </c>
      <c r="Q10" s="11" t="s">
        <v>729</v>
      </c>
      <c r="R10" s="11" t="s">
        <v>729</v>
      </c>
      <c r="S10" s="11" t="s">
        <v>729</v>
      </c>
      <c r="T10" s="11" t="s">
        <v>729</v>
      </c>
      <c r="U10" s="11" t="s">
        <v>729</v>
      </c>
      <c r="V10" s="12" t="s">
        <v>729</v>
      </c>
    </row>
    <row r="11" ht="15.5" customHeight="1" spans="1:22">
      <c r="A11" s="16" t="s">
        <v>692</v>
      </c>
      <c r="B11" s="17" t="s">
        <v>693</v>
      </c>
      <c r="C11" s="6" t="s">
        <v>729</v>
      </c>
      <c r="D11" s="6" t="s">
        <v>729</v>
      </c>
      <c r="E11" s="6" t="s">
        <v>729</v>
      </c>
      <c r="F11" s="6" t="s">
        <v>729</v>
      </c>
      <c r="G11" s="6" t="s">
        <v>729</v>
      </c>
      <c r="H11" s="6" t="s">
        <v>729</v>
      </c>
      <c r="I11" s="6" t="s">
        <v>729</v>
      </c>
      <c r="J11" s="6" t="s">
        <v>729</v>
      </c>
      <c r="K11" s="6" t="s">
        <v>729</v>
      </c>
      <c r="L11" s="6" t="s">
        <v>729</v>
      </c>
      <c r="M11" s="6" t="s">
        <v>729</v>
      </c>
      <c r="N11" s="6" t="s">
        <v>729</v>
      </c>
      <c r="O11" s="6" t="s">
        <v>729</v>
      </c>
      <c r="P11" s="6" t="s">
        <v>729</v>
      </c>
      <c r="Q11" s="6" t="s">
        <v>729</v>
      </c>
      <c r="R11" s="6" t="s">
        <v>729</v>
      </c>
      <c r="S11" s="6" t="s">
        <v>729</v>
      </c>
      <c r="T11" s="6" t="s">
        <v>729</v>
      </c>
      <c r="U11" s="6" t="s">
        <v>729</v>
      </c>
      <c r="V11" s="8" t="s">
        <v>729</v>
      </c>
    </row>
    <row r="12" ht="40.5" customHeight="1" spans="1:22">
      <c r="A12" s="16"/>
      <c r="B12" s="6" t="s">
        <v>729</v>
      </c>
      <c r="C12" s="6" t="s">
        <v>729</v>
      </c>
      <c r="D12" s="18" t="s">
        <v>912</v>
      </c>
      <c r="E12" s="6" t="s">
        <v>729</v>
      </c>
      <c r="F12" s="11" t="s">
        <v>752</v>
      </c>
      <c r="G12" s="11" t="s">
        <v>756</v>
      </c>
      <c r="H12" s="11" t="s">
        <v>756</v>
      </c>
      <c r="I12" s="11" t="s">
        <v>729</v>
      </c>
      <c r="J12" s="11" t="s">
        <v>729</v>
      </c>
      <c r="K12" s="11" t="s">
        <v>729</v>
      </c>
      <c r="L12" s="11" t="s">
        <v>729</v>
      </c>
      <c r="M12" s="11" t="s">
        <v>729</v>
      </c>
      <c r="N12" s="11" t="s">
        <v>729</v>
      </c>
      <c r="O12" s="11" t="s">
        <v>729</v>
      </c>
      <c r="P12" s="11" t="s">
        <v>729</v>
      </c>
      <c r="Q12" s="11" t="s">
        <v>729</v>
      </c>
      <c r="R12" s="11" t="s">
        <v>729</v>
      </c>
      <c r="S12" s="11" t="s">
        <v>729</v>
      </c>
      <c r="T12" s="11" t="s">
        <v>729</v>
      </c>
      <c r="U12" s="11" t="s">
        <v>729</v>
      </c>
      <c r="V12" s="12" t="s">
        <v>729</v>
      </c>
    </row>
    <row r="13" ht="90.5" customHeight="1" spans="1:22">
      <c r="A13" s="16"/>
      <c r="B13" s="6" t="s">
        <v>729</v>
      </c>
      <c r="C13" s="6" t="s">
        <v>729</v>
      </c>
      <c r="D13" s="18" t="s">
        <v>913</v>
      </c>
      <c r="E13" s="6" t="s">
        <v>729</v>
      </c>
      <c r="F13" s="11" t="s">
        <v>756</v>
      </c>
      <c r="G13" s="11" t="s">
        <v>752</v>
      </c>
      <c r="H13" s="11" t="s">
        <v>756</v>
      </c>
      <c r="I13" s="11" t="s">
        <v>729</v>
      </c>
      <c r="J13" s="11" t="s">
        <v>729</v>
      </c>
      <c r="K13" s="11" t="s">
        <v>729</v>
      </c>
      <c r="L13" s="11" t="s">
        <v>729</v>
      </c>
      <c r="M13" s="11" t="s">
        <v>729</v>
      </c>
      <c r="N13" s="11" t="s">
        <v>729</v>
      </c>
      <c r="O13" s="11" t="s">
        <v>729</v>
      </c>
      <c r="P13" s="11" t="s">
        <v>729</v>
      </c>
      <c r="Q13" s="11" t="s">
        <v>729</v>
      </c>
      <c r="R13" s="11" t="s">
        <v>729</v>
      </c>
      <c r="S13" s="11" t="s">
        <v>729</v>
      </c>
      <c r="T13" s="11" t="s">
        <v>729</v>
      </c>
      <c r="U13" s="11" t="s">
        <v>729</v>
      </c>
      <c r="V13" s="12" t="s">
        <v>729</v>
      </c>
    </row>
    <row r="14" ht="65.5" customHeight="1" spans="1:22">
      <c r="A14" s="16"/>
      <c r="B14" s="6" t="s">
        <v>729</v>
      </c>
      <c r="C14" s="6" t="s">
        <v>729</v>
      </c>
      <c r="D14" s="18" t="s">
        <v>914</v>
      </c>
      <c r="E14" s="6" t="s">
        <v>729</v>
      </c>
      <c r="F14" s="11" t="s">
        <v>756</v>
      </c>
      <c r="G14" s="11" t="s">
        <v>756</v>
      </c>
      <c r="H14" s="11" t="s">
        <v>752</v>
      </c>
      <c r="I14" s="11" t="s">
        <v>729</v>
      </c>
      <c r="J14" s="11" t="s">
        <v>729</v>
      </c>
      <c r="K14" s="11" t="s">
        <v>729</v>
      </c>
      <c r="L14" s="11" t="s">
        <v>729</v>
      </c>
      <c r="M14" s="11" t="s">
        <v>729</v>
      </c>
      <c r="N14" s="11" t="s">
        <v>729</v>
      </c>
      <c r="O14" s="11" t="s">
        <v>729</v>
      </c>
      <c r="P14" s="11" t="s">
        <v>729</v>
      </c>
      <c r="Q14" s="11" t="s">
        <v>729</v>
      </c>
      <c r="R14" s="11" t="s">
        <v>729</v>
      </c>
      <c r="S14" s="11" t="s">
        <v>729</v>
      </c>
      <c r="T14" s="11" t="s">
        <v>729</v>
      </c>
      <c r="U14" s="11" t="s">
        <v>729</v>
      </c>
      <c r="V14" s="12" t="s">
        <v>729</v>
      </c>
    </row>
    <row r="15" ht="18" customHeight="1" spans="1:22">
      <c r="A15" s="19" t="s">
        <v>696</v>
      </c>
      <c r="B15" s="20" t="s">
        <v>765</v>
      </c>
      <c r="C15" s="20"/>
      <c r="D15" s="20"/>
      <c r="E15" s="6" t="s">
        <v>729</v>
      </c>
      <c r="F15" s="11" t="s">
        <v>670</v>
      </c>
      <c r="G15" s="11" t="s">
        <v>63</v>
      </c>
      <c r="H15" s="11" t="s">
        <v>63</v>
      </c>
      <c r="I15" s="11" t="s">
        <v>729</v>
      </c>
      <c r="J15" s="11" t="s">
        <v>729</v>
      </c>
      <c r="K15" s="11" t="s">
        <v>729</v>
      </c>
      <c r="L15" s="11" t="s">
        <v>729</v>
      </c>
      <c r="M15" s="11" t="s">
        <v>729</v>
      </c>
      <c r="N15" s="11" t="s">
        <v>729</v>
      </c>
      <c r="O15" s="11" t="s">
        <v>729</v>
      </c>
      <c r="P15" s="11" t="s">
        <v>729</v>
      </c>
      <c r="Q15" s="11" t="s">
        <v>729</v>
      </c>
      <c r="R15" s="11" t="s">
        <v>729</v>
      </c>
      <c r="S15" s="11" t="s">
        <v>729</v>
      </c>
      <c r="T15" s="11" t="s">
        <v>729</v>
      </c>
      <c r="U15" s="11" t="s">
        <v>729</v>
      </c>
      <c r="V15" s="12" t="s">
        <v>729</v>
      </c>
    </row>
    <row r="16" ht="18" customHeight="1" spans="1:22">
      <c r="A16" s="19"/>
      <c r="B16" s="20" t="s">
        <v>698</v>
      </c>
      <c r="C16" s="20"/>
      <c r="D16" s="20"/>
      <c r="E16" s="6" t="s">
        <v>729</v>
      </c>
      <c r="F16" s="11" t="s">
        <v>766</v>
      </c>
      <c r="G16" s="11" t="s">
        <v>766</v>
      </c>
      <c r="H16" s="11" t="s">
        <v>766</v>
      </c>
      <c r="I16" s="11" t="s">
        <v>729</v>
      </c>
      <c r="J16" s="11" t="s">
        <v>729</v>
      </c>
      <c r="K16" s="11" t="s">
        <v>729</v>
      </c>
      <c r="L16" s="11" t="s">
        <v>729</v>
      </c>
      <c r="M16" s="11" t="s">
        <v>729</v>
      </c>
      <c r="N16" s="11" t="s">
        <v>729</v>
      </c>
      <c r="O16" s="11" t="s">
        <v>729</v>
      </c>
      <c r="P16" s="11" t="s">
        <v>729</v>
      </c>
      <c r="Q16" s="11" t="s">
        <v>729</v>
      </c>
      <c r="R16" s="11" t="s">
        <v>729</v>
      </c>
      <c r="S16" s="11" t="s">
        <v>729</v>
      </c>
      <c r="T16" s="11" t="s">
        <v>729</v>
      </c>
      <c r="U16" s="11" t="s">
        <v>729</v>
      </c>
      <c r="V16" s="12" t="s">
        <v>729</v>
      </c>
    </row>
    <row r="17" ht="18" customHeight="1" spans="1:22">
      <c r="A17" s="19"/>
      <c r="B17" s="20" t="s">
        <v>699</v>
      </c>
      <c r="C17" s="20"/>
      <c r="D17" s="20"/>
      <c r="E17" s="6" t="s">
        <v>729</v>
      </c>
      <c r="F17" s="6" t="s">
        <v>729</v>
      </c>
      <c r="G17" s="6" t="s">
        <v>729</v>
      </c>
      <c r="H17" s="6" t="s">
        <v>729</v>
      </c>
      <c r="I17" s="6" t="s">
        <v>729</v>
      </c>
      <c r="J17" s="6" t="s">
        <v>729</v>
      </c>
      <c r="K17" s="6" t="s">
        <v>729</v>
      </c>
      <c r="L17" s="6" t="s">
        <v>729</v>
      </c>
      <c r="M17" s="6" t="s">
        <v>729</v>
      </c>
      <c r="N17" s="6" t="s">
        <v>729</v>
      </c>
      <c r="O17" s="6" t="s">
        <v>729</v>
      </c>
      <c r="P17" s="6" t="s">
        <v>729</v>
      </c>
      <c r="Q17" s="6" t="s">
        <v>729</v>
      </c>
      <c r="R17" s="6" t="s">
        <v>729</v>
      </c>
      <c r="S17" s="6" t="s">
        <v>729</v>
      </c>
      <c r="T17" s="6" t="s">
        <v>729</v>
      </c>
      <c r="U17" s="6" t="s">
        <v>729</v>
      </c>
      <c r="V17" s="8" t="s">
        <v>729</v>
      </c>
    </row>
    <row r="18" ht="18" customHeight="1" spans="1:22">
      <c r="A18" s="19"/>
      <c r="B18" s="21" t="s">
        <v>700</v>
      </c>
      <c r="C18" s="21"/>
      <c r="D18" s="21"/>
      <c r="E18" s="22" t="s">
        <v>729</v>
      </c>
      <c r="F18" s="22" t="s">
        <v>729</v>
      </c>
      <c r="G18" s="22" t="s">
        <v>729</v>
      </c>
      <c r="H18" s="22" t="s">
        <v>729</v>
      </c>
      <c r="I18" s="22" t="s">
        <v>729</v>
      </c>
      <c r="J18" s="22" t="s">
        <v>729</v>
      </c>
      <c r="K18" s="22" t="s">
        <v>729</v>
      </c>
      <c r="L18" s="22" t="s">
        <v>729</v>
      </c>
      <c r="M18" s="22" t="s">
        <v>729</v>
      </c>
      <c r="N18" s="22" t="s">
        <v>729</v>
      </c>
      <c r="O18" s="22" t="s">
        <v>729</v>
      </c>
      <c r="P18" s="22" t="s">
        <v>729</v>
      </c>
      <c r="Q18" s="22" t="s">
        <v>729</v>
      </c>
      <c r="R18" s="22" t="s">
        <v>729</v>
      </c>
      <c r="S18" s="22" t="s">
        <v>729</v>
      </c>
      <c r="T18" s="22" t="s">
        <v>729</v>
      </c>
      <c r="U18" s="22" t="s">
        <v>729</v>
      </c>
      <c r="V18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5:D15"/>
    <mergeCell ref="B16:D16"/>
    <mergeCell ref="B17:D17"/>
    <mergeCell ref="B18:D18"/>
    <mergeCell ref="A7:A10"/>
    <mergeCell ref="A11:A14"/>
    <mergeCell ref="A15:A18"/>
  </mergeCells>
  <dataValidations count="3">
    <dataValidation type="list" allowBlank="1" sqref="F10:V10 F12:V14 F8:V9">
      <formula1>"O,-"</formula1>
    </dataValidation>
    <dataValidation type="list" allowBlank="1" sqref="F15:V15">
      <formula1>"N,A,B"</formula1>
    </dataValidation>
    <dataValidation type="list" allowBlank="1" sqref="F16:V16">
      <formula1>"P,F"</formula1>
    </dataValidation>
  </dataValidations>
  <pageMargins left="0.7" right="0.7" top="0.75" bottom="0.75" header="0.3" footer="0.3"/>
  <pageSetup paperSize="1" orientation="portrait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6"/>
  <sheetViews>
    <sheetView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135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171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915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2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1</v>
      </c>
      <c r="M5" s="11">
        <v>0</v>
      </c>
      <c r="N5" s="11">
        <v>1</v>
      </c>
      <c r="O5" s="12">
        <v>2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687</v>
      </c>
      <c r="H6" s="14" t="s">
        <v>729</v>
      </c>
      <c r="I6" s="14" t="s">
        <v>729</v>
      </c>
      <c r="J6" s="14" t="s">
        <v>729</v>
      </c>
      <c r="K6" s="14" t="s">
        <v>729</v>
      </c>
      <c r="L6" s="14" t="s">
        <v>729</v>
      </c>
      <c r="M6" s="14" t="s">
        <v>729</v>
      </c>
      <c r="N6" s="14" t="s">
        <v>729</v>
      </c>
      <c r="O6" s="14" t="s">
        <v>729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15.5" customHeight="1" spans="1:22">
      <c r="A7" s="16" t="s">
        <v>690</v>
      </c>
      <c r="B7" s="17" t="s">
        <v>916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40.5" customHeight="1" spans="1:22">
      <c r="A8" s="16"/>
      <c r="B8" s="6" t="s">
        <v>729</v>
      </c>
      <c r="C8" s="6" t="s">
        <v>729</v>
      </c>
      <c r="D8" s="18" t="s">
        <v>917</v>
      </c>
      <c r="E8" s="6" t="s">
        <v>729</v>
      </c>
      <c r="F8" s="11" t="s">
        <v>752</v>
      </c>
      <c r="G8" s="11" t="s">
        <v>756</v>
      </c>
      <c r="H8" s="11" t="s">
        <v>729</v>
      </c>
      <c r="I8" s="11" t="s">
        <v>729</v>
      </c>
      <c r="J8" s="11" t="s">
        <v>729</v>
      </c>
      <c r="K8" s="11" t="s">
        <v>729</v>
      </c>
      <c r="L8" s="11" t="s">
        <v>729</v>
      </c>
      <c r="M8" s="11" t="s">
        <v>729</v>
      </c>
      <c r="N8" s="11" t="s">
        <v>729</v>
      </c>
      <c r="O8" s="11" t="s">
        <v>729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53" customHeight="1" spans="1:22">
      <c r="A9" s="16"/>
      <c r="B9" s="6" t="s">
        <v>729</v>
      </c>
      <c r="C9" s="6" t="s">
        <v>729</v>
      </c>
      <c r="D9" s="18" t="s">
        <v>918</v>
      </c>
      <c r="E9" s="6" t="s">
        <v>729</v>
      </c>
      <c r="F9" s="11" t="s">
        <v>756</v>
      </c>
      <c r="G9" s="11" t="s">
        <v>752</v>
      </c>
      <c r="H9" s="11" t="s">
        <v>729</v>
      </c>
      <c r="I9" s="11" t="s">
        <v>729</v>
      </c>
      <c r="J9" s="11" t="s">
        <v>729</v>
      </c>
      <c r="K9" s="11" t="s">
        <v>729</v>
      </c>
      <c r="L9" s="11" t="s">
        <v>729</v>
      </c>
      <c r="M9" s="11" t="s">
        <v>729</v>
      </c>
      <c r="N9" s="11" t="s">
        <v>729</v>
      </c>
      <c r="O9" s="11" t="s">
        <v>729</v>
      </c>
      <c r="P9" s="11" t="s">
        <v>729</v>
      </c>
      <c r="Q9" s="11" t="s">
        <v>729</v>
      </c>
      <c r="R9" s="11" t="s">
        <v>729</v>
      </c>
      <c r="S9" s="11" t="s">
        <v>729</v>
      </c>
      <c r="T9" s="11" t="s">
        <v>729</v>
      </c>
      <c r="U9" s="11" t="s">
        <v>729</v>
      </c>
      <c r="V9" s="12" t="s">
        <v>729</v>
      </c>
    </row>
    <row r="10" ht="15.5" customHeight="1" spans="1:22">
      <c r="A10" s="16" t="s">
        <v>692</v>
      </c>
      <c r="B10" s="17" t="s">
        <v>693</v>
      </c>
      <c r="C10" s="6" t="s">
        <v>729</v>
      </c>
      <c r="D10" s="6" t="s">
        <v>729</v>
      </c>
      <c r="E10" s="6" t="s">
        <v>729</v>
      </c>
      <c r="F10" s="6" t="s">
        <v>729</v>
      </c>
      <c r="G10" s="6" t="s">
        <v>729</v>
      </c>
      <c r="H10" s="6" t="s">
        <v>729</v>
      </c>
      <c r="I10" s="6" t="s">
        <v>729</v>
      </c>
      <c r="J10" s="6" t="s">
        <v>729</v>
      </c>
      <c r="K10" s="6" t="s">
        <v>729</v>
      </c>
      <c r="L10" s="6" t="s">
        <v>729</v>
      </c>
      <c r="M10" s="6" t="s">
        <v>729</v>
      </c>
      <c r="N10" s="6" t="s">
        <v>729</v>
      </c>
      <c r="O10" s="6" t="s">
        <v>729</v>
      </c>
      <c r="P10" s="6" t="s">
        <v>729</v>
      </c>
      <c r="Q10" s="6" t="s">
        <v>729</v>
      </c>
      <c r="R10" s="6" t="s">
        <v>729</v>
      </c>
      <c r="S10" s="6" t="s">
        <v>729</v>
      </c>
      <c r="T10" s="6" t="s">
        <v>729</v>
      </c>
      <c r="U10" s="6" t="s">
        <v>729</v>
      </c>
      <c r="V10" s="8" t="s">
        <v>729</v>
      </c>
    </row>
    <row r="11" ht="40.5" customHeight="1" spans="1:22">
      <c r="A11" s="16"/>
      <c r="B11" s="6" t="s">
        <v>729</v>
      </c>
      <c r="C11" s="6" t="s">
        <v>729</v>
      </c>
      <c r="D11" s="18" t="s">
        <v>919</v>
      </c>
      <c r="E11" s="6" t="s">
        <v>729</v>
      </c>
      <c r="F11" s="11" t="s">
        <v>752</v>
      </c>
      <c r="G11" s="11" t="s">
        <v>756</v>
      </c>
      <c r="H11" s="11" t="s">
        <v>729</v>
      </c>
      <c r="I11" s="11" t="s">
        <v>729</v>
      </c>
      <c r="J11" s="11" t="s">
        <v>729</v>
      </c>
      <c r="K11" s="11" t="s">
        <v>729</v>
      </c>
      <c r="L11" s="11" t="s">
        <v>729</v>
      </c>
      <c r="M11" s="11" t="s">
        <v>729</v>
      </c>
      <c r="N11" s="11" t="s">
        <v>729</v>
      </c>
      <c r="O11" s="11" t="s">
        <v>729</v>
      </c>
      <c r="P11" s="11" t="s">
        <v>729</v>
      </c>
      <c r="Q11" s="11" t="s">
        <v>729</v>
      </c>
      <c r="R11" s="11" t="s">
        <v>729</v>
      </c>
      <c r="S11" s="11" t="s">
        <v>729</v>
      </c>
      <c r="T11" s="11" t="s">
        <v>729</v>
      </c>
      <c r="U11" s="11" t="s">
        <v>729</v>
      </c>
      <c r="V11" s="12" t="s">
        <v>729</v>
      </c>
    </row>
    <row r="12" ht="103" customHeight="1" spans="1:22">
      <c r="A12" s="16"/>
      <c r="B12" s="6" t="s">
        <v>729</v>
      </c>
      <c r="C12" s="6" t="s">
        <v>729</v>
      </c>
      <c r="D12" s="18" t="s">
        <v>920</v>
      </c>
      <c r="E12" s="6" t="s">
        <v>729</v>
      </c>
      <c r="F12" s="11" t="s">
        <v>756</v>
      </c>
      <c r="G12" s="11" t="s">
        <v>752</v>
      </c>
      <c r="H12" s="11" t="s">
        <v>729</v>
      </c>
      <c r="I12" s="11" t="s">
        <v>729</v>
      </c>
      <c r="J12" s="11" t="s">
        <v>729</v>
      </c>
      <c r="K12" s="11" t="s">
        <v>729</v>
      </c>
      <c r="L12" s="11" t="s">
        <v>729</v>
      </c>
      <c r="M12" s="11" t="s">
        <v>729</v>
      </c>
      <c r="N12" s="11" t="s">
        <v>729</v>
      </c>
      <c r="O12" s="11" t="s">
        <v>729</v>
      </c>
      <c r="P12" s="11" t="s">
        <v>729</v>
      </c>
      <c r="Q12" s="11" t="s">
        <v>729</v>
      </c>
      <c r="R12" s="11" t="s">
        <v>729</v>
      </c>
      <c r="S12" s="11" t="s">
        <v>729</v>
      </c>
      <c r="T12" s="11" t="s">
        <v>729</v>
      </c>
      <c r="U12" s="11" t="s">
        <v>729</v>
      </c>
      <c r="V12" s="12" t="s">
        <v>729</v>
      </c>
    </row>
    <row r="13" ht="18" customHeight="1" spans="1:22">
      <c r="A13" s="19" t="s">
        <v>696</v>
      </c>
      <c r="B13" s="20" t="s">
        <v>765</v>
      </c>
      <c r="C13" s="20"/>
      <c r="D13" s="20"/>
      <c r="E13" s="6" t="s">
        <v>729</v>
      </c>
      <c r="F13" s="11" t="s">
        <v>670</v>
      </c>
      <c r="G13" s="11" t="s">
        <v>671</v>
      </c>
      <c r="H13" s="11" t="s">
        <v>729</v>
      </c>
      <c r="I13" s="11" t="s">
        <v>729</v>
      </c>
      <c r="J13" s="11" t="s">
        <v>729</v>
      </c>
      <c r="K13" s="11" t="s">
        <v>729</v>
      </c>
      <c r="L13" s="11" t="s">
        <v>729</v>
      </c>
      <c r="M13" s="11" t="s">
        <v>729</v>
      </c>
      <c r="N13" s="11" t="s">
        <v>729</v>
      </c>
      <c r="O13" s="11" t="s">
        <v>729</v>
      </c>
      <c r="P13" s="11" t="s">
        <v>729</v>
      </c>
      <c r="Q13" s="11" t="s">
        <v>729</v>
      </c>
      <c r="R13" s="11" t="s">
        <v>729</v>
      </c>
      <c r="S13" s="11" t="s">
        <v>729</v>
      </c>
      <c r="T13" s="11" t="s">
        <v>729</v>
      </c>
      <c r="U13" s="11" t="s">
        <v>729</v>
      </c>
      <c r="V13" s="12" t="s">
        <v>729</v>
      </c>
    </row>
    <row r="14" ht="18" customHeight="1" spans="1:22">
      <c r="A14" s="19"/>
      <c r="B14" s="20" t="s">
        <v>698</v>
      </c>
      <c r="C14" s="20"/>
      <c r="D14" s="20"/>
      <c r="E14" s="6" t="s">
        <v>729</v>
      </c>
      <c r="F14" s="11" t="s">
        <v>766</v>
      </c>
      <c r="G14" s="11" t="s">
        <v>766</v>
      </c>
      <c r="H14" s="11" t="s">
        <v>729</v>
      </c>
      <c r="I14" s="11" t="s">
        <v>729</v>
      </c>
      <c r="J14" s="11" t="s">
        <v>729</v>
      </c>
      <c r="K14" s="11" t="s">
        <v>729</v>
      </c>
      <c r="L14" s="11" t="s">
        <v>729</v>
      </c>
      <c r="M14" s="11" t="s">
        <v>729</v>
      </c>
      <c r="N14" s="11" t="s">
        <v>729</v>
      </c>
      <c r="O14" s="11" t="s">
        <v>729</v>
      </c>
      <c r="P14" s="11" t="s">
        <v>729</v>
      </c>
      <c r="Q14" s="11" t="s">
        <v>729</v>
      </c>
      <c r="R14" s="11" t="s">
        <v>729</v>
      </c>
      <c r="S14" s="11" t="s">
        <v>729</v>
      </c>
      <c r="T14" s="11" t="s">
        <v>729</v>
      </c>
      <c r="U14" s="11" t="s">
        <v>729</v>
      </c>
      <c r="V14" s="12" t="s">
        <v>729</v>
      </c>
    </row>
    <row r="15" ht="18" customHeight="1" spans="1:22">
      <c r="A15" s="19"/>
      <c r="B15" s="20" t="s">
        <v>699</v>
      </c>
      <c r="C15" s="20"/>
      <c r="D15" s="20"/>
      <c r="E15" s="6" t="s">
        <v>729</v>
      </c>
      <c r="F15" s="6" t="s">
        <v>729</v>
      </c>
      <c r="G15" s="6" t="s">
        <v>729</v>
      </c>
      <c r="H15" s="6" t="s">
        <v>729</v>
      </c>
      <c r="I15" s="6" t="s">
        <v>729</v>
      </c>
      <c r="J15" s="6" t="s">
        <v>729</v>
      </c>
      <c r="K15" s="6" t="s">
        <v>729</v>
      </c>
      <c r="L15" s="6" t="s">
        <v>729</v>
      </c>
      <c r="M15" s="6" t="s">
        <v>729</v>
      </c>
      <c r="N15" s="6" t="s">
        <v>729</v>
      </c>
      <c r="O15" s="6" t="s">
        <v>729</v>
      </c>
      <c r="P15" s="6" t="s">
        <v>729</v>
      </c>
      <c r="Q15" s="6" t="s">
        <v>729</v>
      </c>
      <c r="R15" s="6" t="s">
        <v>729</v>
      </c>
      <c r="S15" s="6" t="s">
        <v>729</v>
      </c>
      <c r="T15" s="6" t="s">
        <v>729</v>
      </c>
      <c r="U15" s="6" t="s">
        <v>729</v>
      </c>
      <c r="V15" s="8" t="s">
        <v>729</v>
      </c>
    </row>
    <row r="16" ht="18" customHeight="1" spans="1:22">
      <c r="A16" s="19"/>
      <c r="B16" s="21" t="s">
        <v>700</v>
      </c>
      <c r="C16" s="21"/>
      <c r="D16" s="21"/>
      <c r="E16" s="22" t="s">
        <v>729</v>
      </c>
      <c r="F16" s="22" t="s">
        <v>729</v>
      </c>
      <c r="G16" s="22" t="s">
        <v>729</v>
      </c>
      <c r="H16" s="22" t="s">
        <v>729</v>
      </c>
      <c r="I16" s="22" t="s">
        <v>729</v>
      </c>
      <c r="J16" s="22" t="s">
        <v>729</v>
      </c>
      <c r="K16" s="22" t="s">
        <v>729</v>
      </c>
      <c r="L16" s="22" t="s">
        <v>729</v>
      </c>
      <c r="M16" s="22" t="s">
        <v>729</v>
      </c>
      <c r="N16" s="22" t="s">
        <v>729</v>
      </c>
      <c r="O16" s="22" t="s">
        <v>729</v>
      </c>
      <c r="P16" s="22" t="s">
        <v>729</v>
      </c>
      <c r="Q16" s="22" t="s">
        <v>729</v>
      </c>
      <c r="R16" s="22" t="s">
        <v>729</v>
      </c>
      <c r="S16" s="22" t="s">
        <v>729</v>
      </c>
      <c r="T16" s="22" t="s">
        <v>729</v>
      </c>
      <c r="U16" s="22" t="s">
        <v>729</v>
      </c>
      <c r="V16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3:D13"/>
    <mergeCell ref="B14:D14"/>
    <mergeCell ref="B15:D15"/>
    <mergeCell ref="B16:D16"/>
    <mergeCell ref="A7:A9"/>
    <mergeCell ref="A10:A12"/>
    <mergeCell ref="A13:A16"/>
  </mergeCells>
  <dataValidations count="3">
    <dataValidation type="list" allowBlank="1" sqref="F13:V13">
      <formula1>"N,A,B"</formula1>
    </dataValidation>
    <dataValidation type="list" allowBlank="1" sqref="F14:V14">
      <formula1>"P,F"</formula1>
    </dataValidation>
    <dataValidation type="list" allowBlank="1" sqref="F11:V12 F8:V9">
      <formula1>"O,-"</formula1>
    </dataValidation>
  </dataValidations>
  <pageMargins left="0.7" right="0.7" top="0.75" bottom="0.75" header="0.3" footer="0.3"/>
  <pageSetup paperSize="1" orientation="portrait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7"/>
  <sheetViews>
    <sheetView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135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176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921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3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3</v>
      </c>
      <c r="M5" s="11">
        <v>0</v>
      </c>
      <c r="N5" s="11">
        <v>0</v>
      </c>
      <c r="O5" s="12">
        <v>3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687</v>
      </c>
      <c r="H6" s="14" t="s">
        <v>688</v>
      </c>
      <c r="I6" s="14" t="s">
        <v>729</v>
      </c>
      <c r="J6" s="14" t="s">
        <v>729</v>
      </c>
      <c r="K6" s="14" t="s">
        <v>729</v>
      </c>
      <c r="L6" s="14" t="s">
        <v>729</v>
      </c>
      <c r="M6" s="14" t="s">
        <v>729</v>
      </c>
      <c r="N6" s="14" t="s">
        <v>729</v>
      </c>
      <c r="O6" s="14" t="s">
        <v>729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15.5" customHeight="1" spans="1:22">
      <c r="A7" s="16" t="s">
        <v>690</v>
      </c>
      <c r="B7" s="17" t="s">
        <v>922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28" customHeight="1" spans="1:22">
      <c r="A8" s="16"/>
      <c r="B8" s="6" t="s">
        <v>729</v>
      </c>
      <c r="C8" s="6" t="s">
        <v>729</v>
      </c>
      <c r="D8" s="18" t="s">
        <v>923</v>
      </c>
      <c r="E8" s="6" t="s">
        <v>729</v>
      </c>
      <c r="F8" s="11" t="s">
        <v>752</v>
      </c>
      <c r="G8" s="11" t="s">
        <v>756</v>
      </c>
      <c r="H8" s="11" t="s">
        <v>756</v>
      </c>
      <c r="I8" s="11" t="s">
        <v>729</v>
      </c>
      <c r="J8" s="11" t="s">
        <v>729</v>
      </c>
      <c r="K8" s="11" t="s">
        <v>729</v>
      </c>
      <c r="L8" s="11" t="s">
        <v>729</v>
      </c>
      <c r="M8" s="11" t="s">
        <v>729</v>
      </c>
      <c r="N8" s="11" t="s">
        <v>729</v>
      </c>
      <c r="O8" s="11" t="s">
        <v>729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28" customHeight="1" spans="1:22">
      <c r="A9" s="16"/>
      <c r="B9" s="6" t="s">
        <v>729</v>
      </c>
      <c r="C9" s="6" t="s">
        <v>729</v>
      </c>
      <c r="D9" s="18" t="s">
        <v>924</v>
      </c>
      <c r="E9" s="6" t="s">
        <v>729</v>
      </c>
      <c r="F9" s="11" t="s">
        <v>756</v>
      </c>
      <c r="G9" s="11" t="s">
        <v>752</v>
      </c>
      <c r="H9" s="11" t="s">
        <v>756</v>
      </c>
      <c r="I9" s="11" t="s">
        <v>729</v>
      </c>
      <c r="J9" s="11" t="s">
        <v>729</v>
      </c>
      <c r="K9" s="11" t="s">
        <v>729</v>
      </c>
      <c r="L9" s="11" t="s">
        <v>729</v>
      </c>
      <c r="M9" s="11" t="s">
        <v>729</v>
      </c>
      <c r="N9" s="11" t="s">
        <v>729</v>
      </c>
      <c r="O9" s="11" t="s">
        <v>729</v>
      </c>
      <c r="P9" s="11" t="s">
        <v>729</v>
      </c>
      <c r="Q9" s="11" t="s">
        <v>729</v>
      </c>
      <c r="R9" s="11" t="s">
        <v>729</v>
      </c>
      <c r="S9" s="11" t="s">
        <v>729</v>
      </c>
      <c r="T9" s="11" t="s">
        <v>729</v>
      </c>
      <c r="U9" s="11" t="s">
        <v>729</v>
      </c>
      <c r="V9" s="12" t="s">
        <v>729</v>
      </c>
    </row>
    <row r="10" ht="40.5" customHeight="1" spans="1:22">
      <c r="A10" s="16"/>
      <c r="B10" s="6" t="s">
        <v>729</v>
      </c>
      <c r="C10" s="6" t="s">
        <v>729</v>
      </c>
      <c r="D10" s="18" t="s">
        <v>925</v>
      </c>
      <c r="E10" s="6" t="s">
        <v>729</v>
      </c>
      <c r="F10" s="11" t="s">
        <v>756</v>
      </c>
      <c r="G10" s="11" t="s">
        <v>756</v>
      </c>
      <c r="H10" s="11" t="s">
        <v>752</v>
      </c>
      <c r="I10" s="11" t="s">
        <v>729</v>
      </c>
      <c r="J10" s="11" t="s">
        <v>729</v>
      </c>
      <c r="K10" s="11" t="s">
        <v>729</v>
      </c>
      <c r="L10" s="11" t="s">
        <v>729</v>
      </c>
      <c r="M10" s="11" t="s">
        <v>729</v>
      </c>
      <c r="N10" s="11" t="s">
        <v>729</v>
      </c>
      <c r="O10" s="11" t="s">
        <v>729</v>
      </c>
      <c r="P10" s="11" t="s">
        <v>729</v>
      </c>
      <c r="Q10" s="11" t="s">
        <v>729</v>
      </c>
      <c r="R10" s="11" t="s">
        <v>729</v>
      </c>
      <c r="S10" s="11" t="s">
        <v>729</v>
      </c>
      <c r="T10" s="11" t="s">
        <v>729</v>
      </c>
      <c r="U10" s="11" t="s">
        <v>729</v>
      </c>
      <c r="V10" s="12" t="s">
        <v>729</v>
      </c>
    </row>
    <row r="11" ht="15.5" customHeight="1" spans="1:22">
      <c r="A11" s="16" t="s">
        <v>692</v>
      </c>
      <c r="B11" s="17" t="s">
        <v>693</v>
      </c>
      <c r="C11" s="6" t="s">
        <v>729</v>
      </c>
      <c r="D11" s="6" t="s">
        <v>729</v>
      </c>
      <c r="E11" s="6" t="s">
        <v>729</v>
      </c>
      <c r="F11" s="6" t="s">
        <v>729</v>
      </c>
      <c r="G11" s="6" t="s">
        <v>729</v>
      </c>
      <c r="H11" s="6" t="s">
        <v>729</v>
      </c>
      <c r="I11" s="6" t="s">
        <v>729</v>
      </c>
      <c r="J11" s="6" t="s">
        <v>729</v>
      </c>
      <c r="K11" s="6" t="s">
        <v>729</v>
      </c>
      <c r="L11" s="6" t="s">
        <v>729</v>
      </c>
      <c r="M11" s="6" t="s">
        <v>729</v>
      </c>
      <c r="N11" s="6" t="s">
        <v>729</v>
      </c>
      <c r="O11" s="6" t="s">
        <v>729</v>
      </c>
      <c r="P11" s="6" t="s">
        <v>729</v>
      </c>
      <c r="Q11" s="6" t="s">
        <v>729</v>
      </c>
      <c r="R11" s="6" t="s">
        <v>729</v>
      </c>
      <c r="S11" s="6" t="s">
        <v>729</v>
      </c>
      <c r="T11" s="6" t="s">
        <v>729</v>
      </c>
      <c r="U11" s="6" t="s">
        <v>729</v>
      </c>
      <c r="V11" s="8" t="s">
        <v>729</v>
      </c>
    </row>
    <row r="12" ht="65.5" customHeight="1" spans="1:22">
      <c r="A12" s="16"/>
      <c r="B12" s="6" t="s">
        <v>729</v>
      </c>
      <c r="C12" s="6" t="s">
        <v>729</v>
      </c>
      <c r="D12" s="18" t="s">
        <v>926</v>
      </c>
      <c r="E12" s="6" t="s">
        <v>729</v>
      </c>
      <c r="F12" s="11" t="s">
        <v>752</v>
      </c>
      <c r="G12" s="11" t="s">
        <v>752</v>
      </c>
      <c r="H12" s="11" t="s">
        <v>756</v>
      </c>
      <c r="I12" s="11" t="s">
        <v>729</v>
      </c>
      <c r="J12" s="11" t="s">
        <v>729</v>
      </c>
      <c r="K12" s="11" t="s">
        <v>729</v>
      </c>
      <c r="L12" s="11" t="s">
        <v>729</v>
      </c>
      <c r="M12" s="11" t="s">
        <v>729</v>
      </c>
      <c r="N12" s="11" t="s">
        <v>729</v>
      </c>
      <c r="O12" s="11" t="s">
        <v>729</v>
      </c>
      <c r="P12" s="11" t="s">
        <v>729</v>
      </c>
      <c r="Q12" s="11" t="s">
        <v>729</v>
      </c>
      <c r="R12" s="11" t="s">
        <v>729</v>
      </c>
      <c r="S12" s="11" t="s">
        <v>729</v>
      </c>
      <c r="T12" s="11" t="s">
        <v>729</v>
      </c>
      <c r="U12" s="11" t="s">
        <v>729</v>
      </c>
      <c r="V12" s="12" t="s">
        <v>729</v>
      </c>
    </row>
    <row r="13" ht="40.5" customHeight="1" spans="1:22">
      <c r="A13" s="16"/>
      <c r="B13" s="6" t="s">
        <v>729</v>
      </c>
      <c r="C13" s="6" t="s">
        <v>729</v>
      </c>
      <c r="D13" s="18" t="s">
        <v>927</v>
      </c>
      <c r="E13" s="6" t="s">
        <v>729</v>
      </c>
      <c r="F13" s="11" t="s">
        <v>756</v>
      </c>
      <c r="G13" s="11" t="s">
        <v>756</v>
      </c>
      <c r="H13" s="11" t="s">
        <v>752</v>
      </c>
      <c r="I13" s="11" t="s">
        <v>729</v>
      </c>
      <c r="J13" s="11" t="s">
        <v>729</v>
      </c>
      <c r="K13" s="11" t="s">
        <v>729</v>
      </c>
      <c r="L13" s="11" t="s">
        <v>729</v>
      </c>
      <c r="M13" s="11" t="s">
        <v>729</v>
      </c>
      <c r="N13" s="11" t="s">
        <v>729</v>
      </c>
      <c r="O13" s="11" t="s">
        <v>729</v>
      </c>
      <c r="P13" s="11" t="s">
        <v>729</v>
      </c>
      <c r="Q13" s="11" t="s">
        <v>729</v>
      </c>
      <c r="R13" s="11" t="s">
        <v>729</v>
      </c>
      <c r="S13" s="11" t="s">
        <v>729</v>
      </c>
      <c r="T13" s="11" t="s">
        <v>729</v>
      </c>
      <c r="U13" s="11" t="s">
        <v>729</v>
      </c>
      <c r="V13" s="12" t="s">
        <v>729</v>
      </c>
    </row>
    <row r="14" ht="18" customHeight="1" spans="1:22">
      <c r="A14" s="19" t="s">
        <v>696</v>
      </c>
      <c r="B14" s="20" t="s">
        <v>765</v>
      </c>
      <c r="C14" s="20"/>
      <c r="D14" s="20"/>
      <c r="E14" s="6" t="s">
        <v>729</v>
      </c>
      <c r="F14" s="11" t="s">
        <v>670</v>
      </c>
      <c r="G14" s="11" t="s">
        <v>670</v>
      </c>
      <c r="H14" s="11" t="s">
        <v>670</v>
      </c>
      <c r="I14" s="11" t="s">
        <v>729</v>
      </c>
      <c r="J14" s="11" t="s">
        <v>729</v>
      </c>
      <c r="K14" s="11" t="s">
        <v>729</v>
      </c>
      <c r="L14" s="11" t="s">
        <v>729</v>
      </c>
      <c r="M14" s="11" t="s">
        <v>729</v>
      </c>
      <c r="N14" s="11" t="s">
        <v>729</v>
      </c>
      <c r="O14" s="11" t="s">
        <v>729</v>
      </c>
      <c r="P14" s="11" t="s">
        <v>729</v>
      </c>
      <c r="Q14" s="11" t="s">
        <v>729</v>
      </c>
      <c r="R14" s="11" t="s">
        <v>729</v>
      </c>
      <c r="S14" s="11" t="s">
        <v>729</v>
      </c>
      <c r="T14" s="11" t="s">
        <v>729</v>
      </c>
      <c r="U14" s="11" t="s">
        <v>729</v>
      </c>
      <c r="V14" s="12" t="s">
        <v>729</v>
      </c>
    </row>
    <row r="15" ht="18" customHeight="1" spans="1:22">
      <c r="A15" s="19"/>
      <c r="B15" s="20" t="s">
        <v>698</v>
      </c>
      <c r="C15" s="20"/>
      <c r="D15" s="20"/>
      <c r="E15" s="6" t="s">
        <v>729</v>
      </c>
      <c r="F15" s="11" t="s">
        <v>766</v>
      </c>
      <c r="G15" s="11" t="s">
        <v>766</v>
      </c>
      <c r="H15" s="11" t="s">
        <v>766</v>
      </c>
      <c r="I15" s="11" t="s">
        <v>729</v>
      </c>
      <c r="J15" s="11" t="s">
        <v>729</v>
      </c>
      <c r="K15" s="11" t="s">
        <v>729</v>
      </c>
      <c r="L15" s="11" t="s">
        <v>729</v>
      </c>
      <c r="M15" s="11" t="s">
        <v>729</v>
      </c>
      <c r="N15" s="11" t="s">
        <v>729</v>
      </c>
      <c r="O15" s="11" t="s">
        <v>729</v>
      </c>
      <c r="P15" s="11" t="s">
        <v>729</v>
      </c>
      <c r="Q15" s="11" t="s">
        <v>729</v>
      </c>
      <c r="R15" s="11" t="s">
        <v>729</v>
      </c>
      <c r="S15" s="11" t="s">
        <v>729</v>
      </c>
      <c r="T15" s="11" t="s">
        <v>729</v>
      </c>
      <c r="U15" s="11" t="s">
        <v>729</v>
      </c>
      <c r="V15" s="12" t="s">
        <v>729</v>
      </c>
    </row>
    <row r="16" ht="18" customHeight="1" spans="1:22">
      <c r="A16" s="19"/>
      <c r="B16" s="20" t="s">
        <v>699</v>
      </c>
      <c r="C16" s="20"/>
      <c r="D16" s="20"/>
      <c r="E16" s="6" t="s">
        <v>729</v>
      </c>
      <c r="F16" s="6" t="s">
        <v>729</v>
      </c>
      <c r="G16" s="6" t="s">
        <v>729</v>
      </c>
      <c r="H16" s="6" t="s">
        <v>729</v>
      </c>
      <c r="I16" s="6" t="s">
        <v>729</v>
      </c>
      <c r="J16" s="6" t="s">
        <v>729</v>
      </c>
      <c r="K16" s="6" t="s">
        <v>729</v>
      </c>
      <c r="L16" s="6" t="s">
        <v>729</v>
      </c>
      <c r="M16" s="6" t="s">
        <v>729</v>
      </c>
      <c r="N16" s="6" t="s">
        <v>729</v>
      </c>
      <c r="O16" s="6" t="s">
        <v>729</v>
      </c>
      <c r="P16" s="6" t="s">
        <v>729</v>
      </c>
      <c r="Q16" s="6" t="s">
        <v>729</v>
      </c>
      <c r="R16" s="6" t="s">
        <v>729</v>
      </c>
      <c r="S16" s="6" t="s">
        <v>729</v>
      </c>
      <c r="T16" s="6" t="s">
        <v>729</v>
      </c>
      <c r="U16" s="6" t="s">
        <v>729</v>
      </c>
      <c r="V16" s="8" t="s">
        <v>729</v>
      </c>
    </row>
    <row r="17" ht="18" customHeight="1" spans="1:22">
      <c r="A17" s="19"/>
      <c r="B17" s="21" t="s">
        <v>700</v>
      </c>
      <c r="C17" s="21"/>
      <c r="D17" s="21"/>
      <c r="E17" s="22" t="s">
        <v>729</v>
      </c>
      <c r="F17" s="22" t="s">
        <v>729</v>
      </c>
      <c r="G17" s="22" t="s">
        <v>729</v>
      </c>
      <c r="H17" s="22" t="s">
        <v>729</v>
      </c>
      <c r="I17" s="22" t="s">
        <v>729</v>
      </c>
      <c r="J17" s="22" t="s">
        <v>729</v>
      </c>
      <c r="K17" s="22" t="s">
        <v>729</v>
      </c>
      <c r="L17" s="22" t="s">
        <v>729</v>
      </c>
      <c r="M17" s="22" t="s">
        <v>729</v>
      </c>
      <c r="N17" s="22" t="s">
        <v>729</v>
      </c>
      <c r="O17" s="22" t="s">
        <v>729</v>
      </c>
      <c r="P17" s="22" t="s">
        <v>729</v>
      </c>
      <c r="Q17" s="22" t="s">
        <v>729</v>
      </c>
      <c r="R17" s="22" t="s">
        <v>729</v>
      </c>
      <c r="S17" s="22" t="s">
        <v>729</v>
      </c>
      <c r="T17" s="22" t="s">
        <v>729</v>
      </c>
      <c r="U17" s="22" t="s">
        <v>729</v>
      </c>
      <c r="V17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4:D14"/>
    <mergeCell ref="B15:D15"/>
    <mergeCell ref="B16:D16"/>
    <mergeCell ref="B17:D17"/>
    <mergeCell ref="A7:A10"/>
    <mergeCell ref="A11:A13"/>
    <mergeCell ref="A14:A17"/>
  </mergeCells>
  <dataValidations count="3">
    <dataValidation type="list" allowBlank="1" sqref="F10:V10 F8:V9 F12:V13">
      <formula1>"O,-"</formula1>
    </dataValidation>
    <dataValidation type="list" allowBlank="1" sqref="F14:V14">
      <formula1>"N,A,B"</formula1>
    </dataValidation>
    <dataValidation type="list" allowBlank="1" sqref="F15:V15">
      <formula1>"P,F"</formula1>
    </dataValidation>
  </dataValidations>
  <pageMargins left="0.7" right="0.7" top="0.75" bottom="0.75" header="0.3" footer="0.3"/>
  <pageSetup paperSize="1" orientation="portrait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9"/>
  <sheetViews>
    <sheetView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135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181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928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3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3</v>
      </c>
      <c r="M5" s="11">
        <v>0</v>
      </c>
      <c r="N5" s="11">
        <v>0</v>
      </c>
      <c r="O5" s="12">
        <v>3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687</v>
      </c>
      <c r="H6" s="14" t="s">
        <v>688</v>
      </c>
      <c r="I6" s="14" t="s">
        <v>729</v>
      </c>
      <c r="J6" s="14" t="s">
        <v>729</v>
      </c>
      <c r="K6" s="14" t="s">
        <v>729</v>
      </c>
      <c r="L6" s="14" t="s">
        <v>729</v>
      </c>
      <c r="M6" s="14" t="s">
        <v>729</v>
      </c>
      <c r="N6" s="14" t="s">
        <v>729</v>
      </c>
      <c r="O6" s="14" t="s">
        <v>729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28" customHeight="1" spans="1:22">
      <c r="A7" s="16" t="s">
        <v>690</v>
      </c>
      <c r="B7" s="17" t="s">
        <v>929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53" customHeight="1" spans="1:22">
      <c r="A8" s="16"/>
      <c r="B8" s="6" t="s">
        <v>729</v>
      </c>
      <c r="C8" s="6" t="s">
        <v>729</v>
      </c>
      <c r="D8" s="18" t="s">
        <v>930</v>
      </c>
      <c r="E8" s="6" t="s">
        <v>729</v>
      </c>
      <c r="F8" s="11" t="s">
        <v>752</v>
      </c>
      <c r="G8" s="11" t="s">
        <v>756</v>
      </c>
      <c r="H8" s="11" t="s">
        <v>756</v>
      </c>
      <c r="I8" s="11" t="s">
        <v>729</v>
      </c>
      <c r="J8" s="11" t="s">
        <v>729</v>
      </c>
      <c r="K8" s="11" t="s">
        <v>729</v>
      </c>
      <c r="L8" s="11" t="s">
        <v>729</v>
      </c>
      <c r="M8" s="11" t="s">
        <v>729</v>
      </c>
      <c r="N8" s="11" t="s">
        <v>729</v>
      </c>
      <c r="O8" s="11" t="s">
        <v>729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40.5" customHeight="1" spans="1:22">
      <c r="A9" s="16"/>
      <c r="B9" s="6" t="s">
        <v>729</v>
      </c>
      <c r="C9" s="6" t="s">
        <v>729</v>
      </c>
      <c r="D9" s="18" t="s">
        <v>931</v>
      </c>
      <c r="E9" s="6" t="s">
        <v>729</v>
      </c>
      <c r="F9" s="11" t="s">
        <v>756</v>
      </c>
      <c r="G9" s="11" t="s">
        <v>752</v>
      </c>
      <c r="H9" s="11" t="s">
        <v>756</v>
      </c>
      <c r="I9" s="11" t="s">
        <v>729</v>
      </c>
      <c r="J9" s="11" t="s">
        <v>729</v>
      </c>
      <c r="K9" s="11" t="s">
        <v>729</v>
      </c>
      <c r="L9" s="11" t="s">
        <v>729</v>
      </c>
      <c r="M9" s="11" t="s">
        <v>729</v>
      </c>
      <c r="N9" s="11" t="s">
        <v>729</v>
      </c>
      <c r="O9" s="11" t="s">
        <v>729</v>
      </c>
      <c r="P9" s="11" t="s">
        <v>729</v>
      </c>
      <c r="Q9" s="11" t="s">
        <v>729</v>
      </c>
      <c r="R9" s="11" t="s">
        <v>729</v>
      </c>
      <c r="S9" s="11" t="s">
        <v>729</v>
      </c>
      <c r="T9" s="11" t="s">
        <v>729</v>
      </c>
      <c r="U9" s="11" t="s">
        <v>729</v>
      </c>
      <c r="V9" s="12" t="s">
        <v>729</v>
      </c>
    </row>
    <row r="10" ht="40.5" customHeight="1" spans="1:22">
      <c r="A10" s="16"/>
      <c r="B10" s="6" t="s">
        <v>729</v>
      </c>
      <c r="C10" s="6" t="s">
        <v>729</v>
      </c>
      <c r="D10" s="18" t="s">
        <v>932</v>
      </c>
      <c r="E10" s="6" t="s">
        <v>729</v>
      </c>
      <c r="F10" s="11" t="s">
        <v>756</v>
      </c>
      <c r="G10" s="11" t="s">
        <v>756</v>
      </c>
      <c r="H10" s="11" t="s">
        <v>752</v>
      </c>
      <c r="I10" s="11" t="s">
        <v>729</v>
      </c>
      <c r="J10" s="11" t="s">
        <v>729</v>
      </c>
      <c r="K10" s="11" t="s">
        <v>729</v>
      </c>
      <c r="L10" s="11" t="s">
        <v>729</v>
      </c>
      <c r="M10" s="11" t="s">
        <v>729</v>
      </c>
      <c r="N10" s="11" t="s">
        <v>729</v>
      </c>
      <c r="O10" s="11" t="s">
        <v>729</v>
      </c>
      <c r="P10" s="11" t="s">
        <v>729</v>
      </c>
      <c r="Q10" s="11" t="s">
        <v>729</v>
      </c>
      <c r="R10" s="11" t="s">
        <v>729</v>
      </c>
      <c r="S10" s="11" t="s">
        <v>729</v>
      </c>
      <c r="T10" s="11" t="s">
        <v>729</v>
      </c>
      <c r="U10" s="11" t="s">
        <v>729</v>
      </c>
      <c r="V10" s="12" t="s">
        <v>729</v>
      </c>
    </row>
    <row r="11" ht="15.5" customHeight="1" spans="1:22">
      <c r="A11" s="16" t="s">
        <v>692</v>
      </c>
      <c r="B11" s="17" t="s">
        <v>693</v>
      </c>
      <c r="C11" s="6" t="s">
        <v>729</v>
      </c>
      <c r="D11" s="6" t="s">
        <v>729</v>
      </c>
      <c r="E11" s="6" t="s">
        <v>729</v>
      </c>
      <c r="F11" s="6" t="s">
        <v>729</v>
      </c>
      <c r="G11" s="6" t="s">
        <v>729</v>
      </c>
      <c r="H11" s="6" t="s">
        <v>729</v>
      </c>
      <c r="I11" s="6" t="s">
        <v>729</v>
      </c>
      <c r="J11" s="6" t="s">
        <v>729</v>
      </c>
      <c r="K11" s="6" t="s">
        <v>729</v>
      </c>
      <c r="L11" s="6" t="s">
        <v>729</v>
      </c>
      <c r="M11" s="6" t="s">
        <v>729</v>
      </c>
      <c r="N11" s="6" t="s">
        <v>729</v>
      </c>
      <c r="O11" s="6" t="s">
        <v>729</v>
      </c>
      <c r="P11" s="6" t="s">
        <v>729</v>
      </c>
      <c r="Q11" s="6" t="s">
        <v>729</v>
      </c>
      <c r="R11" s="6" t="s">
        <v>729</v>
      </c>
      <c r="S11" s="6" t="s">
        <v>729</v>
      </c>
      <c r="T11" s="6" t="s">
        <v>729</v>
      </c>
      <c r="U11" s="6" t="s">
        <v>729</v>
      </c>
      <c r="V11" s="8" t="s">
        <v>729</v>
      </c>
    </row>
    <row r="12" ht="78" customHeight="1" spans="1:22">
      <c r="A12" s="16"/>
      <c r="B12" s="6" t="s">
        <v>729</v>
      </c>
      <c r="C12" s="6" t="s">
        <v>729</v>
      </c>
      <c r="D12" s="18" t="s">
        <v>933</v>
      </c>
      <c r="E12" s="6" t="s">
        <v>729</v>
      </c>
      <c r="F12" s="11" t="s">
        <v>752</v>
      </c>
      <c r="G12" s="11" t="s">
        <v>756</v>
      </c>
      <c r="H12" s="11" t="s">
        <v>756</v>
      </c>
      <c r="I12" s="11" t="s">
        <v>729</v>
      </c>
      <c r="J12" s="11" t="s">
        <v>729</v>
      </c>
      <c r="K12" s="11" t="s">
        <v>729</v>
      </c>
      <c r="L12" s="11" t="s">
        <v>729</v>
      </c>
      <c r="M12" s="11" t="s">
        <v>729</v>
      </c>
      <c r="N12" s="11" t="s">
        <v>729</v>
      </c>
      <c r="O12" s="11" t="s">
        <v>729</v>
      </c>
      <c r="P12" s="11" t="s">
        <v>729</v>
      </c>
      <c r="Q12" s="11" t="s">
        <v>729</v>
      </c>
      <c r="R12" s="11" t="s">
        <v>729</v>
      </c>
      <c r="S12" s="11" t="s">
        <v>729</v>
      </c>
      <c r="T12" s="11" t="s">
        <v>729</v>
      </c>
      <c r="U12" s="11" t="s">
        <v>729</v>
      </c>
      <c r="V12" s="12" t="s">
        <v>729</v>
      </c>
    </row>
    <row r="13" ht="65.5" customHeight="1" spans="1:22">
      <c r="A13" s="16"/>
      <c r="B13" s="6" t="s">
        <v>729</v>
      </c>
      <c r="C13" s="6" t="s">
        <v>729</v>
      </c>
      <c r="D13" s="18" t="s">
        <v>934</v>
      </c>
      <c r="E13" s="6" t="s">
        <v>729</v>
      </c>
      <c r="F13" s="11" t="s">
        <v>752</v>
      </c>
      <c r="G13" s="11" t="s">
        <v>756</v>
      </c>
      <c r="H13" s="11" t="s">
        <v>756</v>
      </c>
      <c r="I13" s="11" t="s">
        <v>729</v>
      </c>
      <c r="J13" s="11" t="s">
        <v>729</v>
      </c>
      <c r="K13" s="11" t="s">
        <v>729</v>
      </c>
      <c r="L13" s="11" t="s">
        <v>729</v>
      </c>
      <c r="M13" s="11" t="s">
        <v>729</v>
      </c>
      <c r="N13" s="11" t="s">
        <v>729</v>
      </c>
      <c r="O13" s="11" t="s">
        <v>729</v>
      </c>
      <c r="P13" s="11" t="s">
        <v>729</v>
      </c>
      <c r="Q13" s="11" t="s">
        <v>729</v>
      </c>
      <c r="R13" s="11" t="s">
        <v>729</v>
      </c>
      <c r="S13" s="11" t="s">
        <v>729</v>
      </c>
      <c r="T13" s="11" t="s">
        <v>729</v>
      </c>
      <c r="U13" s="11" t="s">
        <v>729</v>
      </c>
      <c r="V13" s="12" t="s">
        <v>729</v>
      </c>
    </row>
    <row r="14" ht="65.5" customHeight="1" spans="1:22">
      <c r="A14" s="16"/>
      <c r="B14" s="6" t="s">
        <v>729</v>
      </c>
      <c r="C14" s="6" t="s">
        <v>729</v>
      </c>
      <c r="D14" s="18" t="s">
        <v>935</v>
      </c>
      <c r="E14" s="6" t="s">
        <v>729</v>
      </c>
      <c r="F14" s="11" t="s">
        <v>752</v>
      </c>
      <c r="G14" s="11" t="s">
        <v>756</v>
      </c>
      <c r="H14" s="11" t="s">
        <v>756</v>
      </c>
      <c r="I14" s="11" t="s">
        <v>729</v>
      </c>
      <c r="J14" s="11" t="s">
        <v>729</v>
      </c>
      <c r="K14" s="11" t="s">
        <v>729</v>
      </c>
      <c r="L14" s="11" t="s">
        <v>729</v>
      </c>
      <c r="M14" s="11" t="s">
        <v>729</v>
      </c>
      <c r="N14" s="11" t="s">
        <v>729</v>
      </c>
      <c r="O14" s="11" t="s">
        <v>729</v>
      </c>
      <c r="P14" s="11" t="s">
        <v>729</v>
      </c>
      <c r="Q14" s="11" t="s">
        <v>729</v>
      </c>
      <c r="R14" s="11" t="s">
        <v>729</v>
      </c>
      <c r="S14" s="11" t="s">
        <v>729</v>
      </c>
      <c r="T14" s="11" t="s">
        <v>729</v>
      </c>
      <c r="U14" s="11" t="s">
        <v>729</v>
      </c>
      <c r="V14" s="12" t="s">
        <v>729</v>
      </c>
    </row>
    <row r="15" ht="40.5" customHeight="1" spans="1:22">
      <c r="A15" s="16"/>
      <c r="B15" s="6" t="s">
        <v>729</v>
      </c>
      <c r="C15" s="6" t="s">
        <v>729</v>
      </c>
      <c r="D15" s="18" t="s">
        <v>936</v>
      </c>
      <c r="E15" s="6" t="s">
        <v>729</v>
      </c>
      <c r="F15" s="11" t="s">
        <v>756</v>
      </c>
      <c r="G15" s="11" t="s">
        <v>752</v>
      </c>
      <c r="H15" s="11" t="s">
        <v>752</v>
      </c>
      <c r="I15" s="11" t="s">
        <v>729</v>
      </c>
      <c r="J15" s="11" t="s">
        <v>729</v>
      </c>
      <c r="K15" s="11" t="s">
        <v>729</v>
      </c>
      <c r="L15" s="11" t="s">
        <v>729</v>
      </c>
      <c r="M15" s="11" t="s">
        <v>729</v>
      </c>
      <c r="N15" s="11" t="s">
        <v>729</v>
      </c>
      <c r="O15" s="11" t="s">
        <v>729</v>
      </c>
      <c r="P15" s="11" t="s">
        <v>729</v>
      </c>
      <c r="Q15" s="11" t="s">
        <v>729</v>
      </c>
      <c r="R15" s="11" t="s">
        <v>729</v>
      </c>
      <c r="S15" s="11" t="s">
        <v>729</v>
      </c>
      <c r="T15" s="11" t="s">
        <v>729</v>
      </c>
      <c r="U15" s="11" t="s">
        <v>729</v>
      </c>
      <c r="V15" s="12" t="s">
        <v>729</v>
      </c>
    </row>
    <row r="16" ht="18" customHeight="1" spans="1:22">
      <c r="A16" s="19" t="s">
        <v>696</v>
      </c>
      <c r="B16" s="20" t="s">
        <v>765</v>
      </c>
      <c r="C16" s="20"/>
      <c r="D16" s="20"/>
      <c r="E16" s="6" t="s">
        <v>729</v>
      </c>
      <c r="F16" s="11" t="s">
        <v>670</v>
      </c>
      <c r="G16" s="11" t="s">
        <v>670</v>
      </c>
      <c r="H16" s="11" t="s">
        <v>670</v>
      </c>
      <c r="I16" s="11" t="s">
        <v>729</v>
      </c>
      <c r="J16" s="11" t="s">
        <v>729</v>
      </c>
      <c r="K16" s="11" t="s">
        <v>729</v>
      </c>
      <c r="L16" s="11" t="s">
        <v>729</v>
      </c>
      <c r="M16" s="11" t="s">
        <v>729</v>
      </c>
      <c r="N16" s="11" t="s">
        <v>729</v>
      </c>
      <c r="O16" s="11" t="s">
        <v>729</v>
      </c>
      <c r="P16" s="11" t="s">
        <v>729</v>
      </c>
      <c r="Q16" s="11" t="s">
        <v>729</v>
      </c>
      <c r="R16" s="11" t="s">
        <v>729</v>
      </c>
      <c r="S16" s="11" t="s">
        <v>729</v>
      </c>
      <c r="T16" s="11" t="s">
        <v>729</v>
      </c>
      <c r="U16" s="11" t="s">
        <v>729</v>
      </c>
      <c r="V16" s="12" t="s">
        <v>729</v>
      </c>
    </row>
    <row r="17" ht="18" customHeight="1" spans="1:22">
      <c r="A17" s="19"/>
      <c r="B17" s="20" t="s">
        <v>698</v>
      </c>
      <c r="C17" s="20"/>
      <c r="D17" s="20"/>
      <c r="E17" s="6" t="s">
        <v>729</v>
      </c>
      <c r="F17" s="11" t="s">
        <v>766</v>
      </c>
      <c r="G17" s="11" t="s">
        <v>766</v>
      </c>
      <c r="H17" s="11" t="s">
        <v>766</v>
      </c>
      <c r="I17" s="11" t="s">
        <v>729</v>
      </c>
      <c r="J17" s="11" t="s">
        <v>729</v>
      </c>
      <c r="K17" s="11" t="s">
        <v>729</v>
      </c>
      <c r="L17" s="11" t="s">
        <v>729</v>
      </c>
      <c r="M17" s="11" t="s">
        <v>729</v>
      </c>
      <c r="N17" s="11" t="s">
        <v>729</v>
      </c>
      <c r="O17" s="11" t="s">
        <v>729</v>
      </c>
      <c r="P17" s="11" t="s">
        <v>729</v>
      </c>
      <c r="Q17" s="11" t="s">
        <v>729</v>
      </c>
      <c r="R17" s="11" t="s">
        <v>729</v>
      </c>
      <c r="S17" s="11" t="s">
        <v>729</v>
      </c>
      <c r="T17" s="11" t="s">
        <v>729</v>
      </c>
      <c r="U17" s="11" t="s">
        <v>729</v>
      </c>
      <c r="V17" s="12" t="s">
        <v>729</v>
      </c>
    </row>
    <row r="18" ht="18" customHeight="1" spans="1:22">
      <c r="A18" s="19"/>
      <c r="B18" s="20" t="s">
        <v>699</v>
      </c>
      <c r="C18" s="20"/>
      <c r="D18" s="20"/>
      <c r="E18" s="6" t="s">
        <v>729</v>
      </c>
      <c r="F18" s="6" t="s">
        <v>729</v>
      </c>
      <c r="G18" s="6" t="s">
        <v>729</v>
      </c>
      <c r="H18" s="6" t="s">
        <v>729</v>
      </c>
      <c r="I18" s="6" t="s">
        <v>729</v>
      </c>
      <c r="J18" s="6" t="s">
        <v>729</v>
      </c>
      <c r="K18" s="6" t="s">
        <v>729</v>
      </c>
      <c r="L18" s="6" t="s">
        <v>729</v>
      </c>
      <c r="M18" s="6" t="s">
        <v>729</v>
      </c>
      <c r="N18" s="6" t="s">
        <v>729</v>
      </c>
      <c r="O18" s="6" t="s">
        <v>729</v>
      </c>
      <c r="P18" s="6" t="s">
        <v>729</v>
      </c>
      <c r="Q18" s="6" t="s">
        <v>729</v>
      </c>
      <c r="R18" s="6" t="s">
        <v>729</v>
      </c>
      <c r="S18" s="6" t="s">
        <v>729</v>
      </c>
      <c r="T18" s="6" t="s">
        <v>729</v>
      </c>
      <c r="U18" s="6" t="s">
        <v>729</v>
      </c>
      <c r="V18" s="8" t="s">
        <v>729</v>
      </c>
    </row>
    <row r="19" ht="18" customHeight="1" spans="1:22">
      <c r="A19" s="19"/>
      <c r="B19" s="21" t="s">
        <v>700</v>
      </c>
      <c r="C19" s="21"/>
      <c r="D19" s="21"/>
      <c r="E19" s="22" t="s">
        <v>729</v>
      </c>
      <c r="F19" s="22" t="s">
        <v>729</v>
      </c>
      <c r="G19" s="22" t="s">
        <v>729</v>
      </c>
      <c r="H19" s="22" t="s">
        <v>729</v>
      </c>
      <c r="I19" s="22" t="s">
        <v>729</v>
      </c>
      <c r="J19" s="22" t="s">
        <v>729</v>
      </c>
      <c r="K19" s="22" t="s">
        <v>729</v>
      </c>
      <c r="L19" s="22" t="s">
        <v>729</v>
      </c>
      <c r="M19" s="22" t="s">
        <v>729</v>
      </c>
      <c r="N19" s="22" t="s">
        <v>729</v>
      </c>
      <c r="O19" s="22" t="s">
        <v>729</v>
      </c>
      <c r="P19" s="22" t="s">
        <v>729</v>
      </c>
      <c r="Q19" s="22" t="s">
        <v>729</v>
      </c>
      <c r="R19" s="22" t="s">
        <v>729</v>
      </c>
      <c r="S19" s="22" t="s">
        <v>729</v>
      </c>
      <c r="T19" s="22" t="s">
        <v>729</v>
      </c>
      <c r="U19" s="22" t="s">
        <v>729</v>
      </c>
      <c r="V19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6:D16"/>
    <mergeCell ref="B17:D17"/>
    <mergeCell ref="B18:D18"/>
    <mergeCell ref="B19:D19"/>
    <mergeCell ref="A7:A10"/>
    <mergeCell ref="A11:A15"/>
    <mergeCell ref="A16:A19"/>
  </mergeCells>
  <dataValidations count="3">
    <dataValidation type="list" allowBlank="1" sqref="F10:V10 F12:V15 F8:V9">
      <formula1>"O,-"</formula1>
    </dataValidation>
    <dataValidation type="list" allowBlank="1" sqref="F16:V16">
      <formula1>"N,A,B"</formula1>
    </dataValidation>
    <dataValidation type="list" allowBlank="1" sqref="F17:V17">
      <formula1>"P,F"</formula1>
    </dataValidation>
  </dataValidations>
  <pageMargins left="0.7" right="0.7" top="0.75" bottom="0.75" header="0.3" footer="0.3"/>
  <pageSetup paperSize="1" orientation="portrait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8"/>
  <sheetViews>
    <sheetView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135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186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937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3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1</v>
      </c>
      <c r="M5" s="11">
        <v>2</v>
      </c>
      <c r="N5" s="11">
        <v>0</v>
      </c>
      <c r="O5" s="12">
        <v>3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687</v>
      </c>
      <c r="H6" s="14" t="s">
        <v>688</v>
      </c>
      <c r="I6" s="14" t="s">
        <v>729</v>
      </c>
      <c r="J6" s="14" t="s">
        <v>729</v>
      </c>
      <c r="K6" s="14" t="s">
        <v>729</v>
      </c>
      <c r="L6" s="14" t="s">
        <v>729</v>
      </c>
      <c r="M6" s="14" t="s">
        <v>729</v>
      </c>
      <c r="N6" s="14" t="s">
        <v>729</v>
      </c>
      <c r="O6" s="14" t="s">
        <v>729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15.5" customHeight="1" spans="1:22">
      <c r="A7" s="16" t="s">
        <v>690</v>
      </c>
      <c r="B7" s="17" t="s">
        <v>938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40.5" customHeight="1" spans="1:22">
      <c r="A8" s="16"/>
      <c r="B8" s="6" t="s">
        <v>729</v>
      </c>
      <c r="C8" s="6" t="s">
        <v>729</v>
      </c>
      <c r="D8" s="18" t="s">
        <v>939</v>
      </c>
      <c r="E8" s="6" t="s">
        <v>729</v>
      </c>
      <c r="F8" s="11" t="s">
        <v>752</v>
      </c>
      <c r="G8" s="11" t="s">
        <v>756</v>
      </c>
      <c r="H8" s="11" t="s">
        <v>756</v>
      </c>
      <c r="I8" s="11" t="s">
        <v>729</v>
      </c>
      <c r="J8" s="11" t="s">
        <v>729</v>
      </c>
      <c r="K8" s="11" t="s">
        <v>729</v>
      </c>
      <c r="L8" s="11" t="s">
        <v>729</v>
      </c>
      <c r="M8" s="11" t="s">
        <v>729</v>
      </c>
      <c r="N8" s="11" t="s">
        <v>729</v>
      </c>
      <c r="O8" s="11" t="s">
        <v>729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53" customHeight="1" spans="1:22">
      <c r="A9" s="16"/>
      <c r="B9" s="6" t="s">
        <v>729</v>
      </c>
      <c r="C9" s="6" t="s">
        <v>729</v>
      </c>
      <c r="D9" s="18" t="s">
        <v>940</v>
      </c>
      <c r="E9" s="6" t="s">
        <v>729</v>
      </c>
      <c r="F9" s="11" t="s">
        <v>756</v>
      </c>
      <c r="G9" s="11" t="s">
        <v>752</v>
      </c>
      <c r="H9" s="11" t="s">
        <v>756</v>
      </c>
      <c r="I9" s="11" t="s">
        <v>729</v>
      </c>
      <c r="J9" s="11" t="s">
        <v>729</v>
      </c>
      <c r="K9" s="11" t="s">
        <v>729</v>
      </c>
      <c r="L9" s="11" t="s">
        <v>729</v>
      </c>
      <c r="M9" s="11" t="s">
        <v>729</v>
      </c>
      <c r="N9" s="11" t="s">
        <v>729</v>
      </c>
      <c r="O9" s="11" t="s">
        <v>729</v>
      </c>
      <c r="P9" s="11" t="s">
        <v>729</v>
      </c>
      <c r="Q9" s="11" t="s">
        <v>729</v>
      </c>
      <c r="R9" s="11" t="s">
        <v>729</v>
      </c>
      <c r="S9" s="11" t="s">
        <v>729</v>
      </c>
      <c r="T9" s="11" t="s">
        <v>729</v>
      </c>
      <c r="U9" s="11" t="s">
        <v>729</v>
      </c>
      <c r="V9" s="12" t="s">
        <v>729</v>
      </c>
    </row>
    <row r="10" ht="53" customHeight="1" spans="1:22">
      <c r="A10" s="16"/>
      <c r="B10" s="6" t="s">
        <v>729</v>
      </c>
      <c r="C10" s="6" t="s">
        <v>729</v>
      </c>
      <c r="D10" s="18" t="s">
        <v>941</v>
      </c>
      <c r="E10" s="6" t="s">
        <v>729</v>
      </c>
      <c r="F10" s="11" t="s">
        <v>756</v>
      </c>
      <c r="G10" s="11" t="s">
        <v>756</v>
      </c>
      <c r="H10" s="11" t="s">
        <v>752</v>
      </c>
      <c r="I10" s="11" t="s">
        <v>729</v>
      </c>
      <c r="J10" s="11" t="s">
        <v>729</v>
      </c>
      <c r="K10" s="11" t="s">
        <v>729</v>
      </c>
      <c r="L10" s="11" t="s">
        <v>729</v>
      </c>
      <c r="M10" s="11" t="s">
        <v>729</v>
      </c>
      <c r="N10" s="11" t="s">
        <v>729</v>
      </c>
      <c r="O10" s="11" t="s">
        <v>729</v>
      </c>
      <c r="P10" s="11" t="s">
        <v>729</v>
      </c>
      <c r="Q10" s="11" t="s">
        <v>729</v>
      </c>
      <c r="R10" s="11" t="s">
        <v>729</v>
      </c>
      <c r="S10" s="11" t="s">
        <v>729</v>
      </c>
      <c r="T10" s="11" t="s">
        <v>729</v>
      </c>
      <c r="U10" s="11" t="s">
        <v>729</v>
      </c>
      <c r="V10" s="12" t="s">
        <v>729</v>
      </c>
    </row>
    <row r="11" ht="15.5" customHeight="1" spans="1:22">
      <c r="A11" s="16" t="s">
        <v>692</v>
      </c>
      <c r="B11" s="17" t="s">
        <v>693</v>
      </c>
      <c r="C11" s="6" t="s">
        <v>729</v>
      </c>
      <c r="D11" s="6" t="s">
        <v>729</v>
      </c>
      <c r="E11" s="6" t="s">
        <v>729</v>
      </c>
      <c r="F11" s="6" t="s">
        <v>729</v>
      </c>
      <c r="G11" s="6" t="s">
        <v>729</v>
      </c>
      <c r="H11" s="6" t="s">
        <v>729</v>
      </c>
      <c r="I11" s="6" t="s">
        <v>729</v>
      </c>
      <c r="J11" s="6" t="s">
        <v>729</v>
      </c>
      <c r="K11" s="6" t="s">
        <v>729</v>
      </c>
      <c r="L11" s="6" t="s">
        <v>729</v>
      </c>
      <c r="M11" s="6" t="s">
        <v>729</v>
      </c>
      <c r="N11" s="6" t="s">
        <v>729</v>
      </c>
      <c r="O11" s="6" t="s">
        <v>729</v>
      </c>
      <c r="P11" s="6" t="s">
        <v>729</v>
      </c>
      <c r="Q11" s="6" t="s">
        <v>729</v>
      </c>
      <c r="R11" s="6" t="s">
        <v>729</v>
      </c>
      <c r="S11" s="6" t="s">
        <v>729</v>
      </c>
      <c r="T11" s="6" t="s">
        <v>729</v>
      </c>
      <c r="U11" s="6" t="s">
        <v>729</v>
      </c>
      <c r="V11" s="8" t="s">
        <v>729</v>
      </c>
    </row>
    <row r="12" ht="40.5" customHeight="1" spans="1:22">
      <c r="A12" s="16"/>
      <c r="B12" s="6" t="s">
        <v>729</v>
      </c>
      <c r="C12" s="6" t="s">
        <v>729</v>
      </c>
      <c r="D12" s="18" t="s">
        <v>942</v>
      </c>
      <c r="E12" s="6" t="s">
        <v>729</v>
      </c>
      <c r="F12" s="11" t="s">
        <v>752</v>
      </c>
      <c r="G12" s="11" t="s">
        <v>756</v>
      </c>
      <c r="H12" s="11" t="s">
        <v>756</v>
      </c>
      <c r="I12" s="11" t="s">
        <v>729</v>
      </c>
      <c r="J12" s="11" t="s">
        <v>729</v>
      </c>
      <c r="K12" s="11" t="s">
        <v>729</v>
      </c>
      <c r="L12" s="11" t="s">
        <v>729</v>
      </c>
      <c r="M12" s="11" t="s">
        <v>729</v>
      </c>
      <c r="N12" s="11" t="s">
        <v>729</v>
      </c>
      <c r="O12" s="11" t="s">
        <v>729</v>
      </c>
      <c r="P12" s="11" t="s">
        <v>729</v>
      </c>
      <c r="Q12" s="11" t="s">
        <v>729</v>
      </c>
      <c r="R12" s="11" t="s">
        <v>729</v>
      </c>
      <c r="S12" s="11" t="s">
        <v>729</v>
      </c>
      <c r="T12" s="11" t="s">
        <v>729</v>
      </c>
      <c r="U12" s="11" t="s">
        <v>729</v>
      </c>
      <c r="V12" s="12" t="s">
        <v>729</v>
      </c>
    </row>
    <row r="13" ht="78" customHeight="1" spans="1:22">
      <c r="A13" s="16"/>
      <c r="B13" s="6" t="s">
        <v>729</v>
      </c>
      <c r="C13" s="6" t="s">
        <v>729</v>
      </c>
      <c r="D13" s="18" t="s">
        <v>943</v>
      </c>
      <c r="E13" s="6" t="s">
        <v>729</v>
      </c>
      <c r="F13" s="11" t="s">
        <v>756</v>
      </c>
      <c r="G13" s="11" t="s">
        <v>752</v>
      </c>
      <c r="H13" s="11" t="s">
        <v>756</v>
      </c>
      <c r="I13" s="11" t="s">
        <v>729</v>
      </c>
      <c r="J13" s="11" t="s">
        <v>729</v>
      </c>
      <c r="K13" s="11" t="s">
        <v>729</v>
      </c>
      <c r="L13" s="11" t="s">
        <v>729</v>
      </c>
      <c r="M13" s="11" t="s">
        <v>729</v>
      </c>
      <c r="N13" s="11" t="s">
        <v>729</v>
      </c>
      <c r="O13" s="11" t="s">
        <v>729</v>
      </c>
      <c r="P13" s="11" t="s">
        <v>729</v>
      </c>
      <c r="Q13" s="11" t="s">
        <v>729</v>
      </c>
      <c r="R13" s="11" t="s">
        <v>729</v>
      </c>
      <c r="S13" s="11" t="s">
        <v>729</v>
      </c>
      <c r="T13" s="11" t="s">
        <v>729</v>
      </c>
      <c r="U13" s="11" t="s">
        <v>729</v>
      </c>
      <c r="V13" s="12" t="s">
        <v>729</v>
      </c>
    </row>
    <row r="14" ht="78" customHeight="1" spans="1:22">
      <c r="A14" s="16"/>
      <c r="B14" s="6" t="s">
        <v>729</v>
      </c>
      <c r="C14" s="6" t="s">
        <v>729</v>
      </c>
      <c r="D14" s="18" t="s">
        <v>944</v>
      </c>
      <c r="E14" s="6" t="s">
        <v>729</v>
      </c>
      <c r="F14" s="11" t="s">
        <v>756</v>
      </c>
      <c r="G14" s="11" t="s">
        <v>756</v>
      </c>
      <c r="H14" s="11" t="s">
        <v>752</v>
      </c>
      <c r="I14" s="11" t="s">
        <v>729</v>
      </c>
      <c r="J14" s="11" t="s">
        <v>729</v>
      </c>
      <c r="K14" s="11" t="s">
        <v>729</v>
      </c>
      <c r="L14" s="11" t="s">
        <v>729</v>
      </c>
      <c r="M14" s="11" t="s">
        <v>729</v>
      </c>
      <c r="N14" s="11" t="s">
        <v>729</v>
      </c>
      <c r="O14" s="11" t="s">
        <v>729</v>
      </c>
      <c r="P14" s="11" t="s">
        <v>729</v>
      </c>
      <c r="Q14" s="11" t="s">
        <v>729</v>
      </c>
      <c r="R14" s="11" t="s">
        <v>729</v>
      </c>
      <c r="S14" s="11" t="s">
        <v>729</v>
      </c>
      <c r="T14" s="11" t="s">
        <v>729</v>
      </c>
      <c r="U14" s="11" t="s">
        <v>729</v>
      </c>
      <c r="V14" s="12" t="s">
        <v>729</v>
      </c>
    </row>
    <row r="15" ht="18" customHeight="1" spans="1:22">
      <c r="A15" s="19" t="s">
        <v>696</v>
      </c>
      <c r="B15" s="20" t="s">
        <v>765</v>
      </c>
      <c r="C15" s="20"/>
      <c r="D15" s="20"/>
      <c r="E15" s="6" t="s">
        <v>729</v>
      </c>
      <c r="F15" s="11" t="s">
        <v>670</v>
      </c>
      <c r="G15" s="11" t="s">
        <v>63</v>
      </c>
      <c r="H15" s="11" t="s">
        <v>63</v>
      </c>
      <c r="I15" s="11" t="s">
        <v>729</v>
      </c>
      <c r="J15" s="11" t="s">
        <v>729</v>
      </c>
      <c r="K15" s="11" t="s">
        <v>729</v>
      </c>
      <c r="L15" s="11" t="s">
        <v>729</v>
      </c>
      <c r="M15" s="11" t="s">
        <v>729</v>
      </c>
      <c r="N15" s="11" t="s">
        <v>729</v>
      </c>
      <c r="O15" s="11" t="s">
        <v>729</v>
      </c>
      <c r="P15" s="11" t="s">
        <v>729</v>
      </c>
      <c r="Q15" s="11" t="s">
        <v>729</v>
      </c>
      <c r="R15" s="11" t="s">
        <v>729</v>
      </c>
      <c r="S15" s="11" t="s">
        <v>729</v>
      </c>
      <c r="T15" s="11" t="s">
        <v>729</v>
      </c>
      <c r="U15" s="11" t="s">
        <v>729</v>
      </c>
      <c r="V15" s="12" t="s">
        <v>729</v>
      </c>
    </row>
    <row r="16" ht="18" customHeight="1" spans="1:22">
      <c r="A16" s="19"/>
      <c r="B16" s="20" t="s">
        <v>698</v>
      </c>
      <c r="C16" s="20"/>
      <c r="D16" s="20"/>
      <c r="E16" s="6" t="s">
        <v>729</v>
      </c>
      <c r="F16" s="11" t="s">
        <v>766</v>
      </c>
      <c r="G16" s="11" t="s">
        <v>766</v>
      </c>
      <c r="H16" s="11" t="s">
        <v>766</v>
      </c>
      <c r="I16" s="11" t="s">
        <v>729</v>
      </c>
      <c r="J16" s="11" t="s">
        <v>729</v>
      </c>
      <c r="K16" s="11" t="s">
        <v>729</v>
      </c>
      <c r="L16" s="11" t="s">
        <v>729</v>
      </c>
      <c r="M16" s="11" t="s">
        <v>729</v>
      </c>
      <c r="N16" s="11" t="s">
        <v>729</v>
      </c>
      <c r="O16" s="11" t="s">
        <v>729</v>
      </c>
      <c r="P16" s="11" t="s">
        <v>729</v>
      </c>
      <c r="Q16" s="11" t="s">
        <v>729</v>
      </c>
      <c r="R16" s="11" t="s">
        <v>729</v>
      </c>
      <c r="S16" s="11" t="s">
        <v>729</v>
      </c>
      <c r="T16" s="11" t="s">
        <v>729</v>
      </c>
      <c r="U16" s="11" t="s">
        <v>729</v>
      </c>
      <c r="V16" s="12" t="s">
        <v>729</v>
      </c>
    </row>
    <row r="17" ht="18" customHeight="1" spans="1:22">
      <c r="A17" s="19"/>
      <c r="B17" s="20" t="s">
        <v>699</v>
      </c>
      <c r="C17" s="20"/>
      <c r="D17" s="20"/>
      <c r="E17" s="6" t="s">
        <v>729</v>
      </c>
      <c r="F17" s="6" t="s">
        <v>729</v>
      </c>
      <c r="G17" s="6" t="s">
        <v>729</v>
      </c>
      <c r="H17" s="6" t="s">
        <v>729</v>
      </c>
      <c r="I17" s="6" t="s">
        <v>729</v>
      </c>
      <c r="J17" s="6" t="s">
        <v>729</v>
      </c>
      <c r="K17" s="6" t="s">
        <v>729</v>
      </c>
      <c r="L17" s="6" t="s">
        <v>729</v>
      </c>
      <c r="M17" s="6" t="s">
        <v>729</v>
      </c>
      <c r="N17" s="6" t="s">
        <v>729</v>
      </c>
      <c r="O17" s="6" t="s">
        <v>729</v>
      </c>
      <c r="P17" s="6" t="s">
        <v>729</v>
      </c>
      <c r="Q17" s="6" t="s">
        <v>729</v>
      </c>
      <c r="R17" s="6" t="s">
        <v>729</v>
      </c>
      <c r="S17" s="6" t="s">
        <v>729</v>
      </c>
      <c r="T17" s="6" t="s">
        <v>729</v>
      </c>
      <c r="U17" s="6" t="s">
        <v>729</v>
      </c>
      <c r="V17" s="8" t="s">
        <v>729</v>
      </c>
    </row>
    <row r="18" ht="18" customHeight="1" spans="1:22">
      <c r="A18" s="19"/>
      <c r="B18" s="21" t="s">
        <v>700</v>
      </c>
      <c r="C18" s="21"/>
      <c r="D18" s="21"/>
      <c r="E18" s="22" t="s">
        <v>729</v>
      </c>
      <c r="F18" s="22" t="s">
        <v>729</v>
      </c>
      <c r="G18" s="22" t="s">
        <v>729</v>
      </c>
      <c r="H18" s="22" t="s">
        <v>729</v>
      </c>
      <c r="I18" s="22" t="s">
        <v>729</v>
      </c>
      <c r="J18" s="22" t="s">
        <v>729</v>
      </c>
      <c r="K18" s="22" t="s">
        <v>729</v>
      </c>
      <c r="L18" s="22" t="s">
        <v>729</v>
      </c>
      <c r="M18" s="22" t="s">
        <v>729</v>
      </c>
      <c r="N18" s="22" t="s">
        <v>729</v>
      </c>
      <c r="O18" s="22" t="s">
        <v>729</v>
      </c>
      <c r="P18" s="22" t="s">
        <v>729</v>
      </c>
      <c r="Q18" s="22" t="s">
        <v>729</v>
      </c>
      <c r="R18" s="22" t="s">
        <v>729</v>
      </c>
      <c r="S18" s="22" t="s">
        <v>729</v>
      </c>
      <c r="T18" s="22" t="s">
        <v>729</v>
      </c>
      <c r="U18" s="22" t="s">
        <v>729</v>
      </c>
      <c r="V18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5:D15"/>
    <mergeCell ref="B16:D16"/>
    <mergeCell ref="B17:D17"/>
    <mergeCell ref="B18:D18"/>
    <mergeCell ref="A7:A10"/>
    <mergeCell ref="A11:A14"/>
    <mergeCell ref="A15:A18"/>
  </mergeCells>
  <dataValidations count="3">
    <dataValidation type="list" allowBlank="1" sqref="F10:V10 F12:V14 F8:V9">
      <formula1>"O,-"</formula1>
    </dataValidation>
    <dataValidation type="list" allowBlank="1" sqref="F15:V15">
      <formula1>"N,A,B"</formula1>
    </dataValidation>
    <dataValidation type="list" allowBlank="1" sqref="F16:V16">
      <formula1>"P,F"</formula1>
    </dataValidation>
  </dataValidations>
  <pageMargins left="0.7" right="0.7" top="0.75" bottom="0.75" header="0.3" footer="0.3"/>
  <pageSetup paperSize="1" orientation="portrait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1"/>
  <sheetViews>
    <sheetView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135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191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28" customHeight="1" spans="1:22">
      <c r="A3" s="5" t="s">
        <v>684</v>
      </c>
      <c r="B3" s="8" t="s">
        <v>945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4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2</v>
      </c>
      <c r="M5" s="11">
        <v>2</v>
      </c>
      <c r="N5" s="11">
        <v>0</v>
      </c>
      <c r="O5" s="12">
        <v>4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687</v>
      </c>
      <c r="H6" s="14" t="s">
        <v>688</v>
      </c>
      <c r="I6" s="14" t="s">
        <v>689</v>
      </c>
      <c r="J6" s="14" t="s">
        <v>729</v>
      </c>
      <c r="K6" s="14" t="s">
        <v>729</v>
      </c>
      <c r="L6" s="14" t="s">
        <v>729</v>
      </c>
      <c r="M6" s="14" t="s">
        <v>729</v>
      </c>
      <c r="N6" s="14" t="s">
        <v>729</v>
      </c>
      <c r="O6" s="14" t="s">
        <v>729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15.5" customHeight="1" spans="1:22">
      <c r="A7" s="16" t="s">
        <v>690</v>
      </c>
      <c r="B7" s="17" t="s">
        <v>774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53" customHeight="1" spans="1:22">
      <c r="A8" s="16"/>
      <c r="B8" s="6" t="s">
        <v>729</v>
      </c>
      <c r="C8" s="6" t="s">
        <v>729</v>
      </c>
      <c r="D8" s="18" t="s">
        <v>946</v>
      </c>
      <c r="E8" s="6" t="s">
        <v>729</v>
      </c>
      <c r="F8" s="11" t="s">
        <v>752</v>
      </c>
      <c r="G8" s="11" t="s">
        <v>756</v>
      </c>
      <c r="H8" s="11" t="s">
        <v>756</v>
      </c>
      <c r="I8" s="11" t="s">
        <v>756</v>
      </c>
      <c r="J8" s="11" t="s">
        <v>729</v>
      </c>
      <c r="K8" s="11" t="s">
        <v>729</v>
      </c>
      <c r="L8" s="11" t="s">
        <v>729</v>
      </c>
      <c r="M8" s="11" t="s">
        <v>729</v>
      </c>
      <c r="N8" s="11" t="s">
        <v>729</v>
      </c>
      <c r="O8" s="11" t="s">
        <v>729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28" customHeight="1" spans="1:22">
      <c r="A9" s="16"/>
      <c r="B9" s="6" t="s">
        <v>729</v>
      </c>
      <c r="C9" s="6" t="s">
        <v>729</v>
      </c>
      <c r="D9" s="18" t="s">
        <v>947</v>
      </c>
      <c r="E9" s="6" t="s">
        <v>729</v>
      </c>
      <c r="F9" s="11" t="s">
        <v>756</v>
      </c>
      <c r="G9" s="11" t="s">
        <v>752</v>
      </c>
      <c r="H9" s="11" t="s">
        <v>756</v>
      </c>
      <c r="I9" s="11" t="s">
        <v>756</v>
      </c>
      <c r="J9" s="11" t="s">
        <v>729</v>
      </c>
      <c r="K9" s="11" t="s">
        <v>729</v>
      </c>
      <c r="L9" s="11" t="s">
        <v>729</v>
      </c>
      <c r="M9" s="11" t="s">
        <v>729</v>
      </c>
      <c r="N9" s="11" t="s">
        <v>729</v>
      </c>
      <c r="O9" s="11" t="s">
        <v>729</v>
      </c>
      <c r="P9" s="11" t="s">
        <v>729</v>
      </c>
      <c r="Q9" s="11" t="s">
        <v>729</v>
      </c>
      <c r="R9" s="11" t="s">
        <v>729</v>
      </c>
      <c r="S9" s="11" t="s">
        <v>729</v>
      </c>
      <c r="T9" s="11" t="s">
        <v>729</v>
      </c>
      <c r="U9" s="11" t="s">
        <v>729</v>
      </c>
      <c r="V9" s="12" t="s">
        <v>729</v>
      </c>
    </row>
    <row r="10" ht="53" customHeight="1" spans="1:22">
      <c r="A10" s="16"/>
      <c r="B10" s="6" t="s">
        <v>729</v>
      </c>
      <c r="C10" s="6" t="s">
        <v>729</v>
      </c>
      <c r="D10" s="18" t="s">
        <v>948</v>
      </c>
      <c r="E10" s="6" t="s">
        <v>729</v>
      </c>
      <c r="F10" s="11" t="s">
        <v>756</v>
      </c>
      <c r="G10" s="11" t="s">
        <v>756</v>
      </c>
      <c r="H10" s="11" t="s">
        <v>752</v>
      </c>
      <c r="I10" s="11" t="s">
        <v>756</v>
      </c>
      <c r="J10" s="11" t="s">
        <v>729</v>
      </c>
      <c r="K10" s="11" t="s">
        <v>729</v>
      </c>
      <c r="L10" s="11" t="s">
        <v>729</v>
      </c>
      <c r="M10" s="11" t="s">
        <v>729</v>
      </c>
      <c r="N10" s="11" t="s">
        <v>729</v>
      </c>
      <c r="O10" s="11" t="s">
        <v>729</v>
      </c>
      <c r="P10" s="11" t="s">
        <v>729</v>
      </c>
      <c r="Q10" s="11" t="s">
        <v>729</v>
      </c>
      <c r="R10" s="11" t="s">
        <v>729</v>
      </c>
      <c r="S10" s="11" t="s">
        <v>729</v>
      </c>
      <c r="T10" s="11" t="s">
        <v>729</v>
      </c>
      <c r="U10" s="11" t="s">
        <v>729</v>
      </c>
      <c r="V10" s="12" t="s">
        <v>729</v>
      </c>
    </row>
    <row r="11" ht="65.5" customHeight="1" spans="1:22">
      <c r="A11" s="16"/>
      <c r="B11" s="6" t="s">
        <v>729</v>
      </c>
      <c r="C11" s="6" t="s">
        <v>729</v>
      </c>
      <c r="D11" s="18" t="s">
        <v>949</v>
      </c>
      <c r="E11" s="6" t="s">
        <v>729</v>
      </c>
      <c r="F11" s="11" t="s">
        <v>756</v>
      </c>
      <c r="G11" s="11" t="s">
        <v>756</v>
      </c>
      <c r="H11" s="11" t="s">
        <v>756</v>
      </c>
      <c r="I11" s="11" t="s">
        <v>752</v>
      </c>
      <c r="J11" s="11" t="s">
        <v>729</v>
      </c>
      <c r="K11" s="11" t="s">
        <v>729</v>
      </c>
      <c r="L11" s="11" t="s">
        <v>729</v>
      </c>
      <c r="M11" s="11" t="s">
        <v>729</v>
      </c>
      <c r="N11" s="11" t="s">
        <v>729</v>
      </c>
      <c r="O11" s="11" t="s">
        <v>729</v>
      </c>
      <c r="P11" s="11" t="s">
        <v>729</v>
      </c>
      <c r="Q11" s="11" t="s">
        <v>729</v>
      </c>
      <c r="R11" s="11" t="s">
        <v>729</v>
      </c>
      <c r="S11" s="11" t="s">
        <v>729</v>
      </c>
      <c r="T11" s="11" t="s">
        <v>729</v>
      </c>
      <c r="U11" s="11" t="s">
        <v>729</v>
      </c>
      <c r="V11" s="12" t="s">
        <v>729</v>
      </c>
    </row>
    <row r="12" ht="15.5" customHeight="1" spans="1:22">
      <c r="A12" s="16" t="s">
        <v>692</v>
      </c>
      <c r="B12" s="17" t="s">
        <v>693</v>
      </c>
      <c r="C12" s="6" t="s">
        <v>729</v>
      </c>
      <c r="D12" s="6" t="s">
        <v>729</v>
      </c>
      <c r="E12" s="6" t="s">
        <v>729</v>
      </c>
      <c r="F12" s="6" t="s">
        <v>729</v>
      </c>
      <c r="G12" s="6" t="s">
        <v>729</v>
      </c>
      <c r="H12" s="6" t="s">
        <v>729</v>
      </c>
      <c r="I12" s="6" t="s">
        <v>729</v>
      </c>
      <c r="J12" s="6" t="s">
        <v>729</v>
      </c>
      <c r="K12" s="6" t="s">
        <v>729</v>
      </c>
      <c r="L12" s="6" t="s">
        <v>729</v>
      </c>
      <c r="M12" s="6" t="s">
        <v>729</v>
      </c>
      <c r="N12" s="6" t="s">
        <v>729</v>
      </c>
      <c r="O12" s="6" t="s">
        <v>729</v>
      </c>
      <c r="P12" s="6" t="s">
        <v>729</v>
      </c>
      <c r="Q12" s="6" t="s">
        <v>729</v>
      </c>
      <c r="R12" s="6" t="s">
        <v>729</v>
      </c>
      <c r="S12" s="6" t="s">
        <v>729</v>
      </c>
      <c r="T12" s="6" t="s">
        <v>729</v>
      </c>
      <c r="U12" s="6" t="s">
        <v>729</v>
      </c>
      <c r="V12" s="8" t="s">
        <v>729</v>
      </c>
    </row>
    <row r="13" ht="103" customHeight="1" spans="1:22">
      <c r="A13" s="16"/>
      <c r="B13" s="6" t="s">
        <v>729</v>
      </c>
      <c r="C13" s="6" t="s">
        <v>729</v>
      </c>
      <c r="D13" s="18" t="s">
        <v>950</v>
      </c>
      <c r="E13" s="6" t="s">
        <v>729</v>
      </c>
      <c r="F13" s="11" t="s">
        <v>752</v>
      </c>
      <c r="G13" s="11" t="s">
        <v>756</v>
      </c>
      <c r="H13" s="11" t="s">
        <v>756</v>
      </c>
      <c r="I13" s="11" t="s">
        <v>756</v>
      </c>
      <c r="J13" s="11" t="s">
        <v>729</v>
      </c>
      <c r="K13" s="11" t="s">
        <v>729</v>
      </c>
      <c r="L13" s="11" t="s">
        <v>729</v>
      </c>
      <c r="M13" s="11" t="s">
        <v>729</v>
      </c>
      <c r="N13" s="11" t="s">
        <v>729</v>
      </c>
      <c r="O13" s="11" t="s">
        <v>729</v>
      </c>
      <c r="P13" s="11" t="s">
        <v>729</v>
      </c>
      <c r="Q13" s="11" t="s">
        <v>729</v>
      </c>
      <c r="R13" s="11" t="s">
        <v>729</v>
      </c>
      <c r="S13" s="11" t="s">
        <v>729</v>
      </c>
      <c r="T13" s="11" t="s">
        <v>729</v>
      </c>
      <c r="U13" s="11" t="s">
        <v>729</v>
      </c>
      <c r="V13" s="12" t="s">
        <v>729</v>
      </c>
    </row>
    <row r="14" ht="40.5" customHeight="1" spans="1:22">
      <c r="A14" s="16"/>
      <c r="B14" s="6" t="s">
        <v>729</v>
      </c>
      <c r="C14" s="6" t="s">
        <v>729</v>
      </c>
      <c r="D14" s="18" t="s">
        <v>951</v>
      </c>
      <c r="E14" s="6" t="s">
        <v>729</v>
      </c>
      <c r="F14" s="11" t="s">
        <v>756</v>
      </c>
      <c r="G14" s="11" t="s">
        <v>752</v>
      </c>
      <c r="H14" s="11" t="s">
        <v>756</v>
      </c>
      <c r="I14" s="11" t="s">
        <v>756</v>
      </c>
      <c r="J14" s="11" t="s">
        <v>729</v>
      </c>
      <c r="K14" s="11" t="s">
        <v>729</v>
      </c>
      <c r="L14" s="11" t="s">
        <v>729</v>
      </c>
      <c r="M14" s="11" t="s">
        <v>729</v>
      </c>
      <c r="N14" s="11" t="s">
        <v>729</v>
      </c>
      <c r="O14" s="11" t="s">
        <v>729</v>
      </c>
      <c r="P14" s="11" t="s">
        <v>729</v>
      </c>
      <c r="Q14" s="11" t="s">
        <v>729</v>
      </c>
      <c r="R14" s="11" t="s">
        <v>729</v>
      </c>
      <c r="S14" s="11" t="s">
        <v>729</v>
      </c>
      <c r="T14" s="11" t="s">
        <v>729</v>
      </c>
      <c r="U14" s="11" t="s">
        <v>729</v>
      </c>
      <c r="V14" s="12" t="s">
        <v>729</v>
      </c>
    </row>
    <row r="15" ht="65.5" customHeight="1" spans="1:22">
      <c r="A15" s="16"/>
      <c r="B15" s="6" t="s">
        <v>729</v>
      </c>
      <c r="C15" s="6" t="s">
        <v>729</v>
      </c>
      <c r="D15" s="18" t="s">
        <v>952</v>
      </c>
      <c r="E15" s="6" t="s">
        <v>729</v>
      </c>
      <c r="F15" s="11" t="s">
        <v>756</v>
      </c>
      <c r="G15" s="11" t="s">
        <v>756</v>
      </c>
      <c r="H15" s="11" t="s">
        <v>752</v>
      </c>
      <c r="I15" s="11" t="s">
        <v>756</v>
      </c>
      <c r="J15" s="11" t="s">
        <v>729</v>
      </c>
      <c r="K15" s="11" t="s">
        <v>729</v>
      </c>
      <c r="L15" s="11" t="s">
        <v>729</v>
      </c>
      <c r="M15" s="11" t="s">
        <v>729</v>
      </c>
      <c r="N15" s="11" t="s">
        <v>729</v>
      </c>
      <c r="O15" s="11" t="s">
        <v>729</v>
      </c>
      <c r="P15" s="11" t="s">
        <v>729</v>
      </c>
      <c r="Q15" s="11" t="s">
        <v>729</v>
      </c>
      <c r="R15" s="11" t="s">
        <v>729</v>
      </c>
      <c r="S15" s="11" t="s">
        <v>729</v>
      </c>
      <c r="T15" s="11" t="s">
        <v>729</v>
      </c>
      <c r="U15" s="11" t="s">
        <v>729</v>
      </c>
      <c r="V15" s="12" t="s">
        <v>729</v>
      </c>
    </row>
    <row r="16" ht="15.5" customHeight="1" spans="1:22">
      <c r="A16" s="16"/>
      <c r="B16" s="17" t="s">
        <v>694</v>
      </c>
      <c r="C16" s="6" t="s">
        <v>729</v>
      </c>
      <c r="D16" s="6" t="s">
        <v>729</v>
      </c>
      <c r="E16" s="6" t="s">
        <v>729</v>
      </c>
      <c r="F16" s="6" t="s">
        <v>729</v>
      </c>
      <c r="G16" s="6" t="s">
        <v>729</v>
      </c>
      <c r="H16" s="6" t="s">
        <v>729</v>
      </c>
      <c r="I16" s="6" t="s">
        <v>729</v>
      </c>
      <c r="J16" s="6" t="s">
        <v>729</v>
      </c>
      <c r="K16" s="6" t="s">
        <v>729</v>
      </c>
      <c r="L16" s="6" t="s">
        <v>729</v>
      </c>
      <c r="M16" s="6" t="s">
        <v>729</v>
      </c>
      <c r="N16" s="6" t="s">
        <v>729</v>
      </c>
      <c r="O16" s="6" t="s">
        <v>729</v>
      </c>
      <c r="P16" s="6" t="s">
        <v>729</v>
      </c>
      <c r="Q16" s="6" t="s">
        <v>729</v>
      </c>
      <c r="R16" s="6" t="s">
        <v>729</v>
      </c>
      <c r="S16" s="6" t="s">
        <v>729</v>
      </c>
      <c r="T16" s="6" t="s">
        <v>729</v>
      </c>
      <c r="U16" s="6" t="s">
        <v>729</v>
      </c>
      <c r="V16" s="8" t="s">
        <v>729</v>
      </c>
    </row>
    <row r="17" ht="90.5" customHeight="1" spans="1:22">
      <c r="A17" s="16"/>
      <c r="B17" s="6" t="s">
        <v>729</v>
      </c>
      <c r="C17" s="6" t="s">
        <v>729</v>
      </c>
      <c r="D17" s="18" t="s">
        <v>953</v>
      </c>
      <c r="E17" s="6" t="s">
        <v>729</v>
      </c>
      <c r="F17" s="11" t="s">
        <v>756</v>
      </c>
      <c r="G17" s="11" t="s">
        <v>756</v>
      </c>
      <c r="H17" s="11" t="s">
        <v>756</v>
      </c>
      <c r="I17" s="11" t="s">
        <v>752</v>
      </c>
      <c r="J17" s="11" t="s">
        <v>729</v>
      </c>
      <c r="K17" s="11" t="s">
        <v>729</v>
      </c>
      <c r="L17" s="11" t="s">
        <v>729</v>
      </c>
      <c r="M17" s="11" t="s">
        <v>729</v>
      </c>
      <c r="N17" s="11" t="s">
        <v>729</v>
      </c>
      <c r="O17" s="11" t="s">
        <v>729</v>
      </c>
      <c r="P17" s="11" t="s">
        <v>729</v>
      </c>
      <c r="Q17" s="11" t="s">
        <v>729</v>
      </c>
      <c r="R17" s="11" t="s">
        <v>729</v>
      </c>
      <c r="S17" s="11" t="s">
        <v>729</v>
      </c>
      <c r="T17" s="11" t="s">
        <v>729</v>
      </c>
      <c r="U17" s="11" t="s">
        <v>729</v>
      </c>
      <c r="V17" s="12" t="s">
        <v>729</v>
      </c>
    </row>
    <row r="18" ht="18" customHeight="1" spans="1:22">
      <c r="A18" s="19" t="s">
        <v>696</v>
      </c>
      <c r="B18" s="20" t="s">
        <v>765</v>
      </c>
      <c r="C18" s="20"/>
      <c r="D18" s="20"/>
      <c r="E18" s="6" t="s">
        <v>729</v>
      </c>
      <c r="F18" s="11" t="s">
        <v>63</v>
      </c>
      <c r="G18" s="11" t="s">
        <v>670</v>
      </c>
      <c r="H18" s="11" t="s">
        <v>670</v>
      </c>
      <c r="I18" s="11" t="s">
        <v>63</v>
      </c>
      <c r="J18" s="11" t="s">
        <v>729</v>
      </c>
      <c r="K18" s="11" t="s">
        <v>729</v>
      </c>
      <c r="L18" s="11" t="s">
        <v>729</v>
      </c>
      <c r="M18" s="11" t="s">
        <v>729</v>
      </c>
      <c r="N18" s="11" t="s">
        <v>729</v>
      </c>
      <c r="O18" s="11" t="s">
        <v>729</v>
      </c>
      <c r="P18" s="11" t="s">
        <v>729</v>
      </c>
      <c r="Q18" s="11" t="s">
        <v>729</v>
      </c>
      <c r="R18" s="11" t="s">
        <v>729</v>
      </c>
      <c r="S18" s="11" t="s">
        <v>729</v>
      </c>
      <c r="T18" s="11" t="s">
        <v>729</v>
      </c>
      <c r="U18" s="11" t="s">
        <v>729</v>
      </c>
      <c r="V18" s="12" t="s">
        <v>729</v>
      </c>
    </row>
    <row r="19" ht="18" customHeight="1" spans="1:22">
      <c r="A19" s="19"/>
      <c r="B19" s="20" t="s">
        <v>698</v>
      </c>
      <c r="C19" s="20"/>
      <c r="D19" s="20"/>
      <c r="E19" s="6" t="s">
        <v>729</v>
      </c>
      <c r="F19" s="11" t="s">
        <v>766</v>
      </c>
      <c r="G19" s="11" t="s">
        <v>766</v>
      </c>
      <c r="H19" s="11" t="s">
        <v>766</v>
      </c>
      <c r="I19" s="11" t="s">
        <v>766</v>
      </c>
      <c r="J19" s="11" t="s">
        <v>729</v>
      </c>
      <c r="K19" s="11" t="s">
        <v>729</v>
      </c>
      <c r="L19" s="11" t="s">
        <v>729</v>
      </c>
      <c r="M19" s="11" t="s">
        <v>729</v>
      </c>
      <c r="N19" s="11" t="s">
        <v>729</v>
      </c>
      <c r="O19" s="11" t="s">
        <v>729</v>
      </c>
      <c r="P19" s="11" t="s">
        <v>729</v>
      </c>
      <c r="Q19" s="11" t="s">
        <v>729</v>
      </c>
      <c r="R19" s="11" t="s">
        <v>729</v>
      </c>
      <c r="S19" s="11" t="s">
        <v>729</v>
      </c>
      <c r="T19" s="11" t="s">
        <v>729</v>
      </c>
      <c r="U19" s="11" t="s">
        <v>729</v>
      </c>
      <c r="V19" s="12" t="s">
        <v>729</v>
      </c>
    </row>
    <row r="20" ht="18" customHeight="1" spans="1:22">
      <c r="A20" s="19"/>
      <c r="B20" s="20" t="s">
        <v>699</v>
      </c>
      <c r="C20" s="20"/>
      <c r="D20" s="20"/>
      <c r="E20" s="6" t="s">
        <v>729</v>
      </c>
      <c r="F20" s="6" t="s">
        <v>729</v>
      </c>
      <c r="G20" s="6" t="s">
        <v>729</v>
      </c>
      <c r="H20" s="6" t="s">
        <v>729</v>
      </c>
      <c r="I20" s="6" t="s">
        <v>729</v>
      </c>
      <c r="J20" s="6" t="s">
        <v>729</v>
      </c>
      <c r="K20" s="6" t="s">
        <v>729</v>
      </c>
      <c r="L20" s="6" t="s">
        <v>729</v>
      </c>
      <c r="M20" s="6" t="s">
        <v>729</v>
      </c>
      <c r="N20" s="6" t="s">
        <v>729</v>
      </c>
      <c r="O20" s="6" t="s">
        <v>729</v>
      </c>
      <c r="P20" s="6" t="s">
        <v>729</v>
      </c>
      <c r="Q20" s="6" t="s">
        <v>729</v>
      </c>
      <c r="R20" s="6" t="s">
        <v>729</v>
      </c>
      <c r="S20" s="6" t="s">
        <v>729</v>
      </c>
      <c r="T20" s="6" t="s">
        <v>729</v>
      </c>
      <c r="U20" s="6" t="s">
        <v>729</v>
      </c>
      <c r="V20" s="8" t="s">
        <v>729</v>
      </c>
    </row>
    <row r="21" ht="18" customHeight="1" spans="1:22">
      <c r="A21" s="19"/>
      <c r="B21" s="21" t="s">
        <v>700</v>
      </c>
      <c r="C21" s="21"/>
      <c r="D21" s="21"/>
      <c r="E21" s="22" t="s">
        <v>729</v>
      </c>
      <c r="F21" s="22" t="s">
        <v>729</v>
      </c>
      <c r="G21" s="22" t="s">
        <v>729</v>
      </c>
      <c r="H21" s="22" t="s">
        <v>729</v>
      </c>
      <c r="I21" s="22" t="s">
        <v>729</v>
      </c>
      <c r="J21" s="22" t="s">
        <v>729</v>
      </c>
      <c r="K21" s="22" t="s">
        <v>729</v>
      </c>
      <c r="L21" s="22" t="s">
        <v>729</v>
      </c>
      <c r="M21" s="22" t="s">
        <v>729</v>
      </c>
      <c r="N21" s="22" t="s">
        <v>729</v>
      </c>
      <c r="O21" s="22" t="s">
        <v>729</v>
      </c>
      <c r="P21" s="22" t="s">
        <v>729</v>
      </c>
      <c r="Q21" s="22" t="s">
        <v>729</v>
      </c>
      <c r="R21" s="22" t="s">
        <v>729</v>
      </c>
      <c r="S21" s="22" t="s">
        <v>729</v>
      </c>
      <c r="T21" s="22" t="s">
        <v>729</v>
      </c>
      <c r="U21" s="22" t="s">
        <v>729</v>
      </c>
      <c r="V21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8:D18"/>
    <mergeCell ref="B19:D19"/>
    <mergeCell ref="B20:D20"/>
    <mergeCell ref="B21:D21"/>
    <mergeCell ref="A7:A11"/>
    <mergeCell ref="A12:A17"/>
    <mergeCell ref="A18:A21"/>
  </mergeCells>
  <dataValidations count="3">
    <dataValidation type="list" allowBlank="1" sqref="F17:V17 F8:V9 F10:V11 F13:V15">
      <formula1>"O,-"</formula1>
    </dataValidation>
    <dataValidation type="list" allowBlank="1" sqref="F18:V18">
      <formula1>"N,A,B"</formula1>
    </dataValidation>
    <dataValidation type="list" allowBlank="1" sqref="F19:V19">
      <formula1>"P,F"</formula1>
    </dataValidation>
  </dataValidations>
  <pageMargins left="0.7" right="0.7" top="0.75" bottom="0.75" header="0.3" footer="0.3"/>
  <pageSetup paperSize="1" orientation="portrait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2"/>
  <sheetViews>
    <sheetView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135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196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954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5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5</v>
      </c>
      <c r="M5" s="11">
        <v>0</v>
      </c>
      <c r="N5" s="11">
        <v>0</v>
      </c>
      <c r="O5" s="12">
        <v>5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687</v>
      </c>
      <c r="H6" s="14" t="s">
        <v>688</v>
      </c>
      <c r="I6" s="14" t="s">
        <v>689</v>
      </c>
      <c r="J6" s="14" t="s">
        <v>863</v>
      </c>
      <c r="K6" s="14" t="s">
        <v>729</v>
      </c>
      <c r="L6" s="14" t="s">
        <v>729</v>
      </c>
      <c r="M6" s="14" t="s">
        <v>729</v>
      </c>
      <c r="N6" s="14" t="s">
        <v>729</v>
      </c>
      <c r="O6" s="14" t="s">
        <v>729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15.5" customHeight="1" spans="1:22">
      <c r="A7" s="16" t="s">
        <v>690</v>
      </c>
      <c r="B7" s="17" t="s">
        <v>774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28" customHeight="1" spans="1:22">
      <c r="A8" s="16"/>
      <c r="B8" s="6" t="s">
        <v>729</v>
      </c>
      <c r="C8" s="6" t="s">
        <v>729</v>
      </c>
      <c r="D8" s="18" t="s">
        <v>955</v>
      </c>
      <c r="E8" s="6" t="s">
        <v>729</v>
      </c>
      <c r="F8" s="11" t="s">
        <v>752</v>
      </c>
      <c r="G8" s="11" t="s">
        <v>756</v>
      </c>
      <c r="H8" s="11" t="s">
        <v>756</v>
      </c>
      <c r="I8" s="11" t="s">
        <v>756</v>
      </c>
      <c r="J8" s="11" t="s">
        <v>756</v>
      </c>
      <c r="K8" s="11" t="s">
        <v>729</v>
      </c>
      <c r="L8" s="11" t="s">
        <v>729</v>
      </c>
      <c r="M8" s="11" t="s">
        <v>729</v>
      </c>
      <c r="N8" s="11" t="s">
        <v>729</v>
      </c>
      <c r="O8" s="11" t="s">
        <v>729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15.5" customHeight="1" spans="1:22">
      <c r="A9" s="16"/>
      <c r="B9" s="6" t="s">
        <v>729</v>
      </c>
      <c r="C9" s="6" t="s">
        <v>729</v>
      </c>
      <c r="D9" s="18" t="s">
        <v>956</v>
      </c>
      <c r="E9" s="6" t="s">
        <v>729</v>
      </c>
      <c r="F9" s="11" t="s">
        <v>756</v>
      </c>
      <c r="G9" s="11" t="s">
        <v>752</v>
      </c>
      <c r="H9" s="11" t="s">
        <v>756</v>
      </c>
      <c r="I9" s="11" t="s">
        <v>756</v>
      </c>
      <c r="J9" s="11" t="s">
        <v>756</v>
      </c>
      <c r="K9" s="11" t="s">
        <v>729</v>
      </c>
      <c r="L9" s="11" t="s">
        <v>729</v>
      </c>
      <c r="M9" s="11" t="s">
        <v>729</v>
      </c>
      <c r="N9" s="11" t="s">
        <v>729</v>
      </c>
      <c r="O9" s="11" t="s">
        <v>729</v>
      </c>
      <c r="P9" s="11" t="s">
        <v>729</v>
      </c>
      <c r="Q9" s="11" t="s">
        <v>729</v>
      </c>
      <c r="R9" s="11" t="s">
        <v>729</v>
      </c>
      <c r="S9" s="11" t="s">
        <v>729</v>
      </c>
      <c r="T9" s="11" t="s">
        <v>729</v>
      </c>
      <c r="U9" s="11" t="s">
        <v>729</v>
      </c>
      <c r="V9" s="12" t="s">
        <v>729</v>
      </c>
    </row>
    <row r="10" ht="40.5" customHeight="1" spans="1:22">
      <c r="A10" s="16"/>
      <c r="B10" s="6" t="s">
        <v>729</v>
      </c>
      <c r="C10" s="6" t="s">
        <v>729</v>
      </c>
      <c r="D10" s="18" t="s">
        <v>957</v>
      </c>
      <c r="E10" s="6" t="s">
        <v>729</v>
      </c>
      <c r="F10" s="11" t="s">
        <v>756</v>
      </c>
      <c r="G10" s="11" t="s">
        <v>756</v>
      </c>
      <c r="H10" s="11" t="s">
        <v>752</v>
      </c>
      <c r="I10" s="11" t="s">
        <v>756</v>
      </c>
      <c r="J10" s="11" t="s">
        <v>756</v>
      </c>
      <c r="K10" s="11" t="s">
        <v>729</v>
      </c>
      <c r="L10" s="11" t="s">
        <v>729</v>
      </c>
      <c r="M10" s="11" t="s">
        <v>729</v>
      </c>
      <c r="N10" s="11" t="s">
        <v>729</v>
      </c>
      <c r="O10" s="11" t="s">
        <v>729</v>
      </c>
      <c r="P10" s="11" t="s">
        <v>729</v>
      </c>
      <c r="Q10" s="11" t="s">
        <v>729</v>
      </c>
      <c r="R10" s="11" t="s">
        <v>729</v>
      </c>
      <c r="S10" s="11" t="s">
        <v>729</v>
      </c>
      <c r="T10" s="11" t="s">
        <v>729</v>
      </c>
      <c r="U10" s="11" t="s">
        <v>729</v>
      </c>
      <c r="V10" s="12" t="s">
        <v>729</v>
      </c>
    </row>
    <row r="11" ht="28" customHeight="1" spans="1:22">
      <c r="A11" s="16"/>
      <c r="B11" s="6" t="s">
        <v>729</v>
      </c>
      <c r="C11" s="6" t="s">
        <v>729</v>
      </c>
      <c r="D11" s="18" t="s">
        <v>958</v>
      </c>
      <c r="E11" s="6" t="s">
        <v>729</v>
      </c>
      <c r="F11" s="11" t="s">
        <v>756</v>
      </c>
      <c r="G11" s="11" t="s">
        <v>756</v>
      </c>
      <c r="H11" s="11" t="s">
        <v>756</v>
      </c>
      <c r="I11" s="11" t="s">
        <v>752</v>
      </c>
      <c r="J11" s="11" t="s">
        <v>756</v>
      </c>
      <c r="K11" s="11" t="s">
        <v>729</v>
      </c>
      <c r="L11" s="11" t="s">
        <v>729</v>
      </c>
      <c r="M11" s="11" t="s">
        <v>729</v>
      </c>
      <c r="N11" s="11" t="s">
        <v>729</v>
      </c>
      <c r="O11" s="11" t="s">
        <v>729</v>
      </c>
      <c r="P11" s="11" t="s">
        <v>729</v>
      </c>
      <c r="Q11" s="11" t="s">
        <v>729</v>
      </c>
      <c r="R11" s="11" t="s">
        <v>729</v>
      </c>
      <c r="S11" s="11" t="s">
        <v>729</v>
      </c>
      <c r="T11" s="11" t="s">
        <v>729</v>
      </c>
      <c r="U11" s="11" t="s">
        <v>729</v>
      </c>
      <c r="V11" s="12" t="s">
        <v>729</v>
      </c>
    </row>
    <row r="12" ht="40.5" customHeight="1" spans="1:22">
      <c r="A12" s="16"/>
      <c r="B12" s="6" t="s">
        <v>729</v>
      </c>
      <c r="C12" s="6" t="s">
        <v>729</v>
      </c>
      <c r="D12" s="18" t="s">
        <v>959</v>
      </c>
      <c r="E12" s="6" t="s">
        <v>729</v>
      </c>
      <c r="F12" s="11" t="s">
        <v>756</v>
      </c>
      <c r="G12" s="11" t="s">
        <v>756</v>
      </c>
      <c r="H12" s="11" t="s">
        <v>756</v>
      </c>
      <c r="I12" s="11" t="s">
        <v>756</v>
      </c>
      <c r="J12" s="11" t="s">
        <v>752</v>
      </c>
      <c r="K12" s="11" t="s">
        <v>729</v>
      </c>
      <c r="L12" s="11" t="s">
        <v>729</v>
      </c>
      <c r="M12" s="11" t="s">
        <v>729</v>
      </c>
      <c r="N12" s="11" t="s">
        <v>729</v>
      </c>
      <c r="O12" s="11" t="s">
        <v>729</v>
      </c>
      <c r="P12" s="11" t="s">
        <v>729</v>
      </c>
      <c r="Q12" s="11" t="s">
        <v>729</v>
      </c>
      <c r="R12" s="11" t="s">
        <v>729</v>
      </c>
      <c r="S12" s="11" t="s">
        <v>729</v>
      </c>
      <c r="T12" s="11" t="s">
        <v>729</v>
      </c>
      <c r="U12" s="11" t="s">
        <v>729</v>
      </c>
      <c r="V12" s="12" t="s">
        <v>729</v>
      </c>
    </row>
    <row r="13" ht="15.5" customHeight="1" spans="1:22">
      <c r="A13" s="16" t="s">
        <v>692</v>
      </c>
      <c r="B13" s="17" t="s">
        <v>693</v>
      </c>
      <c r="C13" s="6" t="s">
        <v>729</v>
      </c>
      <c r="D13" s="6" t="s">
        <v>729</v>
      </c>
      <c r="E13" s="6" t="s">
        <v>729</v>
      </c>
      <c r="F13" s="6" t="s">
        <v>729</v>
      </c>
      <c r="G13" s="6" t="s">
        <v>729</v>
      </c>
      <c r="H13" s="6" t="s">
        <v>729</v>
      </c>
      <c r="I13" s="6" t="s">
        <v>729</v>
      </c>
      <c r="J13" s="6" t="s">
        <v>729</v>
      </c>
      <c r="K13" s="6" t="s">
        <v>729</v>
      </c>
      <c r="L13" s="6" t="s">
        <v>729</v>
      </c>
      <c r="M13" s="6" t="s">
        <v>729</v>
      </c>
      <c r="N13" s="6" t="s">
        <v>729</v>
      </c>
      <c r="O13" s="6" t="s">
        <v>729</v>
      </c>
      <c r="P13" s="6" t="s">
        <v>729</v>
      </c>
      <c r="Q13" s="6" t="s">
        <v>729</v>
      </c>
      <c r="R13" s="6" t="s">
        <v>729</v>
      </c>
      <c r="S13" s="6" t="s">
        <v>729</v>
      </c>
      <c r="T13" s="6" t="s">
        <v>729</v>
      </c>
      <c r="U13" s="6" t="s">
        <v>729</v>
      </c>
      <c r="V13" s="8" t="s">
        <v>729</v>
      </c>
    </row>
    <row r="14" ht="28" customHeight="1" spans="1:22">
      <c r="A14" s="16"/>
      <c r="B14" s="6" t="s">
        <v>729</v>
      </c>
      <c r="C14" s="6" t="s">
        <v>729</v>
      </c>
      <c r="D14" s="18" t="s">
        <v>960</v>
      </c>
      <c r="E14" s="6" t="s">
        <v>729</v>
      </c>
      <c r="F14" s="11" t="s">
        <v>752</v>
      </c>
      <c r="G14" s="11" t="s">
        <v>756</v>
      </c>
      <c r="H14" s="11" t="s">
        <v>756</v>
      </c>
      <c r="I14" s="11" t="s">
        <v>756</v>
      </c>
      <c r="J14" s="11" t="s">
        <v>756</v>
      </c>
      <c r="K14" s="11" t="s">
        <v>729</v>
      </c>
      <c r="L14" s="11" t="s">
        <v>729</v>
      </c>
      <c r="M14" s="11" t="s">
        <v>729</v>
      </c>
      <c r="N14" s="11" t="s">
        <v>729</v>
      </c>
      <c r="O14" s="11" t="s">
        <v>729</v>
      </c>
      <c r="P14" s="11" t="s">
        <v>729</v>
      </c>
      <c r="Q14" s="11" t="s">
        <v>729</v>
      </c>
      <c r="R14" s="11" t="s">
        <v>729</v>
      </c>
      <c r="S14" s="11" t="s">
        <v>729</v>
      </c>
      <c r="T14" s="11" t="s">
        <v>729</v>
      </c>
      <c r="U14" s="11" t="s">
        <v>729</v>
      </c>
      <c r="V14" s="12" t="s">
        <v>729</v>
      </c>
    </row>
    <row r="15" ht="28" customHeight="1" spans="1:22">
      <c r="A15" s="16"/>
      <c r="B15" s="6" t="s">
        <v>729</v>
      </c>
      <c r="C15" s="6" t="s">
        <v>729</v>
      </c>
      <c r="D15" s="18" t="s">
        <v>961</v>
      </c>
      <c r="E15" s="6" t="s">
        <v>729</v>
      </c>
      <c r="F15" s="11" t="s">
        <v>756</v>
      </c>
      <c r="G15" s="11" t="s">
        <v>752</v>
      </c>
      <c r="H15" s="11" t="s">
        <v>756</v>
      </c>
      <c r="I15" s="11" t="s">
        <v>756</v>
      </c>
      <c r="J15" s="11" t="s">
        <v>756</v>
      </c>
      <c r="K15" s="11" t="s">
        <v>729</v>
      </c>
      <c r="L15" s="11" t="s">
        <v>729</v>
      </c>
      <c r="M15" s="11" t="s">
        <v>729</v>
      </c>
      <c r="N15" s="11" t="s">
        <v>729</v>
      </c>
      <c r="O15" s="11" t="s">
        <v>729</v>
      </c>
      <c r="P15" s="11" t="s">
        <v>729</v>
      </c>
      <c r="Q15" s="11" t="s">
        <v>729</v>
      </c>
      <c r="R15" s="11" t="s">
        <v>729</v>
      </c>
      <c r="S15" s="11" t="s">
        <v>729</v>
      </c>
      <c r="T15" s="11" t="s">
        <v>729</v>
      </c>
      <c r="U15" s="11" t="s">
        <v>729</v>
      </c>
      <c r="V15" s="12" t="s">
        <v>729</v>
      </c>
    </row>
    <row r="16" ht="28" customHeight="1" spans="1:22">
      <c r="A16" s="16"/>
      <c r="B16" s="6" t="s">
        <v>729</v>
      </c>
      <c r="C16" s="6" t="s">
        <v>729</v>
      </c>
      <c r="D16" s="18" t="s">
        <v>962</v>
      </c>
      <c r="E16" s="6" t="s">
        <v>729</v>
      </c>
      <c r="F16" s="11" t="s">
        <v>756</v>
      </c>
      <c r="G16" s="11" t="s">
        <v>756</v>
      </c>
      <c r="H16" s="11" t="s">
        <v>752</v>
      </c>
      <c r="I16" s="11" t="s">
        <v>756</v>
      </c>
      <c r="J16" s="11" t="s">
        <v>756</v>
      </c>
      <c r="K16" s="11" t="s">
        <v>729</v>
      </c>
      <c r="L16" s="11" t="s">
        <v>729</v>
      </c>
      <c r="M16" s="11" t="s">
        <v>729</v>
      </c>
      <c r="N16" s="11" t="s">
        <v>729</v>
      </c>
      <c r="O16" s="11" t="s">
        <v>729</v>
      </c>
      <c r="P16" s="11" t="s">
        <v>729</v>
      </c>
      <c r="Q16" s="11" t="s">
        <v>729</v>
      </c>
      <c r="R16" s="11" t="s">
        <v>729</v>
      </c>
      <c r="S16" s="11" t="s">
        <v>729</v>
      </c>
      <c r="T16" s="11" t="s">
        <v>729</v>
      </c>
      <c r="U16" s="11" t="s">
        <v>729</v>
      </c>
      <c r="V16" s="12" t="s">
        <v>729</v>
      </c>
    </row>
    <row r="17" ht="53" customHeight="1" spans="1:22">
      <c r="A17" s="16"/>
      <c r="B17" s="6" t="s">
        <v>729</v>
      </c>
      <c r="C17" s="6" t="s">
        <v>729</v>
      </c>
      <c r="D17" s="18" t="s">
        <v>963</v>
      </c>
      <c r="E17" s="6" t="s">
        <v>729</v>
      </c>
      <c r="F17" s="11" t="s">
        <v>756</v>
      </c>
      <c r="G17" s="11" t="s">
        <v>756</v>
      </c>
      <c r="H17" s="11" t="s">
        <v>756</v>
      </c>
      <c r="I17" s="11" t="s">
        <v>752</v>
      </c>
      <c r="J17" s="11" t="s">
        <v>756</v>
      </c>
      <c r="K17" s="11" t="s">
        <v>729</v>
      </c>
      <c r="L17" s="11" t="s">
        <v>729</v>
      </c>
      <c r="M17" s="11" t="s">
        <v>729</v>
      </c>
      <c r="N17" s="11" t="s">
        <v>729</v>
      </c>
      <c r="O17" s="11" t="s">
        <v>729</v>
      </c>
      <c r="P17" s="11" t="s">
        <v>729</v>
      </c>
      <c r="Q17" s="11" t="s">
        <v>729</v>
      </c>
      <c r="R17" s="11" t="s">
        <v>729</v>
      </c>
      <c r="S17" s="11" t="s">
        <v>729</v>
      </c>
      <c r="T17" s="11" t="s">
        <v>729</v>
      </c>
      <c r="U17" s="11" t="s">
        <v>729</v>
      </c>
      <c r="V17" s="12" t="s">
        <v>729</v>
      </c>
    </row>
    <row r="18" ht="40.5" customHeight="1" spans="1:22">
      <c r="A18" s="16"/>
      <c r="B18" s="6" t="s">
        <v>729</v>
      </c>
      <c r="C18" s="6" t="s">
        <v>729</v>
      </c>
      <c r="D18" s="18" t="s">
        <v>964</v>
      </c>
      <c r="E18" s="6" t="s">
        <v>729</v>
      </c>
      <c r="F18" s="11" t="s">
        <v>756</v>
      </c>
      <c r="G18" s="11" t="s">
        <v>756</v>
      </c>
      <c r="H18" s="11" t="s">
        <v>756</v>
      </c>
      <c r="I18" s="11" t="s">
        <v>756</v>
      </c>
      <c r="J18" s="11" t="s">
        <v>752</v>
      </c>
      <c r="K18" s="11" t="s">
        <v>729</v>
      </c>
      <c r="L18" s="11" t="s">
        <v>729</v>
      </c>
      <c r="M18" s="11" t="s">
        <v>729</v>
      </c>
      <c r="N18" s="11" t="s">
        <v>729</v>
      </c>
      <c r="O18" s="11" t="s">
        <v>729</v>
      </c>
      <c r="P18" s="11" t="s">
        <v>729</v>
      </c>
      <c r="Q18" s="11" t="s">
        <v>729</v>
      </c>
      <c r="R18" s="11" t="s">
        <v>729</v>
      </c>
      <c r="S18" s="11" t="s">
        <v>729</v>
      </c>
      <c r="T18" s="11" t="s">
        <v>729</v>
      </c>
      <c r="U18" s="11" t="s">
        <v>729</v>
      </c>
      <c r="V18" s="12" t="s">
        <v>729</v>
      </c>
    </row>
    <row r="19" ht="18" customHeight="1" spans="1:22">
      <c r="A19" s="19" t="s">
        <v>696</v>
      </c>
      <c r="B19" s="20" t="s">
        <v>765</v>
      </c>
      <c r="C19" s="20"/>
      <c r="D19" s="20"/>
      <c r="E19" s="6" t="s">
        <v>729</v>
      </c>
      <c r="F19" s="11" t="s">
        <v>670</v>
      </c>
      <c r="G19" s="11" t="s">
        <v>670</v>
      </c>
      <c r="H19" s="11" t="s">
        <v>670</v>
      </c>
      <c r="I19" s="11" t="s">
        <v>670</v>
      </c>
      <c r="J19" s="11" t="s">
        <v>670</v>
      </c>
      <c r="K19" s="11" t="s">
        <v>729</v>
      </c>
      <c r="L19" s="11" t="s">
        <v>729</v>
      </c>
      <c r="M19" s="11" t="s">
        <v>729</v>
      </c>
      <c r="N19" s="11" t="s">
        <v>729</v>
      </c>
      <c r="O19" s="11" t="s">
        <v>729</v>
      </c>
      <c r="P19" s="11" t="s">
        <v>729</v>
      </c>
      <c r="Q19" s="11" t="s">
        <v>729</v>
      </c>
      <c r="R19" s="11" t="s">
        <v>729</v>
      </c>
      <c r="S19" s="11" t="s">
        <v>729</v>
      </c>
      <c r="T19" s="11" t="s">
        <v>729</v>
      </c>
      <c r="U19" s="11" t="s">
        <v>729</v>
      </c>
      <c r="V19" s="12" t="s">
        <v>729</v>
      </c>
    </row>
    <row r="20" ht="18" customHeight="1" spans="1:22">
      <c r="A20" s="19"/>
      <c r="B20" s="20" t="s">
        <v>698</v>
      </c>
      <c r="C20" s="20"/>
      <c r="D20" s="20"/>
      <c r="E20" s="6" t="s">
        <v>729</v>
      </c>
      <c r="F20" s="11" t="s">
        <v>766</v>
      </c>
      <c r="G20" s="11" t="s">
        <v>766</v>
      </c>
      <c r="H20" s="11" t="s">
        <v>766</v>
      </c>
      <c r="I20" s="11" t="s">
        <v>766</v>
      </c>
      <c r="J20" s="11" t="s">
        <v>766</v>
      </c>
      <c r="K20" s="11" t="s">
        <v>729</v>
      </c>
      <c r="L20" s="11" t="s">
        <v>729</v>
      </c>
      <c r="M20" s="11" t="s">
        <v>729</v>
      </c>
      <c r="N20" s="11" t="s">
        <v>729</v>
      </c>
      <c r="O20" s="11" t="s">
        <v>729</v>
      </c>
      <c r="P20" s="11" t="s">
        <v>729</v>
      </c>
      <c r="Q20" s="11" t="s">
        <v>729</v>
      </c>
      <c r="R20" s="11" t="s">
        <v>729</v>
      </c>
      <c r="S20" s="11" t="s">
        <v>729</v>
      </c>
      <c r="T20" s="11" t="s">
        <v>729</v>
      </c>
      <c r="U20" s="11" t="s">
        <v>729</v>
      </c>
      <c r="V20" s="12" t="s">
        <v>729</v>
      </c>
    </row>
    <row r="21" ht="18" customHeight="1" spans="1:22">
      <c r="A21" s="19"/>
      <c r="B21" s="20" t="s">
        <v>699</v>
      </c>
      <c r="C21" s="20"/>
      <c r="D21" s="20"/>
      <c r="E21" s="6" t="s">
        <v>729</v>
      </c>
      <c r="F21" s="6" t="s">
        <v>729</v>
      </c>
      <c r="G21" s="6" t="s">
        <v>729</v>
      </c>
      <c r="H21" s="6" t="s">
        <v>729</v>
      </c>
      <c r="I21" s="6" t="s">
        <v>729</v>
      </c>
      <c r="J21" s="6" t="s">
        <v>729</v>
      </c>
      <c r="K21" s="6" t="s">
        <v>729</v>
      </c>
      <c r="L21" s="6" t="s">
        <v>729</v>
      </c>
      <c r="M21" s="6" t="s">
        <v>729</v>
      </c>
      <c r="N21" s="6" t="s">
        <v>729</v>
      </c>
      <c r="O21" s="6" t="s">
        <v>729</v>
      </c>
      <c r="P21" s="6" t="s">
        <v>729</v>
      </c>
      <c r="Q21" s="6" t="s">
        <v>729</v>
      </c>
      <c r="R21" s="6" t="s">
        <v>729</v>
      </c>
      <c r="S21" s="6" t="s">
        <v>729</v>
      </c>
      <c r="T21" s="6" t="s">
        <v>729</v>
      </c>
      <c r="U21" s="6" t="s">
        <v>729</v>
      </c>
      <c r="V21" s="8" t="s">
        <v>729</v>
      </c>
    </row>
    <row r="22" ht="18" customHeight="1" spans="1:22">
      <c r="A22" s="19"/>
      <c r="B22" s="21" t="s">
        <v>700</v>
      </c>
      <c r="C22" s="21"/>
      <c r="D22" s="21"/>
      <c r="E22" s="22" t="s">
        <v>729</v>
      </c>
      <c r="F22" s="22" t="s">
        <v>729</v>
      </c>
      <c r="G22" s="22" t="s">
        <v>729</v>
      </c>
      <c r="H22" s="22" t="s">
        <v>729</v>
      </c>
      <c r="I22" s="22" t="s">
        <v>729</v>
      </c>
      <c r="J22" s="22" t="s">
        <v>729</v>
      </c>
      <c r="K22" s="22" t="s">
        <v>729</v>
      </c>
      <c r="L22" s="22" t="s">
        <v>729</v>
      </c>
      <c r="M22" s="22" t="s">
        <v>729</v>
      </c>
      <c r="N22" s="22" t="s">
        <v>729</v>
      </c>
      <c r="O22" s="22" t="s">
        <v>729</v>
      </c>
      <c r="P22" s="22" t="s">
        <v>729</v>
      </c>
      <c r="Q22" s="22" t="s">
        <v>729</v>
      </c>
      <c r="R22" s="22" t="s">
        <v>729</v>
      </c>
      <c r="S22" s="22" t="s">
        <v>729</v>
      </c>
      <c r="T22" s="22" t="s">
        <v>729</v>
      </c>
      <c r="U22" s="22" t="s">
        <v>729</v>
      </c>
      <c r="V22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9:D19"/>
    <mergeCell ref="B20:D20"/>
    <mergeCell ref="B21:D21"/>
    <mergeCell ref="B22:D22"/>
    <mergeCell ref="A7:A12"/>
    <mergeCell ref="A13:A18"/>
    <mergeCell ref="A19:A22"/>
  </mergeCells>
  <dataValidations count="3">
    <dataValidation type="list" allowBlank="1" sqref="F19:V19">
      <formula1>"N,A,B"</formula1>
    </dataValidation>
    <dataValidation type="list" allowBlank="1" sqref="F20:V20">
      <formula1>"P,F"</formula1>
    </dataValidation>
    <dataValidation type="list" allowBlank="1" sqref="F10:V12 F14:V18 F8:V9">
      <formula1>"O,-"</formula1>
    </dataValidation>
  </dataValidations>
  <pageMargins left="0.7" right="0.7" top="0.75" bottom="0.75" header="0.3" footer="0.3"/>
  <pageSetup paperSize="1" orientation="portrait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2"/>
  <sheetViews>
    <sheetView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135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201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28" customHeight="1" spans="1:22">
      <c r="A3" s="5" t="s">
        <v>684</v>
      </c>
      <c r="B3" s="8" t="s">
        <v>965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4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3</v>
      </c>
      <c r="M5" s="11">
        <v>1</v>
      </c>
      <c r="N5" s="11">
        <v>0</v>
      </c>
      <c r="O5" s="12">
        <v>4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687</v>
      </c>
      <c r="H6" s="14" t="s">
        <v>688</v>
      </c>
      <c r="I6" s="14" t="s">
        <v>689</v>
      </c>
      <c r="J6" s="14" t="s">
        <v>729</v>
      </c>
      <c r="K6" s="14" t="s">
        <v>729</v>
      </c>
      <c r="L6" s="14" t="s">
        <v>729</v>
      </c>
      <c r="M6" s="14" t="s">
        <v>729</v>
      </c>
      <c r="N6" s="14" t="s">
        <v>729</v>
      </c>
      <c r="O6" s="14" t="s">
        <v>729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15.5" customHeight="1" spans="1:22">
      <c r="A7" s="16" t="s">
        <v>690</v>
      </c>
      <c r="B7" s="17" t="s">
        <v>966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40.5" customHeight="1" spans="1:22">
      <c r="A8" s="16"/>
      <c r="B8" s="6" t="s">
        <v>729</v>
      </c>
      <c r="C8" s="6" t="s">
        <v>729</v>
      </c>
      <c r="D8" s="18" t="s">
        <v>967</v>
      </c>
      <c r="E8" s="6" t="s">
        <v>729</v>
      </c>
      <c r="F8" s="11" t="s">
        <v>752</v>
      </c>
      <c r="G8" s="11" t="s">
        <v>756</v>
      </c>
      <c r="H8" s="11" t="s">
        <v>756</v>
      </c>
      <c r="I8" s="11" t="s">
        <v>756</v>
      </c>
      <c r="J8" s="11" t="s">
        <v>729</v>
      </c>
      <c r="K8" s="11" t="s">
        <v>729</v>
      </c>
      <c r="L8" s="11" t="s">
        <v>729</v>
      </c>
      <c r="M8" s="11" t="s">
        <v>729</v>
      </c>
      <c r="N8" s="11" t="s">
        <v>729</v>
      </c>
      <c r="O8" s="11" t="s">
        <v>729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40.5" customHeight="1" spans="1:22">
      <c r="A9" s="16"/>
      <c r="B9" s="6" t="s">
        <v>729</v>
      </c>
      <c r="C9" s="6" t="s">
        <v>729</v>
      </c>
      <c r="D9" s="18" t="s">
        <v>968</v>
      </c>
      <c r="E9" s="6" t="s">
        <v>729</v>
      </c>
      <c r="F9" s="11" t="s">
        <v>756</v>
      </c>
      <c r="G9" s="11" t="s">
        <v>752</v>
      </c>
      <c r="H9" s="11" t="s">
        <v>756</v>
      </c>
      <c r="I9" s="11" t="s">
        <v>756</v>
      </c>
      <c r="J9" s="11" t="s">
        <v>729</v>
      </c>
      <c r="K9" s="11" t="s">
        <v>729</v>
      </c>
      <c r="L9" s="11" t="s">
        <v>729</v>
      </c>
      <c r="M9" s="11" t="s">
        <v>729</v>
      </c>
      <c r="N9" s="11" t="s">
        <v>729</v>
      </c>
      <c r="O9" s="11" t="s">
        <v>729</v>
      </c>
      <c r="P9" s="11" t="s">
        <v>729</v>
      </c>
      <c r="Q9" s="11" t="s">
        <v>729</v>
      </c>
      <c r="R9" s="11" t="s">
        <v>729</v>
      </c>
      <c r="S9" s="11" t="s">
        <v>729</v>
      </c>
      <c r="T9" s="11" t="s">
        <v>729</v>
      </c>
      <c r="U9" s="11" t="s">
        <v>729</v>
      </c>
      <c r="V9" s="12" t="s">
        <v>729</v>
      </c>
    </row>
    <row r="10" ht="28" customHeight="1" spans="1:22">
      <c r="A10" s="16"/>
      <c r="B10" s="6" t="s">
        <v>729</v>
      </c>
      <c r="C10" s="6" t="s">
        <v>729</v>
      </c>
      <c r="D10" s="18" t="s">
        <v>969</v>
      </c>
      <c r="E10" s="6" t="s">
        <v>729</v>
      </c>
      <c r="F10" s="11" t="s">
        <v>756</v>
      </c>
      <c r="G10" s="11" t="s">
        <v>756</v>
      </c>
      <c r="H10" s="11" t="s">
        <v>752</v>
      </c>
      <c r="I10" s="11" t="s">
        <v>756</v>
      </c>
      <c r="J10" s="11" t="s">
        <v>729</v>
      </c>
      <c r="K10" s="11" t="s">
        <v>729</v>
      </c>
      <c r="L10" s="11" t="s">
        <v>729</v>
      </c>
      <c r="M10" s="11" t="s">
        <v>729</v>
      </c>
      <c r="N10" s="11" t="s">
        <v>729</v>
      </c>
      <c r="O10" s="11" t="s">
        <v>729</v>
      </c>
      <c r="P10" s="11" t="s">
        <v>729</v>
      </c>
      <c r="Q10" s="11" t="s">
        <v>729</v>
      </c>
      <c r="R10" s="11" t="s">
        <v>729</v>
      </c>
      <c r="S10" s="11" t="s">
        <v>729</v>
      </c>
      <c r="T10" s="11" t="s">
        <v>729</v>
      </c>
      <c r="U10" s="11" t="s">
        <v>729</v>
      </c>
      <c r="V10" s="12" t="s">
        <v>729</v>
      </c>
    </row>
    <row r="11" ht="40.5" customHeight="1" spans="1:22">
      <c r="A11" s="16"/>
      <c r="B11" s="6" t="s">
        <v>729</v>
      </c>
      <c r="C11" s="6" t="s">
        <v>729</v>
      </c>
      <c r="D11" s="18" t="s">
        <v>970</v>
      </c>
      <c r="E11" s="6" t="s">
        <v>729</v>
      </c>
      <c r="F11" s="11" t="s">
        <v>756</v>
      </c>
      <c r="G11" s="11" t="s">
        <v>756</v>
      </c>
      <c r="H11" s="11" t="s">
        <v>756</v>
      </c>
      <c r="I11" s="11" t="s">
        <v>752</v>
      </c>
      <c r="J11" s="11" t="s">
        <v>729</v>
      </c>
      <c r="K11" s="11" t="s">
        <v>729</v>
      </c>
      <c r="L11" s="11" t="s">
        <v>729</v>
      </c>
      <c r="M11" s="11" t="s">
        <v>729</v>
      </c>
      <c r="N11" s="11" t="s">
        <v>729</v>
      </c>
      <c r="O11" s="11" t="s">
        <v>729</v>
      </c>
      <c r="P11" s="11" t="s">
        <v>729</v>
      </c>
      <c r="Q11" s="11" t="s">
        <v>729</v>
      </c>
      <c r="R11" s="11" t="s">
        <v>729</v>
      </c>
      <c r="S11" s="11" t="s">
        <v>729</v>
      </c>
      <c r="T11" s="11" t="s">
        <v>729</v>
      </c>
      <c r="U11" s="11" t="s">
        <v>729</v>
      </c>
      <c r="V11" s="12" t="s">
        <v>729</v>
      </c>
    </row>
    <row r="12" ht="15.5" customHeight="1" spans="1:22">
      <c r="A12" s="16" t="s">
        <v>692</v>
      </c>
      <c r="B12" s="17" t="s">
        <v>693</v>
      </c>
      <c r="C12" s="6" t="s">
        <v>729</v>
      </c>
      <c r="D12" s="6" t="s">
        <v>729</v>
      </c>
      <c r="E12" s="6" t="s">
        <v>729</v>
      </c>
      <c r="F12" s="6" t="s">
        <v>729</v>
      </c>
      <c r="G12" s="6" t="s">
        <v>729</v>
      </c>
      <c r="H12" s="6" t="s">
        <v>729</v>
      </c>
      <c r="I12" s="6" t="s">
        <v>729</v>
      </c>
      <c r="J12" s="6" t="s">
        <v>729</v>
      </c>
      <c r="K12" s="6" t="s">
        <v>729</v>
      </c>
      <c r="L12" s="6" t="s">
        <v>729</v>
      </c>
      <c r="M12" s="6" t="s">
        <v>729</v>
      </c>
      <c r="N12" s="6" t="s">
        <v>729</v>
      </c>
      <c r="O12" s="6" t="s">
        <v>729</v>
      </c>
      <c r="P12" s="6" t="s">
        <v>729</v>
      </c>
      <c r="Q12" s="6" t="s">
        <v>729</v>
      </c>
      <c r="R12" s="6" t="s">
        <v>729</v>
      </c>
      <c r="S12" s="6" t="s">
        <v>729</v>
      </c>
      <c r="T12" s="6" t="s">
        <v>729</v>
      </c>
      <c r="U12" s="6" t="s">
        <v>729</v>
      </c>
      <c r="V12" s="8" t="s">
        <v>729</v>
      </c>
    </row>
    <row r="13" ht="78" customHeight="1" spans="1:22">
      <c r="A13" s="16"/>
      <c r="B13" s="6" t="s">
        <v>729</v>
      </c>
      <c r="C13" s="6" t="s">
        <v>729</v>
      </c>
      <c r="D13" s="18" t="s">
        <v>971</v>
      </c>
      <c r="E13" s="6" t="s">
        <v>729</v>
      </c>
      <c r="F13" s="11" t="s">
        <v>752</v>
      </c>
      <c r="G13" s="11" t="s">
        <v>756</v>
      </c>
      <c r="H13" s="11" t="s">
        <v>756</v>
      </c>
      <c r="I13" s="11" t="s">
        <v>756</v>
      </c>
      <c r="J13" s="11" t="s">
        <v>729</v>
      </c>
      <c r="K13" s="11" t="s">
        <v>729</v>
      </c>
      <c r="L13" s="11" t="s">
        <v>729</v>
      </c>
      <c r="M13" s="11" t="s">
        <v>729</v>
      </c>
      <c r="N13" s="11" t="s">
        <v>729</v>
      </c>
      <c r="O13" s="11" t="s">
        <v>729</v>
      </c>
      <c r="P13" s="11" t="s">
        <v>729</v>
      </c>
      <c r="Q13" s="11" t="s">
        <v>729</v>
      </c>
      <c r="R13" s="11" t="s">
        <v>729</v>
      </c>
      <c r="S13" s="11" t="s">
        <v>729</v>
      </c>
      <c r="T13" s="11" t="s">
        <v>729</v>
      </c>
      <c r="U13" s="11" t="s">
        <v>729</v>
      </c>
      <c r="V13" s="12" t="s">
        <v>729</v>
      </c>
    </row>
    <row r="14" ht="53" customHeight="1" spans="1:22">
      <c r="A14" s="16"/>
      <c r="B14" s="6" t="s">
        <v>729</v>
      </c>
      <c r="C14" s="6" t="s">
        <v>729</v>
      </c>
      <c r="D14" s="18" t="s">
        <v>972</v>
      </c>
      <c r="E14" s="6" t="s">
        <v>729</v>
      </c>
      <c r="F14" s="11" t="s">
        <v>756</v>
      </c>
      <c r="G14" s="11" t="s">
        <v>752</v>
      </c>
      <c r="H14" s="11" t="s">
        <v>752</v>
      </c>
      <c r="I14" s="11" t="s">
        <v>752</v>
      </c>
      <c r="J14" s="11" t="s">
        <v>729</v>
      </c>
      <c r="K14" s="11" t="s">
        <v>729</v>
      </c>
      <c r="L14" s="11" t="s">
        <v>729</v>
      </c>
      <c r="M14" s="11" t="s">
        <v>729</v>
      </c>
      <c r="N14" s="11" t="s">
        <v>729</v>
      </c>
      <c r="O14" s="11" t="s">
        <v>729</v>
      </c>
      <c r="P14" s="11" t="s">
        <v>729</v>
      </c>
      <c r="Q14" s="11" t="s">
        <v>729</v>
      </c>
      <c r="R14" s="11" t="s">
        <v>729</v>
      </c>
      <c r="S14" s="11" t="s">
        <v>729</v>
      </c>
      <c r="T14" s="11" t="s">
        <v>729</v>
      </c>
      <c r="U14" s="11" t="s">
        <v>729</v>
      </c>
      <c r="V14" s="12" t="s">
        <v>729</v>
      </c>
    </row>
    <row r="15" ht="115.5" customHeight="1" spans="1:22">
      <c r="A15" s="16"/>
      <c r="B15" s="6" t="s">
        <v>729</v>
      </c>
      <c r="C15" s="6" t="s">
        <v>729</v>
      </c>
      <c r="D15" s="18" t="s">
        <v>973</v>
      </c>
      <c r="E15" s="6" t="s">
        <v>729</v>
      </c>
      <c r="F15" s="11" t="s">
        <v>756</v>
      </c>
      <c r="G15" s="11" t="s">
        <v>752</v>
      </c>
      <c r="H15" s="11" t="s">
        <v>756</v>
      </c>
      <c r="I15" s="11" t="s">
        <v>756</v>
      </c>
      <c r="J15" s="11" t="s">
        <v>729</v>
      </c>
      <c r="K15" s="11" t="s">
        <v>729</v>
      </c>
      <c r="L15" s="11" t="s">
        <v>729</v>
      </c>
      <c r="M15" s="11" t="s">
        <v>729</v>
      </c>
      <c r="N15" s="11" t="s">
        <v>729</v>
      </c>
      <c r="O15" s="11" t="s">
        <v>729</v>
      </c>
      <c r="P15" s="11" t="s">
        <v>729</v>
      </c>
      <c r="Q15" s="11" t="s">
        <v>729</v>
      </c>
      <c r="R15" s="11" t="s">
        <v>729</v>
      </c>
      <c r="S15" s="11" t="s">
        <v>729</v>
      </c>
      <c r="T15" s="11" t="s">
        <v>729</v>
      </c>
      <c r="U15" s="11" t="s">
        <v>729</v>
      </c>
      <c r="V15" s="12" t="s">
        <v>729</v>
      </c>
    </row>
    <row r="16" ht="28" customHeight="1" spans="1:22">
      <c r="A16" s="16"/>
      <c r="B16" s="6" t="s">
        <v>729</v>
      </c>
      <c r="C16" s="6" t="s">
        <v>729</v>
      </c>
      <c r="D16" s="18" t="s">
        <v>974</v>
      </c>
      <c r="E16" s="6" t="s">
        <v>729</v>
      </c>
      <c r="F16" s="11" t="s">
        <v>756</v>
      </c>
      <c r="G16" s="11" t="s">
        <v>756</v>
      </c>
      <c r="H16" s="11" t="s">
        <v>752</v>
      </c>
      <c r="I16" s="11" t="s">
        <v>752</v>
      </c>
      <c r="J16" s="11" t="s">
        <v>729</v>
      </c>
      <c r="K16" s="11" t="s">
        <v>729</v>
      </c>
      <c r="L16" s="11" t="s">
        <v>729</v>
      </c>
      <c r="M16" s="11" t="s">
        <v>729</v>
      </c>
      <c r="N16" s="11" t="s">
        <v>729</v>
      </c>
      <c r="O16" s="11" t="s">
        <v>729</v>
      </c>
      <c r="P16" s="11" t="s">
        <v>729</v>
      </c>
      <c r="Q16" s="11" t="s">
        <v>729</v>
      </c>
      <c r="R16" s="11" t="s">
        <v>729</v>
      </c>
      <c r="S16" s="11" t="s">
        <v>729</v>
      </c>
      <c r="T16" s="11" t="s">
        <v>729</v>
      </c>
      <c r="U16" s="11" t="s">
        <v>729</v>
      </c>
      <c r="V16" s="12" t="s">
        <v>729</v>
      </c>
    </row>
    <row r="17" ht="15.5" customHeight="1" spans="1:22">
      <c r="A17" s="16"/>
      <c r="B17" s="17" t="s">
        <v>694</v>
      </c>
      <c r="C17" s="6" t="s">
        <v>729</v>
      </c>
      <c r="D17" s="6" t="s">
        <v>729</v>
      </c>
      <c r="E17" s="6" t="s">
        <v>729</v>
      </c>
      <c r="F17" s="6" t="s">
        <v>729</v>
      </c>
      <c r="G17" s="6" t="s">
        <v>729</v>
      </c>
      <c r="H17" s="6" t="s">
        <v>729</v>
      </c>
      <c r="I17" s="6" t="s">
        <v>729</v>
      </c>
      <c r="J17" s="6" t="s">
        <v>729</v>
      </c>
      <c r="K17" s="6" t="s">
        <v>729</v>
      </c>
      <c r="L17" s="6" t="s">
        <v>729</v>
      </c>
      <c r="M17" s="6" t="s">
        <v>729</v>
      </c>
      <c r="N17" s="6" t="s">
        <v>729</v>
      </c>
      <c r="O17" s="6" t="s">
        <v>729</v>
      </c>
      <c r="P17" s="6" t="s">
        <v>729</v>
      </c>
      <c r="Q17" s="6" t="s">
        <v>729</v>
      </c>
      <c r="R17" s="6" t="s">
        <v>729</v>
      </c>
      <c r="S17" s="6" t="s">
        <v>729</v>
      </c>
      <c r="T17" s="6" t="s">
        <v>729</v>
      </c>
      <c r="U17" s="6" t="s">
        <v>729</v>
      </c>
      <c r="V17" s="8" t="s">
        <v>729</v>
      </c>
    </row>
    <row r="18" ht="90.5" customHeight="1" spans="1:22">
      <c r="A18" s="16"/>
      <c r="B18" s="6" t="s">
        <v>729</v>
      </c>
      <c r="C18" s="6" t="s">
        <v>729</v>
      </c>
      <c r="D18" s="18" t="s">
        <v>975</v>
      </c>
      <c r="E18" s="6" t="s">
        <v>729</v>
      </c>
      <c r="F18" s="11" t="s">
        <v>756</v>
      </c>
      <c r="G18" s="11" t="s">
        <v>752</v>
      </c>
      <c r="H18" s="11" t="s">
        <v>756</v>
      </c>
      <c r="I18" s="11" t="s">
        <v>756</v>
      </c>
      <c r="J18" s="11" t="s">
        <v>729</v>
      </c>
      <c r="K18" s="11" t="s">
        <v>729</v>
      </c>
      <c r="L18" s="11" t="s">
        <v>729</v>
      </c>
      <c r="M18" s="11" t="s">
        <v>729</v>
      </c>
      <c r="N18" s="11" t="s">
        <v>729</v>
      </c>
      <c r="O18" s="11" t="s">
        <v>729</v>
      </c>
      <c r="P18" s="11" t="s">
        <v>729</v>
      </c>
      <c r="Q18" s="11" t="s">
        <v>729</v>
      </c>
      <c r="R18" s="11" t="s">
        <v>729</v>
      </c>
      <c r="S18" s="11" t="s">
        <v>729</v>
      </c>
      <c r="T18" s="11" t="s">
        <v>729</v>
      </c>
      <c r="U18" s="11" t="s">
        <v>729</v>
      </c>
      <c r="V18" s="12" t="s">
        <v>729</v>
      </c>
    </row>
    <row r="19" ht="18" customHeight="1" spans="1:22">
      <c r="A19" s="19" t="s">
        <v>696</v>
      </c>
      <c r="B19" s="20" t="s">
        <v>765</v>
      </c>
      <c r="C19" s="20"/>
      <c r="D19" s="20"/>
      <c r="E19" s="6" t="s">
        <v>729</v>
      </c>
      <c r="F19" s="11" t="s">
        <v>670</v>
      </c>
      <c r="G19" s="11" t="s">
        <v>63</v>
      </c>
      <c r="H19" s="11" t="s">
        <v>670</v>
      </c>
      <c r="I19" s="11" t="s">
        <v>670</v>
      </c>
      <c r="J19" s="11" t="s">
        <v>729</v>
      </c>
      <c r="K19" s="11" t="s">
        <v>729</v>
      </c>
      <c r="L19" s="11" t="s">
        <v>729</v>
      </c>
      <c r="M19" s="11" t="s">
        <v>729</v>
      </c>
      <c r="N19" s="11" t="s">
        <v>729</v>
      </c>
      <c r="O19" s="11" t="s">
        <v>729</v>
      </c>
      <c r="P19" s="11" t="s">
        <v>729</v>
      </c>
      <c r="Q19" s="11" t="s">
        <v>729</v>
      </c>
      <c r="R19" s="11" t="s">
        <v>729</v>
      </c>
      <c r="S19" s="11" t="s">
        <v>729</v>
      </c>
      <c r="T19" s="11" t="s">
        <v>729</v>
      </c>
      <c r="U19" s="11" t="s">
        <v>729</v>
      </c>
      <c r="V19" s="12" t="s">
        <v>729</v>
      </c>
    </row>
    <row r="20" ht="18" customHeight="1" spans="1:22">
      <c r="A20" s="19"/>
      <c r="B20" s="20" t="s">
        <v>698</v>
      </c>
      <c r="C20" s="20"/>
      <c r="D20" s="20"/>
      <c r="E20" s="6" t="s">
        <v>729</v>
      </c>
      <c r="F20" s="11" t="s">
        <v>766</v>
      </c>
      <c r="G20" s="11" t="s">
        <v>766</v>
      </c>
      <c r="H20" s="11" t="s">
        <v>766</v>
      </c>
      <c r="I20" s="11" t="s">
        <v>766</v>
      </c>
      <c r="J20" s="11" t="s">
        <v>729</v>
      </c>
      <c r="K20" s="11" t="s">
        <v>729</v>
      </c>
      <c r="L20" s="11" t="s">
        <v>729</v>
      </c>
      <c r="M20" s="11" t="s">
        <v>729</v>
      </c>
      <c r="N20" s="11" t="s">
        <v>729</v>
      </c>
      <c r="O20" s="11" t="s">
        <v>729</v>
      </c>
      <c r="P20" s="11" t="s">
        <v>729</v>
      </c>
      <c r="Q20" s="11" t="s">
        <v>729</v>
      </c>
      <c r="R20" s="11" t="s">
        <v>729</v>
      </c>
      <c r="S20" s="11" t="s">
        <v>729</v>
      </c>
      <c r="T20" s="11" t="s">
        <v>729</v>
      </c>
      <c r="U20" s="11" t="s">
        <v>729</v>
      </c>
      <c r="V20" s="12" t="s">
        <v>729</v>
      </c>
    </row>
    <row r="21" ht="18" customHeight="1" spans="1:22">
      <c r="A21" s="19"/>
      <c r="B21" s="20" t="s">
        <v>699</v>
      </c>
      <c r="C21" s="20"/>
      <c r="D21" s="20"/>
      <c r="E21" s="6" t="s">
        <v>729</v>
      </c>
      <c r="F21" s="6" t="s">
        <v>729</v>
      </c>
      <c r="G21" s="6" t="s">
        <v>729</v>
      </c>
      <c r="H21" s="6" t="s">
        <v>729</v>
      </c>
      <c r="I21" s="6" t="s">
        <v>729</v>
      </c>
      <c r="J21" s="6" t="s">
        <v>729</v>
      </c>
      <c r="K21" s="6" t="s">
        <v>729</v>
      </c>
      <c r="L21" s="6" t="s">
        <v>729</v>
      </c>
      <c r="M21" s="6" t="s">
        <v>729</v>
      </c>
      <c r="N21" s="6" t="s">
        <v>729</v>
      </c>
      <c r="O21" s="6" t="s">
        <v>729</v>
      </c>
      <c r="P21" s="6" t="s">
        <v>729</v>
      </c>
      <c r="Q21" s="6" t="s">
        <v>729</v>
      </c>
      <c r="R21" s="6" t="s">
        <v>729</v>
      </c>
      <c r="S21" s="6" t="s">
        <v>729</v>
      </c>
      <c r="T21" s="6" t="s">
        <v>729</v>
      </c>
      <c r="U21" s="6" t="s">
        <v>729</v>
      </c>
      <c r="V21" s="8" t="s">
        <v>729</v>
      </c>
    </row>
    <row r="22" ht="18" customHeight="1" spans="1:22">
      <c r="A22" s="19"/>
      <c r="B22" s="21" t="s">
        <v>700</v>
      </c>
      <c r="C22" s="21"/>
      <c r="D22" s="21"/>
      <c r="E22" s="22" t="s">
        <v>729</v>
      </c>
      <c r="F22" s="22" t="s">
        <v>729</v>
      </c>
      <c r="G22" s="22" t="s">
        <v>729</v>
      </c>
      <c r="H22" s="22" t="s">
        <v>729</v>
      </c>
      <c r="I22" s="22" t="s">
        <v>729</v>
      </c>
      <c r="J22" s="22" t="s">
        <v>729</v>
      </c>
      <c r="K22" s="22" t="s">
        <v>729</v>
      </c>
      <c r="L22" s="22" t="s">
        <v>729</v>
      </c>
      <c r="M22" s="22" t="s">
        <v>729</v>
      </c>
      <c r="N22" s="22" t="s">
        <v>729</v>
      </c>
      <c r="O22" s="22" t="s">
        <v>729</v>
      </c>
      <c r="P22" s="22" t="s">
        <v>729</v>
      </c>
      <c r="Q22" s="22" t="s">
        <v>729</v>
      </c>
      <c r="R22" s="22" t="s">
        <v>729</v>
      </c>
      <c r="S22" s="22" t="s">
        <v>729</v>
      </c>
      <c r="T22" s="22" t="s">
        <v>729</v>
      </c>
      <c r="U22" s="22" t="s">
        <v>729</v>
      </c>
      <c r="V22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9:D19"/>
    <mergeCell ref="B20:D20"/>
    <mergeCell ref="B21:D21"/>
    <mergeCell ref="B22:D22"/>
    <mergeCell ref="A7:A11"/>
    <mergeCell ref="A12:A18"/>
    <mergeCell ref="A19:A22"/>
  </mergeCells>
  <dataValidations count="3">
    <dataValidation type="list" allowBlank="1" sqref="F18:V18 F8:V9 F10:V11 F13:V16">
      <formula1>"O,-"</formula1>
    </dataValidation>
    <dataValidation type="list" allowBlank="1" sqref="F19:V19">
      <formula1>"N,A,B"</formula1>
    </dataValidation>
    <dataValidation type="list" allowBlank="1" sqref="F20:V20">
      <formula1>"P,F"</formula1>
    </dataValidation>
  </dataValidations>
  <pageMargins left="0.7" right="0.7" top="0.75" bottom="0.75" header="0.3" footer="0.3"/>
  <pageSetup paperSize="1" orientation="portrait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0"/>
  <sheetViews>
    <sheetView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135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206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976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5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2</v>
      </c>
      <c r="M5" s="11">
        <v>3</v>
      </c>
      <c r="N5" s="11">
        <v>0</v>
      </c>
      <c r="O5" s="12">
        <v>5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687</v>
      </c>
      <c r="H6" s="14" t="s">
        <v>688</v>
      </c>
      <c r="I6" s="14" t="s">
        <v>689</v>
      </c>
      <c r="J6" s="14" t="s">
        <v>863</v>
      </c>
      <c r="K6" s="14" t="s">
        <v>729</v>
      </c>
      <c r="L6" s="14" t="s">
        <v>729</v>
      </c>
      <c r="M6" s="14" t="s">
        <v>729</v>
      </c>
      <c r="N6" s="14" t="s">
        <v>729</v>
      </c>
      <c r="O6" s="14" t="s">
        <v>729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15.5" customHeight="1" spans="1:22">
      <c r="A7" s="16" t="s">
        <v>690</v>
      </c>
      <c r="B7" s="17" t="s">
        <v>865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15.5" customHeight="1" spans="1:22">
      <c r="A8" s="16"/>
      <c r="B8" s="6" t="s">
        <v>729</v>
      </c>
      <c r="C8" s="6" t="s">
        <v>729</v>
      </c>
      <c r="D8" s="18" t="s">
        <v>977</v>
      </c>
      <c r="E8" s="6" t="s">
        <v>729</v>
      </c>
      <c r="F8" s="11" t="s">
        <v>752</v>
      </c>
      <c r="G8" s="11" t="s">
        <v>756</v>
      </c>
      <c r="H8" s="11" t="s">
        <v>756</v>
      </c>
      <c r="I8" s="11" t="s">
        <v>756</v>
      </c>
      <c r="J8" s="11" t="s">
        <v>756</v>
      </c>
      <c r="K8" s="11" t="s">
        <v>729</v>
      </c>
      <c r="L8" s="11" t="s">
        <v>729</v>
      </c>
      <c r="M8" s="11" t="s">
        <v>729</v>
      </c>
      <c r="N8" s="11" t="s">
        <v>729</v>
      </c>
      <c r="O8" s="11" t="s">
        <v>729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15.5" customHeight="1" spans="1:22">
      <c r="A9" s="16"/>
      <c r="B9" s="6" t="s">
        <v>729</v>
      </c>
      <c r="C9" s="6" t="s">
        <v>729</v>
      </c>
      <c r="D9" s="18" t="s">
        <v>978</v>
      </c>
      <c r="E9" s="6" t="s">
        <v>729</v>
      </c>
      <c r="F9" s="11" t="s">
        <v>756</v>
      </c>
      <c r="G9" s="11" t="s">
        <v>752</v>
      </c>
      <c r="H9" s="11" t="s">
        <v>756</v>
      </c>
      <c r="I9" s="11" t="s">
        <v>756</v>
      </c>
      <c r="J9" s="11" t="s">
        <v>756</v>
      </c>
      <c r="K9" s="11" t="s">
        <v>729</v>
      </c>
      <c r="L9" s="11" t="s">
        <v>729</v>
      </c>
      <c r="M9" s="11" t="s">
        <v>729</v>
      </c>
      <c r="N9" s="11" t="s">
        <v>729</v>
      </c>
      <c r="O9" s="11" t="s">
        <v>729</v>
      </c>
      <c r="P9" s="11" t="s">
        <v>729</v>
      </c>
      <c r="Q9" s="11" t="s">
        <v>729</v>
      </c>
      <c r="R9" s="11" t="s">
        <v>729</v>
      </c>
      <c r="S9" s="11" t="s">
        <v>729</v>
      </c>
      <c r="T9" s="11" t="s">
        <v>729</v>
      </c>
      <c r="U9" s="11" t="s">
        <v>729</v>
      </c>
      <c r="V9" s="12" t="s">
        <v>729</v>
      </c>
    </row>
    <row r="10" ht="40.5" customHeight="1" spans="1:22">
      <c r="A10" s="16"/>
      <c r="B10" s="6" t="s">
        <v>729</v>
      </c>
      <c r="C10" s="6" t="s">
        <v>729</v>
      </c>
      <c r="D10" s="18" t="s">
        <v>979</v>
      </c>
      <c r="E10" s="6" t="s">
        <v>729</v>
      </c>
      <c r="F10" s="11" t="s">
        <v>756</v>
      </c>
      <c r="G10" s="11" t="s">
        <v>756</v>
      </c>
      <c r="H10" s="11" t="s">
        <v>752</v>
      </c>
      <c r="I10" s="11" t="s">
        <v>756</v>
      </c>
      <c r="J10" s="11" t="s">
        <v>756</v>
      </c>
      <c r="K10" s="11" t="s">
        <v>729</v>
      </c>
      <c r="L10" s="11" t="s">
        <v>729</v>
      </c>
      <c r="M10" s="11" t="s">
        <v>729</v>
      </c>
      <c r="N10" s="11" t="s">
        <v>729</v>
      </c>
      <c r="O10" s="11" t="s">
        <v>729</v>
      </c>
      <c r="P10" s="11" t="s">
        <v>729</v>
      </c>
      <c r="Q10" s="11" t="s">
        <v>729</v>
      </c>
      <c r="R10" s="11" t="s">
        <v>729</v>
      </c>
      <c r="S10" s="11" t="s">
        <v>729</v>
      </c>
      <c r="T10" s="11" t="s">
        <v>729</v>
      </c>
      <c r="U10" s="11" t="s">
        <v>729</v>
      </c>
      <c r="V10" s="12" t="s">
        <v>729</v>
      </c>
    </row>
    <row r="11" ht="40.5" customHeight="1" spans="1:22">
      <c r="A11" s="16"/>
      <c r="B11" s="6" t="s">
        <v>729</v>
      </c>
      <c r="C11" s="6" t="s">
        <v>729</v>
      </c>
      <c r="D11" s="18" t="s">
        <v>980</v>
      </c>
      <c r="E11" s="6" t="s">
        <v>729</v>
      </c>
      <c r="F11" s="11" t="s">
        <v>756</v>
      </c>
      <c r="G11" s="11" t="s">
        <v>756</v>
      </c>
      <c r="H11" s="11" t="s">
        <v>756</v>
      </c>
      <c r="I11" s="11" t="s">
        <v>752</v>
      </c>
      <c r="J11" s="11" t="s">
        <v>756</v>
      </c>
      <c r="K11" s="11" t="s">
        <v>729</v>
      </c>
      <c r="L11" s="11" t="s">
        <v>729</v>
      </c>
      <c r="M11" s="11" t="s">
        <v>729</v>
      </c>
      <c r="N11" s="11" t="s">
        <v>729</v>
      </c>
      <c r="O11" s="11" t="s">
        <v>729</v>
      </c>
      <c r="P11" s="11" t="s">
        <v>729</v>
      </c>
      <c r="Q11" s="11" t="s">
        <v>729</v>
      </c>
      <c r="R11" s="11" t="s">
        <v>729</v>
      </c>
      <c r="S11" s="11" t="s">
        <v>729</v>
      </c>
      <c r="T11" s="11" t="s">
        <v>729</v>
      </c>
      <c r="U11" s="11" t="s">
        <v>729</v>
      </c>
      <c r="V11" s="12" t="s">
        <v>729</v>
      </c>
    </row>
    <row r="12" ht="40.5" customHeight="1" spans="1:22">
      <c r="A12" s="16"/>
      <c r="B12" s="6" t="s">
        <v>729</v>
      </c>
      <c r="C12" s="6" t="s">
        <v>729</v>
      </c>
      <c r="D12" s="18" t="s">
        <v>981</v>
      </c>
      <c r="E12" s="6" t="s">
        <v>729</v>
      </c>
      <c r="F12" s="11" t="s">
        <v>756</v>
      </c>
      <c r="G12" s="11" t="s">
        <v>756</v>
      </c>
      <c r="H12" s="11" t="s">
        <v>756</v>
      </c>
      <c r="I12" s="11" t="s">
        <v>756</v>
      </c>
      <c r="J12" s="11" t="s">
        <v>752</v>
      </c>
      <c r="K12" s="11" t="s">
        <v>729</v>
      </c>
      <c r="L12" s="11" t="s">
        <v>729</v>
      </c>
      <c r="M12" s="11" t="s">
        <v>729</v>
      </c>
      <c r="N12" s="11" t="s">
        <v>729</v>
      </c>
      <c r="O12" s="11" t="s">
        <v>729</v>
      </c>
      <c r="P12" s="11" t="s">
        <v>729</v>
      </c>
      <c r="Q12" s="11" t="s">
        <v>729</v>
      </c>
      <c r="R12" s="11" t="s">
        <v>729</v>
      </c>
      <c r="S12" s="11" t="s">
        <v>729</v>
      </c>
      <c r="T12" s="11" t="s">
        <v>729</v>
      </c>
      <c r="U12" s="11" t="s">
        <v>729</v>
      </c>
      <c r="V12" s="12" t="s">
        <v>729</v>
      </c>
    </row>
    <row r="13" ht="15.5" customHeight="1" spans="1:22">
      <c r="A13" s="16" t="s">
        <v>692</v>
      </c>
      <c r="B13" s="17" t="s">
        <v>693</v>
      </c>
      <c r="C13" s="6" t="s">
        <v>729</v>
      </c>
      <c r="D13" s="6" t="s">
        <v>729</v>
      </c>
      <c r="E13" s="6" t="s">
        <v>729</v>
      </c>
      <c r="F13" s="6" t="s">
        <v>729</v>
      </c>
      <c r="G13" s="6" t="s">
        <v>729</v>
      </c>
      <c r="H13" s="6" t="s">
        <v>729</v>
      </c>
      <c r="I13" s="6" t="s">
        <v>729</v>
      </c>
      <c r="J13" s="6" t="s">
        <v>729</v>
      </c>
      <c r="K13" s="6" t="s">
        <v>729</v>
      </c>
      <c r="L13" s="6" t="s">
        <v>729</v>
      </c>
      <c r="M13" s="6" t="s">
        <v>729</v>
      </c>
      <c r="N13" s="6" t="s">
        <v>729</v>
      </c>
      <c r="O13" s="6" t="s">
        <v>729</v>
      </c>
      <c r="P13" s="6" t="s">
        <v>729</v>
      </c>
      <c r="Q13" s="6" t="s">
        <v>729</v>
      </c>
      <c r="R13" s="6" t="s">
        <v>729</v>
      </c>
      <c r="S13" s="6" t="s">
        <v>729</v>
      </c>
      <c r="T13" s="6" t="s">
        <v>729</v>
      </c>
      <c r="U13" s="6" t="s">
        <v>729</v>
      </c>
      <c r="V13" s="8" t="s">
        <v>729</v>
      </c>
    </row>
    <row r="14" ht="15.5" customHeight="1" spans="1:22">
      <c r="A14" s="16"/>
      <c r="B14" s="6" t="s">
        <v>729</v>
      </c>
      <c r="C14" s="6" t="s">
        <v>729</v>
      </c>
      <c r="D14" s="18" t="s">
        <v>982</v>
      </c>
      <c r="E14" s="6" t="s">
        <v>729</v>
      </c>
      <c r="F14" s="11" t="s">
        <v>752</v>
      </c>
      <c r="G14" s="11" t="s">
        <v>752</v>
      </c>
      <c r="H14" s="11" t="s">
        <v>756</v>
      </c>
      <c r="I14" s="11" t="s">
        <v>756</v>
      </c>
      <c r="J14" s="11" t="s">
        <v>756</v>
      </c>
      <c r="K14" s="11" t="s">
        <v>729</v>
      </c>
      <c r="L14" s="11" t="s">
        <v>729</v>
      </c>
      <c r="M14" s="11" t="s">
        <v>729</v>
      </c>
      <c r="N14" s="11" t="s">
        <v>729</v>
      </c>
      <c r="O14" s="11" t="s">
        <v>729</v>
      </c>
      <c r="P14" s="11" t="s">
        <v>729</v>
      </c>
      <c r="Q14" s="11" t="s">
        <v>729</v>
      </c>
      <c r="R14" s="11" t="s">
        <v>729</v>
      </c>
      <c r="S14" s="11" t="s">
        <v>729</v>
      </c>
      <c r="T14" s="11" t="s">
        <v>729</v>
      </c>
      <c r="U14" s="11" t="s">
        <v>729</v>
      </c>
      <c r="V14" s="12" t="s">
        <v>729</v>
      </c>
    </row>
    <row r="15" ht="40.5" customHeight="1" spans="1:22">
      <c r="A15" s="16"/>
      <c r="B15" s="6" t="s">
        <v>729</v>
      </c>
      <c r="C15" s="6" t="s">
        <v>729</v>
      </c>
      <c r="D15" s="18" t="s">
        <v>983</v>
      </c>
      <c r="E15" s="6" t="s">
        <v>729</v>
      </c>
      <c r="F15" s="11" t="s">
        <v>756</v>
      </c>
      <c r="G15" s="11" t="s">
        <v>756</v>
      </c>
      <c r="H15" s="11" t="s">
        <v>752</v>
      </c>
      <c r="I15" s="11" t="s">
        <v>756</v>
      </c>
      <c r="J15" s="11" t="s">
        <v>752</v>
      </c>
      <c r="K15" s="11" t="s">
        <v>729</v>
      </c>
      <c r="L15" s="11" t="s">
        <v>729</v>
      </c>
      <c r="M15" s="11" t="s">
        <v>729</v>
      </c>
      <c r="N15" s="11" t="s">
        <v>729</v>
      </c>
      <c r="O15" s="11" t="s">
        <v>729</v>
      </c>
      <c r="P15" s="11" t="s">
        <v>729</v>
      </c>
      <c r="Q15" s="11" t="s">
        <v>729</v>
      </c>
      <c r="R15" s="11" t="s">
        <v>729</v>
      </c>
      <c r="S15" s="11" t="s">
        <v>729</v>
      </c>
      <c r="T15" s="11" t="s">
        <v>729</v>
      </c>
      <c r="U15" s="11" t="s">
        <v>729</v>
      </c>
      <c r="V15" s="12" t="s">
        <v>729</v>
      </c>
    </row>
    <row r="16" ht="40.5" customHeight="1" spans="1:22">
      <c r="A16" s="16"/>
      <c r="B16" s="6" t="s">
        <v>729</v>
      </c>
      <c r="C16" s="6" t="s">
        <v>729</v>
      </c>
      <c r="D16" s="18" t="s">
        <v>984</v>
      </c>
      <c r="E16" s="6" t="s">
        <v>729</v>
      </c>
      <c r="F16" s="11" t="s">
        <v>756</v>
      </c>
      <c r="G16" s="11" t="s">
        <v>756</v>
      </c>
      <c r="H16" s="11" t="s">
        <v>756</v>
      </c>
      <c r="I16" s="11" t="s">
        <v>752</v>
      </c>
      <c r="J16" s="11" t="s">
        <v>756</v>
      </c>
      <c r="K16" s="11" t="s">
        <v>729</v>
      </c>
      <c r="L16" s="11" t="s">
        <v>729</v>
      </c>
      <c r="M16" s="11" t="s">
        <v>729</v>
      </c>
      <c r="N16" s="11" t="s">
        <v>729</v>
      </c>
      <c r="O16" s="11" t="s">
        <v>729</v>
      </c>
      <c r="P16" s="11" t="s">
        <v>729</v>
      </c>
      <c r="Q16" s="11" t="s">
        <v>729</v>
      </c>
      <c r="R16" s="11" t="s">
        <v>729</v>
      </c>
      <c r="S16" s="11" t="s">
        <v>729</v>
      </c>
      <c r="T16" s="11" t="s">
        <v>729</v>
      </c>
      <c r="U16" s="11" t="s">
        <v>729</v>
      </c>
      <c r="V16" s="12" t="s">
        <v>729</v>
      </c>
    </row>
    <row r="17" ht="18" customHeight="1" spans="1:22">
      <c r="A17" s="19" t="s">
        <v>696</v>
      </c>
      <c r="B17" s="20" t="s">
        <v>765</v>
      </c>
      <c r="C17" s="20"/>
      <c r="D17" s="20"/>
      <c r="E17" s="6" t="s">
        <v>729</v>
      </c>
      <c r="F17" s="11" t="s">
        <v>670</v>
      </c>
      <c r="G17" s="11" t="s">
        <v>670</v>
      </c>
      <c r="H17" s="11" t="s">
        <v>63</v>
      </c>
      <c r="I17" s="11" t="s">
        <v>63</v>
      </c>
      <c r="J17" s="11" t="s">
        <v>63</v>
      </c>
      <c r="K17" s="11" t="s">
        <v>729</v>
      </c>
      <c r="L17" s="11" t="s">
        <v>729</v>
      </c>
      <c r="M17" s="11" t="s">
        <v>729</v>
      </c>
      <c r="N17" s="11" t="s">
        <v>729</v>
      </c>
      <c r="O17" s="11" t="s">
        <v>729</v>
      </c>
      <c r="P17" s="11" t="s">
        <v>729</v>
      </c>
      <c r="Q17" s="11" t="s">
        <v>729</v>
      </c>
      <c r="R17" s="11" t="s">
        <v>729</v>
      </c>
      <c r="S17" s="11" t="s">
        <v>729</v>
      </c>
      <c r="T17" s="11" t="s">
        <v>729</v>
      </c>
      <c r="U17" s="11" t="s">
        <v>729</v>
      </c>
      <c r="V17" s="12" t="s">
        <v>729</v>
      </c>
    </row>
    <row r="18" ht="18" customHeight="1" spans="1:22">
      <c r="A18" s="19"/>
      <c r="B18" s="20" t="s">
        <v>698</v>
      </c>
      <c r="C18" s="20"/>
      <c r="D18" s="20"/>
      <c r="E18" s="6" t="s">
        <v>729</v>
      </c>
      <c r="F18" s="11" t="s">
        <v>766</v>
      </c>
      <c r="G18" s="11" t="s">
        <v>766</v>
      </c>
      <c r="H18" s="11" t="s">
        <v>766</v>
      </c>
      <c r="I18" s="11" t="s">
        <v>766</v>
      </c>
      <c r="J18" s="11" t="s">
        <v>766</v>
      </c>
      <c r="K18" s="11" t="s">
        <v>729</v>
      </c>
      <c r="L18" s="11" t="s">
        <v>729</v>
      </c>
      <c r="M18" s="11" t="s">
        <v>729</v>
      </c>
      <c r="N18" s="11" t="s">
        <v>729</v>
      </c>
      <c r="O18" s="11" t="s">
        <v>729</v>
      </c>
      <c r="P18" s="11" t="s">
        <v>729</v>
      </c>
      <c r="Q18" s="11" t="s">
        <v>729</v>
      </c>
      <c r="R18" s="11" t="s">
        <v>729</v>
      </c>
      <c r="S18" s="11" t="s">
        <v>729</v>
      </c>
      <c r="T18" s="11" t="s">
        <v>729</v>
      </c>
      <c r="U18" s="11" t="s">
        <v>729</v>
      </c>
      <c r="V18" s="12" t="s">
        <v>729</v>
      </c>
    </row>
    <row r="19" ht="18" customHeight="1" spans="1:22">
      <c r="A19" s="19"/>
      <c r="B19" s="20" t="s">
        <v>699</v>
      </c>
      <c r="C19" s="20"/>
      <c r="D19" s="20"/>
      <c r="E19" s="6" t="s">
        <v>729</v>
      </c>
      <c r="F19" s="6" t="s">
        <v>729</v>
      </c>
      <c r="G19" s="6" t="s">
        <v>729</v>
      </c>
      <c r="H19" s="6" t="s">
        <v>729</v>
      </c>
      <c r="I19" s="6" t="s">
        <v>729</v>
      </c>
      <c r="J19" s="6" t="s">
        <v>729</v>
      </c>
      <c r="K19" s="6" t="s">
        <v>729</v>
      </c>
      <c r="L19" s="6" t="s">
        <v>729</v>
      </c>
      <c r="M19" s="6" t="s">
        <v>729</v>
      </c>
      <c r="N19" s="6" t="s">
        <v>729</v>
      </c>
      <c r="O19" s="6" t="s">
        <v>729</v>
      </c>
      <c r="P19" s="6" t="s">
        <v>729</v>
      </c>
      <c r="Q19" s="6" t="s">
        <v>729</v>
      </c>
      <c r="R19" s="6" t="s">
        <v>729</v>
      </c>
      <c r="S19" s="6" t="s">
        <v>729</v>
      </c>
      <c r="T19" s="6" t="s">
        <v>729</v>
      </c>
      <c r="U19" s="6" t="s">
        <v>729</v>
      </c>
      <c r="V19" s="8" t="s">
        <v>729</v>
      </c>
    </row>
    <row r="20" ht="18" customHeight="1" spans="1:22">
      <c r="A20" s="19"/>
      <c r="B20" s="21" t="s">
        <v>700</v>
      </c>
      <c r="C20" s="21"/>
      <c r="D20" s="21"/>
      <c r="E20" s="22" t="s">
        <v>729</v>
      </c>
      <c r="F20" s="22" t="s">
        <v>729</v>
      </c>
      <c r="G20" s="22" t="s">
        <v>729</v>
      </c>
      <c r="H20" s="22" t="s">
        <v>729</v>
      </c>
      <c r="I20" s="22" t="s">
        <v>729</v>
      </c>
      <c r="J20" s="22" t="s">
        <v>729</v>
      </c>
      <c r="K20" s="22" t="s">
        <v>729</v>
      </c>
      <c r="L20" s="22" t="s">
        <v>729</v>
      </c>
      <c r="M20" s="22" t="s">
        <v>729</v>
      </c>
      <c r="N20" s="22" t="s">
        <v>729</v>
      </c>
      <c r="O20" s="22" t="s">
        <v>729</v>
      </c>
      <c r="P20" s="22" t="s">
        <v>729</v>
      </c>
      <c r="Q20" s="22" t="s">
        <v>729</v>
      </c>
      <c r="R20" s="22" t="s">
        <v>729</v>
      </c>
      <c r="S20" s="22" t="s">
        <v>729</v>
      </c>
      <c r="T20" s="22" t="s">
        <v>729</v>
      </c>
      <c r="U20" s="22" t="s">
        <v>729</v>
      </c>
      <c r="V20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7:D17"/>
    <mergeCell ref="B18:D18"/>
    <mergeCell ref="B19:D19"/>
    <mergeCell ref="B20:D20"/>
    <mergeCell ref="A7:A12"/>
    <mergeCell ref="A13:A16"/>
    <mergeCell ref="A17:A20"/>
  </mergeCells>
  <dataValidations count="3">
    <dataValidation type="list" allowBlank="1" sqref="F17:V17">
      <formula1>"N,A,B"</formula1>
    </dataValidation>
    <dataValidation type="list" allowBlank="1" sqref="F18:V18">
      <formula1>"P,F"</formula1>
    </dataValidation>
    <dataValidation type="list" allowBlank="1" sqref="F10:V12 F14:V16 F8:V9">
      <formula1>"O,-"</formula1>
    </dataValidation>
  </dataValidations>
  <pageMargins left="0.7" right="0.7" top="0.75" bottom="0.75" header="0.3" footer="0.3"/>
  <pageSetup paperSize="1" orientation="portrait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7"/>
  <sheetViews>
    <sheetView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135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211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28" customHeight="1" spans="1:22">
      <c r="A3" s="5" t="s">
        <v>684</v>
      </c>
      <c r="B3" s="8" t="s">
        <v>985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2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0</v>
      </c>
      <c r="M5" s="11">
        <v>0</v>
      </c>
      <c r="N5" s="11">
        <v>2</v>
      </c>
      <c r="O5" s="12">
        <v>2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687</v>
      </c>
      <c r="H6" s="14" t="s">
        <v>729</v>
      </c>
      <c r="I6" s="14" t="s">
        <v>729</v>
      </c>
      <c r="J6" s="14" t="s">
        <v>729</v>
      </c>
      <c r="K6" s="14" t="s">
        <v>729</v>
      </c>
      <c r="L6" s="14" t="s">
        <v>729</v>
      </c>
      <c r="M6" s="14" t="s">
        <v>729</v>
      </c>
      <c r="N6" s="14" t="s">
        <v>729</v>
      </c>
      <c r="O6" s="14" t="s">
        <v>729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15.5" customHeight="1" spans="1:22">
      <c r="A7" s="16" t="s">
        <v>690</v>
      </c>
      <c r="B7" s="17" t="s">
        <v>986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28" customHeight="1" spans="1:22">
      <c r="A8" s="16"/>
      <c r="B8" s="6" t="s">
        <v>729</v>
      </c>
      <c r="C8" s="6" t="s">
        <v>729</v>
      </c>
      <c r="D8" s="18" t="s">
        <v>987</v>
      </c>
      <c r="E8" s="6" t="s">
        <v>729</v>
      </c>
      <c r="F8" s="11" t="s">
        <v>752</v>
      </c>
      <c r="G8" s="11" t="s">
        <v>756</v>
      </c>
      <c r="H8" s="11" t="s">
        <v>729</v>
      </c>
      <c r="I8" s="11" t="s">
        <v>729</v>
      </c>
      <c r="J8" s="11" t="s">
        <v>729</v>
      </c>
      <c r="K8" s="11" t="s">
        <v>729</v>
      </c>
      <c r="L8" s="11" t="s">
        <v>729</v>
      </c>
      <c r="M8" s="11" t="s">
        <v>729</v>
      </c>
      <c r="N8" s="11" t="s">
        <v>729</v>
      </c>
      <c r="O8" s="11" t="s">
        <v>729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28" customHeight="1" spans="1:22">
      <c r="A9" s="16"/>
      <c r="B9" s="6" t="s">
        <v>729</v>
      </c>
      <c r="C9" s="6" t="s">
        <v>729</v>
      </c>
      <c r="D9" s="18" t="s">
        <v>988</v>
      </c>
      <c r="E9" s="6" t="s">
        <v>729</v>
      </c>
      <c r="F9" s="11" t="s">
        <v>756</v>
      </c>
      <c r="G9" s="11" t="s">
        <v>752</v>
      </c>
      <c r="H9" s="11" t="s">
        <v>729</v>
      </c>
      <c r="I9" s="11" t="s">
        <v>729</v>
      </c>
      <c r="J9" s="11" t="s">
        <v>729</v>
      </c>
      <c r="K9" s="11" t="s">
        <v>729</v>
      </c>
      <c r="L9" s="11" t="s">
        <v>729</v>
      </c>
      <c r="M9" s="11" t="s">
        <v>729</v>
      </c>
      <c r="N9" s="11" t="s">
        <v>729</v>
      </c>
      <c r="O9" s="11" t="s">
        <v>729</v>
      </c>
      <c r="P9" s="11" t="s">
        <v>729</v>
      </c>
      <c r="Q9" s="11" t="s">
        <v>729</v>
      </c>
      <c r="R9" s="11" t="s">
        <v>729</v>
      </c>
      <c r="S9" s="11" t="s">
        <v>729</v>
      </c>
      <c r="T9" s="11" t="s">
        <v>729</v>
      </c>
      <c r="U9" s="11" t="s">
        <v>729</v>
      </c>
      <c r="V9" s="12" t="s">
        <v>729</v>
      </c>
    </row>
    <row r="10" ht="15.5" customHeight="1" spans="1:22">
      <c r="A10" s="16" t="s">
        <v>692</v>
      </c>
      <c r="B10" s="17" t="s">
        <v>693</v>
      </c>
      <c r="C10" s="6" t="s">
        <v>729</v>
      </c>
      <c r="D10" s="6" t="s">
        <v>729</v>
      </c>
      <c r="E10" s="6" t="s">
        <v>729</v>
      </c>
      <c r="F10" s="6" t="s">
        <v>729</v>
      </c>
      <c r="G10" s="6" t="s">
        <v>729</v>
      </c>
      <c r="H10" s="6" t="s">
        <v>729</v>
      </c>
      <c r="I10" s="6" t="s">
        <v>729</v>
      </c>
      <c r="J10" s="6" t="s">
        <v>729</v>
      </c>
      <c r="K10" s="6" t="s">
        <v>729</v>
      </c>
      <c r="L10" s="6" t="s">
        <v>729</v>
      </c>
      <c r="M10" s="6" t="s">
        <v>729</v>
      </c>
      <c r="N10" s="6" t="s">
        <v>729</v>
      </c>
      <c r="O10" s="6" t="s">
        <v>729</v>
      </c>
      <c r="P10" s="6" t="s">
        <v>729</v>
      </c>
      <c r="Q10" s="6" t="s">
        <v>729</v>
      </c>
      <c r="R10" s="6" t="s">
        <v>729</v>
      </c>
      <c r="S10" s="6" t="s">
        <v>729</v>
      </c>
      <c r="T10" s="6" t="s">
        <v>729</v>
      </c>
      <c r="U10" s="6" t="s">
        <v>729</v>
      </c>
      <c r="V10" s="8" t="s">
        <v>729</v>
      </c>
    </row>
    <row r="11" ht="78" customHeight="1" spans="1:22">
      <c r="A11" s="16"/>
      <c r="B11" s="6" t="s">
        <v>729</v>
      </c>
      <c r="C11" s="6" t="s">
        <v>729</v>
      </c>
      <c r="D11" s="18" t="s">
        <v>989</v>
      </c>
      <c r="E11" s="6" t="s">
        <v>729</v>
      </c>
      <c r="F11" s="11" t="s">
        <v>752</v>
      </c>
      <c r="G11" s="11" t="s">
        <v>752</v>
      </c>
      <c r="H11" s="11" t="s">
        <v>729</v>
      </c>
      <c r="I11" s="11" t="s">
        <v>729</v>
      </c>
      <c r="J11" s="11" t="s">
        <v>729</v>
      </c>
      <c r="K11" s="11" t="s">
        <v>729</v>
      </c>
      <c r="L11" s="11" t="s">
        <v>729</v>
      </c>
      <c r="M11" s="11" t="s">
        <v>729</v>
      </c>
      <c r="N11" s="11" t="s">
        <v>729</v>
      </c>
      <c r="O11" s="11" t="s">
        <v>729</v>
      </c>
      <c r="P11" s="11" t="s">
        <v>729</v>
      </c>
      <c r="Q11" s="11" t="s">
        <v>729</v>
      </c>
      <c r="R11" s="11" t="s">
        <v>729</v>
      </c>
      <c r="S11" s="11" t="s">
        <v>729</v>
      </c>
      <c r="T11" s="11" t="s">
        <v>729</v>
      </c>
      <c r="U11" s="11" t="s">
        <v>729</v>
      </c>
      <c r="V11" s="12" t="s">
        <v>729</v>
      </c>
    </row>
    <row r="12" ht="15.5" customHeight="1" spans="1:22">
      <c r="A12" s="16"/>
      <c r="B12" s="17" t="s">
        <v>694</v>
      </c>
      <c r="C12" s="6" t="s">
        <v>729</v>
      </c>
      <c r="D12" s="6" t="s">
        <v>729</v>
      </c>
      <c r="E12" s="6" t="s">
        <v>729</v>
      </c>
      <c r="F12" s="6" t="s">
        <v>729</v>
      </c>
      <c r="G12" s="6" t="s">
        <v>729</v>
      </c>
      <c r="H12" s="6" t="s">
        <v>729</v>
      </c>
      <c r="I12" s="6" t="s">
        <v>729</v>
      </c>
      <c r="J12" s="6" t="s">
        <v>729</v>
      </c>
      <c r="K12" s="6" t="s">
        <v>729</v>
      </c>
      <c r="L12" s="6" t="s">
        <v>729</v>
      </c>
      <c r="M12" s="6" t="s">
        <v>729</v>
      </c>
      <c r="N12" s="6" t="s">
        <v>729</v>
      </c>
      <c r="O12" s="6" t="s">
        <v>729</v>
      </c>
      <c r="P12" s="6" t="s">
        <v>729</v>
      </c>
      <c r="Q12" s="6" t="s">
        <v>729</v>
      </c>
      <c r="R12" s="6" t="s">
        <v>729</v>
      </c>
      <c r="S12" s="6" t="s">
        <v>729</v>
      </c>
      <c r="T12" s="6" t="s">
        <v>729</v>
      </c>
      <c r="U12" s="6" t="s">
        <v>729</v>
      </c>
      <c r="V12" s="8" t="s">
        <v>729</v>
      </c>
    </row>
    <row r="13" ht="90.5" customHeight="1" spans="1:22">
      <c r="A13" s="16"/>
      <c r="B13" s="6" t="s">
        <v>729</v>
      </c>
      <c r="C13" s="6" t="s">
        <v>729</v>
      </c>
      <c r="D13" s="18" t="s">
        <v>990</v>
      </c>
      <c r="E13" s="6" t="s">
        <v>729</v>
      </c>
      <c r="F13" s="11" t="s">
        <v>752</v>
      </c>
      <c r="G13" s="11" t="s">
        <v>752</v>
      </c>
      <c r="H13" s="11" t="s">
        <v>729</v>
      </c>
      <c r="I13" s="11" t="s">
        <v>729</v>
      </c>
      <c r="J13" s="11" t="s">
        <v>729</v>
      </c>
      <c r="K13" s="11" t="s">
        <v>729</v>
      </c>
      <c r="L13" s="11" t="s">
        <v>729</v>
      </c>
      <c r="M13" s="11" t="s">
        <v>729</v>
      </c>
      <c r="N13" s="11" t="s">
        <v>729</v>
      </c>
      <c r="O13" s="11" t="s">
        <v>729</v>
      </c>
      <c r="P13" s="11" t="s">
        <v>729</v>
      </c>
      <c r="Q13" s="11" t="s">
        <v>729</v>
      </c>
      <c r="R13" s="11" t="s">
        <v>729</v>
      </c>
      <c r="S13" s="11" t="s">
        <v>729</v>
      </c>
      <c r="T13" s="11" t="s">
        <v>729</v>
      </c>
      <c r="U13" s="11" t="s">
        <v>729</v>
      </c>
      <c r="V13" s="12" t="s">
        <v>729</v>
      </c>
    </row>
    <row r="14" ht="18" customHeight="1" spans="1:22">
      <c r="A14" s="19" t="s">
        <v>696</v>
      </c>
      <c r="B14" s="20" t="s">
        <v>765</v>
      </c>
      <c r="C14" s="20"/>
      <c r="D14" s="20"/>
      <c r="E14" s="6" t="s">
        <v>729</v>
      </c>
      <c r="F14" s="11" t="s">
        <v>671</v>
      </c>
      <c r="G14" s="11" t="s">
        <v>671</v>
      </c>
      <c r="H14" s="11" t="s">
        <v>729</v>
      </c>
      <c r="I14" s="11" t="s">
        <v>729</v>
      </c>
      <c r="J14" s="11" t="s">
        <v>729</v>
      </c>
      <c r="K14" s="11" t="s">
        <v>729</v>
      </c>
      <c r="L14" s="11" t="s">
        <v>729</v>
      </c>
      <c r="M14" s="11" t="s">
        <v>729</v>
      </c>
      <c r="N14" s="11" t="s">
        <v>729</v>
      </c>
      <c r="O14" s="11" t="s">
        <v>729</v>
      </c>
      <c r="P14" s="11" t="s">
        <v>729</v>
      </c>
      <c r="Q14" s="11" t="s">
        <v>729</v>
      </c>
      <c r="R14" s="11" t="s">
        <v>729</v>
      </c>
      <c r="S14" s="11" t="s">
        <v>729</v>
      </c>
      <c r="T14" s="11" t="s">
        <v>729</v>
      </c>
      <c r="U14" s="11" t="s">
        <v>729</v>
      </c>
      <c r="V14" s="12" t="s">
        <v>729</v>
      </c>
    </row>
    <row r="15" ht="18" customHeight="1" spans="1:22">
      <c r="A15" s="19"/>
      <c r="B15" s="20" t="s">
        <v>698</v>
      </c>
      <c r="C15" s="20"/>
      <c r="D15" s="20"/>
      <c r="E15" s="6" t="s">
        <v>729</v>
      </c>
      <c r="F15" s="11" t="s">
        <v>766</v>
      </c>
      <c r="G15" s="11" t="s">
        <v>766</v>
      </c>
      <c r="H15" s="11" t="s">
        <v>729</v>
      </c>
      <c r="I15" s="11" t="s">
        <v>729</v>
      </c>
      <c r="J15" s="11" t="s">
        <v>729</v>
      </c>
      <c r="K15" s="11" t="s">
        <v>729</v>
      </c>
      <c r="L15" s="11" t="s">
        <v>729</v>
      </c>
      <c r="M15" s="11" t="s">
        <v>729</v>
      </c>
      <c r="N15" s="11" t="s">
        <v>729</v>
      </c>
      <c r="O15" s="11" t="s">
        <v>729</v>
      </c>
      <c r="P15" s="11" t="s">
        <v>729</v>
      </c>
      <c r="Q15" s="11" t="s">
        <v>729</v>
      </c>
      <c r="R15" s="11" t="s">
        <v>729</v>
      </c>
      <c r="S15" s="11" t="s">
        <v>729</v>
      </c>
      <c r="T15" s="11" t="s">
        <v>729</v>
      </c>
      <c r="U15" s="11" t="s">
        <v>729</v>
      </c>
      <c r="V15" s="12" t="s">
        <v>729</v>
      </c>
    </row>
    <row r="16" ht="18" customHeight="1" spans="1:22">
      <c r="A16" s="19"/>
      <c r="B16" s="20" t="s">
        <v>699</v>
      </c>
      <c r="C16" s="20"/>
      <c r="D16" s="20"/>
      <c r="E16" s="6" t="s">
        <v>729</v>
      </c>
      <c r="F16" s="6" t="s">
        <v>729</v>
      </c>
      <c r="G16" s="6" t="s">
        <v>729</v>
      </c>
      <c r="H16" s="6" t="s">
        <v>729</v>
      </c>
      <c r="I16" s="6" t="s">
        <v>729</v>
      </c>
      <c r="J16" s="6" t="s">
        <v>729</v>
      </c>
      <c r="K16" s="6" t="s">
        <v>729</v>
      </c>
      <c r="L16" s="6" t="s">
        <v>729</v>
      </c>
      <c r="M16" s="6" t="s">
        <v>729</v>
      </c>
      <c r="N16" s="6" t="s">
        <v>729</v>
      </c>
      <c r="O16" s="6" t="s">
        <v>729</v>
      </c>
      <c r="P16" s="6" t="s">
        <v>729</v>
      </c>
      <c r="Q16" s="6" t="s">
        <v>729</v>
      </c>
      <c r="R16" s="6" t="s">
        <v>729</v>
      </c>
      <c r="S16" s="6" t="s">
        <v>729</v>
      </c>
      <c r="T16" s="6" t="s">
        <v>729</v>
      </c>
      <c r="U16" s="6" t="s">
        <v>729</v>
      </c>
      <c r="V16" s="8" t="s">
        <v>729</v>
      </c>
    </row>
    <row r="17" ht="18" customHeight="1" spans="1:22">
      <c r="A17" s="19"/>
      <c r="B17" s="21" t="s">
        <v>700</v>
      </c>
      <c r="C17" s="21"/>
      <c r="D17" s="21"/>
      <c r="E17" s="22" t="s">
        <v>729</v>
      </c>
      <c r="F17" s="22" t="s">
        <v>729</v>
      </c>
      <c r="G17" s="22" t="s">
        <v>729</v>
      </c>
      <c r="H17" s="22" t="s">
        <v>729</v>
      </c>
      <c r="I17" s="22" t="s">
        <v>729</v>
      </c>
      <c r="J17" s="22" t="s">
        <v>729</v>
      </c>
      <c r="K17" s="22" t="s">
        <v>729</v>
      </c>
      <c r="L17" s="22" t="s">
        <v>729</v>
      </c>
      <c r="M17" s="22" t="s">
        <v>729</v>
      </c>
      <c r="N17" s="22" t="s">
        <v>729</v>
      </c>
      <c r="O17" s="22" t="s">
        <v>729</v>
      </c>
      <c r="P17" s="22" t="s">
        <v>729</v>
      </c>
      <c r="Q17" s="22" t="s">
        <v>729</v>
      </c>
      <c r="R17" s="22" t="s">
        <v>729</v>
      </c>
      <c r="S17" s="22" t="s">
        <v>729</v>
      </c>
      <c r="T17" s="22" t="s">
        <v>729</v>
      </c>
      <c r="U17" s="22" t="s">
        <v>729</v>
      </c>
      <c r="V17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4:D14"/>
    <mergeCell ref="B15:D15"/>
    <mergeCell ref="B16:D16"/>
    <mergeCell ref="B17:D17"/>
    <mergeCell ref="A7:A9"/>
    <mergeCell ref="A10:A13"/>
    <mergeCell ref="A14:A17"/>
  </mergeCells>
  <dataValidations count="3">
    <dataValidation type="list" allowBlank="1" sqref="F11:V11 F13:V13 F8:V9">
      <formula1>"O,-"</formula1>
    </dataValidation>
    <dataValidation type="list" allowBlank="1" sqref="F14:V14">
      <formula1>"N,A,B"</formula1>
    </dataValidation>
    <dataValidation type="list" allowBlank="1" sqref="F15:V15">
      <formula1>"P,F"</formula1>
    </dataValidation>
  </dataValidations>
  <pageMargins left="0.7" right="0.7" top="0.75" bottom="0.75" header="0.3" footer="0.3"/>
  <pageSetup paperSize="1" orientation="portrait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7"/>
  <sheetViews>
    <sheetView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135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216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28" customHeight="1" spans="1:22">
      <c r="A3" s="5" t="s">
        <v>684</v>
      </c>
      <c r="B3" s="8" t="s">
        <v>991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3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2</v>
      </c>
      <c r="M5" s="11">
        <v>0</v>
      </c>
      <c r="N5" s="11">
        <v>1</v>
      </c>
      <c r="O5" s="12">
        <v>3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687</v>
      </c>
      <c r="H6" s="14" t="s">
        <v>688</v>
      </c>
      <c r="I6" s="14" t="s">
        <v>729</v>
      </c>
      <c r="J6" s="14" t="s">
        <v>729</v>
      </c>
      <c r="K6" s="14" t="s">
        <v>729</v>
      </c>
      <c r="L6" s="14" t="s">
        <v>729</v>
      </c>
      <c r="M6" s="14" t="s">
        <v>729</v>
      </c>
      <c r="N6" s="14" t="s">
        <v>729</v>
      </c>
      <c r="O6" s="14" t="s">
        <v>729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15.5" customHeight="1" spans="1:22">
      <c r="A7" s="16" t="s">
        <v>690</v>
      </c>
      <c r="B7" s="17" t="s">
        <v>992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40.5" customHeight="1" spans="1:22">
      <c r="A8" s="16"/>
      <c r="B8" s="6" t="s">
        <v>729</v>
      </c>
      <c r="C8" s="6" t="s">
        <v>729</v>
      </c>
      <c r="D8" s="18" t="s">
        <v>993</v>
      </c>
      <c r="E8" s="6" t="s">
        <v>729</v>
      </c>
      <c r="F8" s="11" t="s">
        <v>752</v>
      </c>
      <c r="G8" s="11" t="s">
        <v>756</v>
      </c>
      <c r="H8" s="11" t="s">
        <v>756</v>
      </c>
      <c r="I8" s="11" t="s">
        <v>729</v>
      </c>
      <c r="J8" s="11" t="s">
        <v>729</v>
      </c>
      <c r="K8" s="11" t="s">
        <v>729</v>
      </c>
      <c r="L8" s="11" t="s">
        <v>729</v>
      </c>
      <c r="M8" s="11" t="s">
        <v>729</v>
      </c>
      <c r="N8" s="11" t="s">
        <v>729</v>
      </c>
      <c r="O8" s="11" t="s">
        <v>729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53" customHeight="1" spans="1:22">
      <c r="A9" s="16"/>
      <c r="B9" s="6" t="s">
        <v>729</v>
      </c>
      <c r="C9" s="6" t="s">
        <v>729</v>
      </c>
      <c r="D9" s="18" t="s">
        <v>994</v>
      </c>
      <c r="E9" s="6" t="s">
        <v>729</v>
      </c>
      <c r="F9" s="11" t="s">
        <v>756</v>
      </c>
      <c r="G9" s="11" t="s">
        <v>752</v>
      </c>
      <c r="H9" s="11" t="s">
        <v>756</v>
      </c>
      <c r="I9" s="11" t="s">
        <v>729</v>
      </c>
      <c r="J9" s="11" t="s">
        <v>729</v>
      </c>
      <c r="K9" s="11" t="s">
        <v>729</v>
      </c>
      <c r="L9" s="11" t="s">
        <v>729</v>
      </c>
      <c r="M9" s="11" t="s">
        <v>729</v>
      </c>
      <c r="N9" s="11" t="s">
        <v>729</v>
      </c>
      <c r="O9" s="11" t="s">
        <v>729</v>
      </c>
      <c r="P9" s="11" t="s">
        <v>729</v>
      </c>
      <c r="Q9" s="11" t="s">
        <v>729</v>
      </c>
      <c r="R9" s="11" t="s">
        <v>729</v>
      </c>
      <c r="S9" s="11" t="s">
        <v>729</v>
      </c>
      <c r="T9" s="11" t="s">
        <v>729</v>
      </c>
      <c r="U9" s="11" t="s">
        <v>729</v>
      </c>
      <c r="V9" s="12" t="s">
        <v>729</v>
      </c>
    </row>
    <row r="10" ht="53" customHeight="1" spans="1:22">
      <c r="A10" s="16"/>
      <c r="B10" s="6" t="s">
        <v>729</v>
      </c>
      <c r="C10" s="6" t="s">
        <v>729</v>
      </c>
      <c r="D10" s="18" t="s">
        <v>995</v>
      </c>
      <c r="E10" s="6" t="s">
        <v>729</v>
      </c>
      <c r="F10" s="11" t="s">
        <v>756</v>
      </c>
      <c r="G10" s="11" t="s">
        <v>756</v>
      </c>
      <c r="H10" s="11" t="s">
        <v>752</v>
      </c>
      <c r="I10" s="11" t="s">
        <v>729</v>
      </c>
      <c r="J10" s="11" t="s">
        <v>729</v>
      </c>
      <c r="K10" s="11" t="s">
        <v>729</v>
      </c>
      <c r="L10" s="11" t="s">
        <v>729</v>
      </c>
      <c r="M10" s="11" t="s">
        <v>729</v>
      </c>
      <c r="N10" s="11" t="s">
        <v>729</v>
      </c>
      <c r="O10" s="11" t="s">
        <v>729</v>
      </c>
      <c r="P10" s="11" t="s">
        <v>729</v>
      </c>
      <c r="Q10" s="11" t="s">
        <v>729</v>
      </c>
      <c r="R10" s="11" t="s">
        <v>729</v>
      </c>
      <c r="S10" s="11" t="s">
        <v>729</v>
      </c>
      <c r="T10" s="11" t="s">
        <v>729</v>
      </c>
      <c r="U10" s="11" t="s">
        <v>729</v>
      </c>
      <c r="V10" s="12" t="s">
        <v>729</v>
      </c>
    </row>
    <row r="11" ht="15.5" customHeight="1" spans="1:22">
      <c r="A11" s="16" t="s">
        <v>692</v>
      </c>
      <c r="B11" s="17" t="s">
        <v>693</v>
      </c>
      <c r="C11" s="6" t="s">
        <v>729</v>
      </c>
      <c r="D11" s="6" t="s">
        <v>729</v>
      </c>
      <c r="E11" s="6" t="s">
        <v>729</v>
      </c>
      <c r="F11" s="6" t="s">
        <v>729</v>
      </c>
      <c r="G11" s="6" t="s">
        <v>729</v>
      </c>
      <c r="H11" s="6" t="s">
        <v>729</v>
      </c>
      <c r="I11" s="6" t="s">
        <v>729</v>
      </c>
      <c r="J11" s="6" t="s">
        <v>729</v>
      </c>
      <c r="K11" s="6" t="s">
        <v>729</v>
      </c>
      <c r="L11" s="6" t="s">
        <v>729</v>
      </c>
      <c r="M11" s="6" t="s">
        <v>729</v>
      </c>
      <c r="N11" s="6" t="s">
        <v>729</v>
      </c>
      <c r="O11" s="6" t="s">
        <v>729</v>
      </c>
      <c r="P11" s="6" t="s">
        <v>729</v>
      </c>
      <c r="Q11" s="6" t="s">
        <v>729</v>
      </c>
      <c r="R11" s="6" t="s">
        <v>729</v>
      </c>
      <c r="S11" s="6" t="s">
        <v>729</v>
      </c>
      <c r="T11" s="6" t="s">
        <v>729</v>
      </c>
      <c r="U11" s="6" t="s">
        <v>729</v>
      </c>
      <c r="V11" s="8" t="s">
        <v>729</v>
      </c>
    </row>
    <row r="12" ht="53" customHeight="1" spans="1:22">
      <c r="A12" s="16"/>
      <c r="B12" s="6" t="s">
        <v>729</v>
      </c>
      <c r="C12" s="6" t="s">
        <v>729</v>
      </c>
      <c r="D12" s="18" t="s">
        <v>996</v>
      </c>
      <c r="E12" s="6" t="s">
        <v>729</v>
      </c>
      <c r="F12" s="11" t="s">
        <v>752</v>
      </c>
      <c r="G12" s="11" t="s">
        <v>752</v>
      </c>
      <c r="H12" s="11" t="s">
        <v>756</v>
      </c>
      <c r="I12" s="11" t="s">
        <v>729</v>
      </c>
      <c r="J12" s="11" t="s">
        <v>729</v>
      </c>
      <c r="K12" s="11" t="s">
        <v>729</v>
      </c>
      <c r="L12" s="11" t="s">
        <v>729</v>
      </c>
      <c r="M12" s="11" t="s">
        <v>729</v>
      </c>
      <c r="N12" s="11" t="s">
        <v>729</v>
      </c>
      <c r="O12" s="11" t="s">
        <v>729</v>
      </c>
      <c r="P12" s="11" t="s">
        <v>729</v>
      </c>
      <c r="Q12" s="11" t="s">
        <v>729</v>
      </c>
      <c r="R12" s="11" t="s">
        <v>729</v>
      </c>
      <c r="S12" s="11" t="s">
        <v>729</v>
      </c>
      <c r="T12" s="11" t="s">
        <v>729</v>
      </c>
      <c r="U12" s="11" t="s">
        <v>729</v>
      </c>
      <c r="V12" s="12" t="s">
        <v>729</v>
      </c>
    </row>
    <row r="13" ht="90.5" customHeight="1" spans="1:22">
      <c r="A13" s="16"/>
      <c r="B13" s="6" t="s">
        <v>729</v>
      </c>
      <c r="C13" s="6" t="s">
        <v>729</v>
      </c>
      <c r="D13" s="18" t="s">
        <v>997</v>
      </c>
      <c r="E13" s="6" t="s">
        <v>729</v>
      </c>
      <c r="F13" s="11" t="s">
        <v>756</v>
      </c>
      <c r="G13" s="11" t="s">
        <v>756</v>
      </c>
      <c r="H13" s="11" t="s">
        <v>752</v>
      </c>
      <c r="I13" s="11" t="s">
        <v>729</v>
      </c>
      <c r="J13" s="11" t="s">
        <v>729</v>
      </c>
      <c r="K13" s="11" t="s">
        <v>729</v>
      </c>
      <c r="L13" s="11" t="s">
        <v>729</v>
      </c>
      <c r="M13" s="11" t="s">
        <v>729</v>
      </c>
      <c r="N13" s="11" t="s">
        <v>729</v>
      </c>
      <c r="O13" s="11" t="s">
        <v>729</v>
      </c>
      <c r="P13" s="11" t="s">
        <v>729</v>
      </c>
      <c r="Q13" s="11" t="s">
        <v>729</v>
      </c>
      <c r="R13" s="11" t="s">
        <v>729</v>
      </c>
      <c r="S13" s="11" t="s">
        <v>729</v>
      </c>
      <c r="T13" s="11" t="s">
        <v>729</v>
      </c>
      <c r="U13" s="11" t="s">
        <v>729</v>
      </c>
      <c r="V13" s="12" t="s">
        <v>729</v>
      </c>
    </row>
    <row r="14" ht="18" customHeight="1" spans="1:22">
      <c r="A14" s="19" t="s">
        <v>696</v>
      </c>
      <c r="B14" s="20" t="s">
        <v>765</v>
      </c>
      <c r="C14" s="20"/>
      <c r="D14" s="20"/>
      <c r="E14" s="6" t="s">
        <v>729</v>
      </c>
      <c r="F14" s="11" t="s">
        <v>670</v>
      </c>
      <c r="G14" s="11" t="s">
        <v>670</v>
      </c>
      <c r="H14" s="11" t="s">
        <v>671</v>
      </c>
      <c r="I14" s="11" t="s">
        <v>729</v>
      </c>
      <c r="J14" s="11" t="s">
        <v>729</v>
      </c>
      <c r="K14" s="11" t="s">
        <v>729</v>
      </c>
      <c r="L14" s="11" t="s">
        <v>729</v>
      </c>
      <c r="M14" s="11" t="s">
        <v>729</v>
      </c>
      <c r="N14" s="11" t="s">
        <v>729</v>
      </c>
      <c r="O14" s="11" t="s">
        <v>729</v>
      </c>
      <c r="P14" s="11" t="s">
        <v>729</v>
      </c>
      <c r="Q14" s="11" t="s">
        <v>729</v>
      </c>
      <c r="R14" s="11" t="s">
        <v>729</v>
      </c>
      <c r="S14" s="11" t="s">
        <v>729</v>
      </c>
      <c r="T14" s="11" t="s">
        <v>729</v>
      </c>
      <c r="U14" s="11" t="s">
        <v>729</v>
      </c>
      <c r="V14" s="12" t="s">
        <v>729</v>
      </c>
    </row>
    <row r="15" ht="18" customHeight="1" spans="1:22">
      <c r="A15" s="19"/>
      <c r="B15" s="20" t="s">
        <v>698</v>
      </c>
      <c r="C15" s="20"/>
      <c r="D15" s="20"/>
      <c r="E15" s="6" t="s">
        <v>729</v>
      </c>
      <c r="F15" s="11" t="s">
        <v>766</v>
      </c>
      <c r="G15" s="11" t="s">
        <v>766</v>
      </c>
      <c r="H15" s="11" t="s">
        <v>766</v>
      </c>
      <c r="I15" s="11" t="s">
        <v>729</v>
      </c>
      <c r="J15" s="11" t="s">
        <v>729</v>
      </c>
      <c r="K15" s="11" t="s">
        <v>729</v>
      </c>
      <c r="L15" s="11" t="s">
        <v>729</v>
      </c>
      <c r="M15" s="11" t="s">
        <v>729</v>
      </c>
      <c r="N15" s="11" t="s">
        <v>729</v>
      </c>
      <c r="O15" s="11" t="s">
        <v>729</v>
      </c>
      <c r="P15" s="11" t="s">
        <v>729</v>
      </c>
      <c r="Q15" s="11" t="s">
        <v>729</v>
      </c>
      <c r="R15" s="11" t="s">
        <v>729</v>
      </c>
      <c r="S15" s="11" t="s">
        <v>729</v>
      </c>
      <c r="T15" s="11" t="s">
        <v>729</v>
      </c>
      <c r="U15" s="11" t="s">
        <v>729</v>
      </c>
      <c r="V15" s="12" t="s">
        <v>729</v>
      </c>
    </row>
    <row r="16" ht="18" customHeight="1" spans="1:22">
      <c r="A16" s="19"/>
      <c r="B16" s="20" t="s">
        <v>699</v>
      </c>
      <c r="C16" s="20"/>
      <c r="D16" s="20"/>
      <c r="E16" s="6" t="s">
        <v>729</v>
      </c>
      <c r="F16" s="6" t="s">
        <v>729</v>
      </c>
      <c r="G16" s="6" t="s">
        <v>729</v>
      </c>
      <c r="H16" s="6" t="s">
        <v>729</v>
      </c>
      <c r="I16" s="6" t="s">
        <v>729</v>
      </c>
      <c r="J16" s="6" t="s">
        <v>729</v>
      </c>
      <c r="K16" s="6" t="s">
        <v>729</v>
      </c>
      <c r="L16" s="6" t="s">
        <v>729</v>
      </c>
      <c r="M16" s="6" t="s">
        <v>729</v>
      </c>
      <c r="N16" s="6" t="s">
        <v>729</v>
      </c>
      <c r="O16" s="6" t="s">
        <v>729</v>
      </c>
      <c r="P16" s="6" t="s">
        <v>729</v>
      </c>
      <c r="Q16" s="6" t="s">
        <v>729</v>
      </c>
      <c r="R16" s="6" t="s">
        <v>729</v>
      </c>
      <c r="S16" s="6" t="s">
        <v>729</v>
      </c>
      <c r="T16" s="6" t="s">
        <v>729</v>
      </c>
      <c r="U16" s="6" t="s">
        <v>729</v>
      </c>
      <c r="V16" s="8" t="s">
        <v>729</v>
      </c>
    </row>
    <row r="17" ht="18" customHeight="1" spans="1:22">
      <c r="A17" s="19"/>
      <c r="B17" s="21" t="s">
        <v>700</v>
      </c>
      <c r="C17" s="21"/>
      <c r="D17" s="21"/>
      <c r="E17" s="22" t="s">
        <v>729</v>
      </c>
      <c r="F17" s="22" t="s">
        <v>729</v>
      </c>
      <c r="G17" s="22" t="s">
        <v>729</v>
      </c>
      <c r="H17" s="22" t="s">
        <v>729</v>
      </c>
      <c r="I17" s="22" t="s">
        <v>729</v>
      </c>
      <c r="J17" s="22" t="s">
        <v>729</v>
      </c>
      <c r="K17" s="22" t="s">
        <v>729</v>
      </c>
      <c r="L17" s="22" t="s">
        <v>729</v>
      </c>
      <c r="M17" s="22" t="s">
        <v>729</v>
      </c>
      <c r="N17" s="22" t="s">
        <v>729</v>
      </c>
      <c r="O17" s="22" t="s">
        <v>729</v>
      </c>
      <c r="P17" s="22" t="s">
        <v>729</v>
      </c>
      <c r="Q17" s="22" t="s">
        <v>729</v>
      </c>
      <c r="R17" s="22" t="s">
        <v>729</v>
      </c>
      <c r="S17" s="22" t="s">
        <v>729</v>
      </c>
      <c r="T17" s="22" t="s">
        <v>729</v>
      </c>
      <c r="U17" s="22" t="s">
        <v>729</v>
      </c>
      <c r="V17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4:D14"/>
    <mergeCell ref="B15:D15"/>
    <mergeCell ref="B16:D16"/>
    <mergeCell ref="B17:D17"/>
    <mergeCell ref="A7:A10"/>
    <mergeCell ref="A11:A13"/>
    <mergeCell ref="A14:A17"/>
  </mergeCells>
  <dataValidations count="3">
    <dataValidation type="list" allowBlank="1" sqref="F10:V10 F8:V9 F12:V13">
      <formula1>"O,-"</formula1>
    </dataValidation>
    <dataValidation type="list" allowBlank="1" sqref="F14:V14">
      <formula1>"N,A,B"</formula1>
    </dataValidation>
    <dataValidation type="list" allowBlank="1" sqref="F15:V15">
      <formula1>"P,F"</formula1>
    </dataValidation>
  </dataValidations>
  <pageMargins left="0.7" right="0.7" top="0.75" bottom="0.75" header="0.3" footer="0.3"/>
  <pageSetup paperSize="1" orientation="portrait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2"/>
  <sheetViews>
    <sheetView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135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221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998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4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4</v>
      </c>
      <c r="M5" s="11">
        <v>0</v>
      </c>
      <c r="N5" s="11">
        <v>0</v>
      </c>
      <c r="O5" s="12">
        <v>4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687</v>
      </c>
      <c r="H6" s="14" t="s">
        <v>688</v>
      </c>
      <c r="I6" s="14" t="s">
        <v>689</v>
      </c>
      <c r="J6" s="14" t="s">
        <v>729</v>
      </c>
      <c r="K6" s="14" t="s">
        <v>729</v>
      </c>
      <c r="L6" s="14" t="s">
        <v>729</v>
      </c>
      <c r="M6" s="14" t="s">
        <v>729</v>
      </c>
      <c r="N6" s="14" t="s">
        <v>729</v>
      </c>
      <c r="O6" s="14" t="s">
        <v>729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28" customHeight="1" spans="1:22">
      <c r="A7" s="16" t="s">
        <v>690</v>
      </c>
      <c r="B7" s="17" t="s">
        <v>999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28" customHeight="1" spans="1:22">
      <c r="A8" s="16"/>
      <c r="B8" s="6" t="s">
        <v>729</v>
      </c>
      <c r="C8" s="6" t="s">
        <v>729</v>
      </c>
      <c r="D8" s="18" t="s">
        <v>1000</v>
      </c>
      <c r="E8" s="6" t="s">
        <v>729</v>
      </c>
      <c r="F8" s="11" t="s">
        <v>752</v>
      </c>
      <c r="G8" s="11" t="s">
        <v>756</v>
      </c>
      <c r="H8" s="11" t="s">
        <v>756</v>
      </c>
      <c r="I8" s="11" t="s">
        <v>756</v>
      </c>
      <c r="J8" s="11" t="s">
        <v>729</v>
      </c>
      <c r="K8" s="11" t="s">
        <v>729</v>
      </c>
      <c r="L8" s="11" t="s">
        <v>729</v>
      </c>
      <c r="M8" s="11" t="s">
        <v>729</v>
      </c>
      <c r="N8" s="11" t="s">
        <v>729</v>
      </c>
      <c r="O8" s="11" t="s">
        <v>729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28" customHeight="1" spans="1:22">
      <c r="A9" s="16"/>
      <c r="B9" s="6" t="s">
        <v>729</v>
      </c>
      <c r="C9" s="6" t="s">
        <v>729</v>
      </c>
      <c r="D9" s="18" t="s">
        <v>1001</v>
      </c>
      <c r="E9" s="6" t="s">
        <v>729</v>
      </c>
      <c r="F9" s="11" t="s">
        <v>756</v>
      </c>
      <c r="G9" s="11" t="s">
        <v>752</v>
      </c>
      <c r="H9" s="11" t="s">
        <v>756</v>
      </c>
      <c r="I9" s="11" t="s">
        <v>756</v>
      </c>
      <c r="J9" s="11" t="s">
        <v>729</v>
      </c>
      <c r="K9" s="11" t="s">
        <v>729</v>
      </c>
      <c r="L9" s="11" t="s">
        <v>729</v>
      </c>
      <c r="M9" s="11" t="s">
        <v>729</v>
      </c>
      <c r="N9" s="11" t="s">
        <v>729</v>
      </c>
      <c r="O9" s="11" t="s">
        <v>729</v>
      </c>
      <c r="P9" s="11" t="s">
        <v>729</v>
      </c>
      <c r="Q9" s="11" t="s">
        <v>729</v>
      </c>
      <c r="R9" s="11" t="s">
        <v>729</v>
      </c>
      <c r="S9" s="11" t="s">
        <v>729</v>
      </c>
      <c r="T9" s="11" t="s">
        <v>729</v>
      </c>
      <c r="U9" s="11" t="s">
        <v>729</v>
      </c>
      <c r="V9" s="12" t="s">
        <v>729</v>
      </c>
    </row>
    <row r="10" ht="28" customHeight="1" spans="1:22">
      <c r="A10" s="16"/>
      <c r="B10" s="6" t="s">
        <v>729</v>
      </c>
      <c r="C10" s="6" t="s">
        <v>729</v>
      </c>
      <c r="D10" s="18" t="s">
        <v>1002</v>
      </c>
      <c r="E10" s="6" t="s">
        <v>729</v>
      </c>
      <c r="F10" s="11" t="s">
        <v>756</v>
      </c>
      <c r="G10" s="11" t="s">
        <v>756</v>
      </c>
      <c r="H10" s="11" t="s">
        <v>752</v>
      </c>
      <c r="I10" s="11" t="s">
        <v>756</v>
      </c>
      <c r="J10" s="11" t="s">
        <v>729</v>
      </c>
      <c r="K10" s="11" t="s">
        <v>729</v>
      </c>
      <c r="L10" s="11" t="s">
        <v>729</v>
      </c>
      <c r="M10" s="11" t="s">
        <v>729</v>
      </c>
      <c r="N10" s="11" t="s">
        <v>729</v>
      </c>
      <c r="O10" s="11" t="s">
        <v>729</v>
      </c>
      <c r="P10" s="11" t="s">
        <v>729</v>
      </c>
      <c r="Q10" s="11" t="s">
        <v>729</v>
      </c>
      <c r="R10" s="11" t="s">
        <v>729</v>
      </c>
      <c r="S10" s="11" t="s">
        <v>729</v>
      </c>
      <c r="T10" s="11" t="s">
        <v>729</v>
      </c>
      <c r="U10" s="11" t="s">
        <v>729</v>
      </c>
      <c r="V10" s="12" t="s">
        <v>729</v>
      </c>
    </row>
    <row r="11" ht="28" customHeight="1" spans="1:22">
      <c r="A11" s="16"/>
      <c r="B11" s="6" t="s">
        <v>729</v>
      </c>
      <c r="C11" s="6" t="s">
        <v>729</v>
      </c>
      <c r="D11" s="18" t="s">
        <v>1003</v>
      </c>
      <c r="E11" s="6" t="s">
        <v>729</v>
      </c>
      <c r="F11" s="11" t="s">
        <v>756</v>
      </c>
      <c r="G11" s="11" t="s">
        <v>756</v>
      </c>
      <c r="H11" s="11" t="s">
        <v>756</v>
      </c>
      <c r="I11" s="11" t="s">
        <v>752</v>
      </c>
      <c r="J11" s="11" t="s">
        <v>729</v>
      </c>
      <c r="K11" s="11" t="s">
        <v>729</v>
      </c>
      <c r="L11" s="11" t="s">
        <v>729</v>
      </c>
      <c r="M11" s="11" t="s">
        <v>729</v>
      </c>
      <c r="N11" s="11" t="s">
        <v>729</v>
      </c>
      <c r="O11" s="11" t="s">
        <v>729</v>
      </c>
      <c r="P11" s="11" t="s">
        <v>729</v>
      </c>
      <c r="Q11" s="11" t="s">
        <v>729</v>
      </c>
      <c r="R11" s="11" t="s">
        <v>729</v>
      </c>
      <c r="S11" s="11" t="s">
        <v>729</v>
      </c>
      <c r="T11" s="11" t="s">
        <v>729</v>
      </c>
      <c r="U11" s="11" t="s">
        <v>729</v>
      </c>
      <c r="V11" s="12" t="s">
        <v>729</v>
      </c>
    </row>
    <row r="12" ht="15.5" customHeight="1" spans="1:22">
      <c r="A12" s="16" t="s">
        <v>692</v>
      </c>
      <c r="B12" s="17" t="s">
        <v>693</v>
      </c>
      <c r="C12" s="6" t="s">
        <v>729</v>
      </c>
      <c r="D12" s="6" t="s">
        <v>729</v>
      </c>
      <c r="E12" s="6" t="s">
        <v>729</v>
      </c>
      <c r="F12" s="6" t="s">
        <v>729</v>
      </c>
      <c r="G12" s="6" t="s">
        <v>729</v>
      </c>
      <c r="H12" s="6" t="s">
        <v>729</v>
      </c>
      <c r="I12" s="6" t="s">
        <v>729</v>
      </c>
      <c r="J12" s="6" t="s">
        <v>729</v>
      </c>
      <c r="K12" s="6" t="s">
        <v>729</v>
      </c>
      <c r="L12" s="6" t="s">
        <v>729</v>
      </c>
      <c r="M12" s="6" t="s">
        <v>729</v>
      </c>
      <c r="N12" s="6" t="s">
        <v>729</v>
      </c>
      <c r="O12" s="6" t="s">
        <v>729</v>
      </c>
      <c r="P12" s="6" t="s">
        <v>729</v>
      </c>
      <c r="Q12" s="6" t="s">
        <v>729</v>
      </c>
      <c r="R12" s="6" t="s">
        <v>729</v>
      </c>
      <c r="S12" s="6" t="s">
        <v>729</v>
      </c>
      <c r="T12" s="6" t="s">
        <v>729</v>
      </c>
      <c r="U12" s="6" t="s">
        <v>729</v>
      </c>
      <c r="V12" s="8" t="s">
        <v>729</v>
      </c>
    </row>
    <row r="13" ht="65.5" customHeight="1" spans="1:22">
      <c r="A13" s="16"/>
      <c r="B13" s="6" t="s">
        <v>729</v>
      </c>
      <c r="C13" s="6" t="s">
        <v>729</v>
      </c>
      <c r="D13" s="18" t="s">
        <v>1004</v>
      </c>
      <c r="E13" s="6" t="s">
        <v>729</v>
      </c>
      <c r="F13" s="11" t="s">
        <v>752</v>
      </c>
      <c r="G13" s="11" t="s">
        <v>756</v>
      </c>
      <c r="H13" s="11" t="s">
        <v>756</v>
      </c>
      <c r="I13" s="11" t="s">
        <v>756</v>
      </c>
      <c r="J13" s="11" t="s">
        <v>729</v>
      </c>
      <c r="K13" s="11" t="s">
        <v>729</v>
      </c>
      <c r="L13" s="11" t="s">
        <v>729</v>
      </c>
      <c r="M13" s="11" t="s">
        <v>729</v>
      </c>
      <c r="N13" s="11" t="s">
        <v>729</v>
      </c>
      <c r="O13" s="11" t="s">
        <v>729</v>
      </c>
      <c r="P13" s="11" t="s">
        <v>729</v>
      </c>
      <c r="Q13" s="11" t="s">
        <v>729</v>
      </c>
      <c r="R13" s="11" t="s">
        <v>729</v>
      </c>
      <c r="S13" s="11" t="s">
        <v>729</v>
      </c>
      <c r="T13" s="11" t="s">
        <v>729</v>
      </c>
      <c r="U13" s="11" t="s">
        <v>729</v>
      </c>
      <c r="V13" s="12" t="s">
        <v>729</v>
      </c>
    </row>
    <row r="14" ht="28" customHeight="1" spans="1:22">
      <c r="A14" s="16"/>
      <c r="B14" s="6" t="s">
        <v>729</v>
      </c>
      <c r="C14" s="6" t="s">
        <v>729</v>
      </c>
      <c r="D14" s="18" t="s">
        <v>1005</v>
      </c>
      <c r="E14" s="6" t="s">
        <v>729</v>
      </c>
      <c r="F14" s="11" t="s">
        <v>756</v>
      </c>
      <c r="G14" s="11" t="s">
        <v>752</v>
      </c>
      <c r="H14" s="11" t="s">
        <v>756</v>
      </c>
      <c r="I14" s="11" t="s">
        <v>756</v>
      </c>
      <c r="J14" s="11" t="s">
        <v>729</v>
      </c>
      <c r="K14" s="11" t="s">
        <v>729</v>
      </c>
      <c r="L14" s="11" t="s">
        <v>729</v>
      </c>
      <c r="M14" s="11" t="s">
        <v>729</v>
      </c>
      <c r="N14" s="11" t="s">
        <v>729</v>
      </c>
      <c r="O14" s="11" t="s">
        <v>729</v>
      </c>
      <c r="P14" s="11" t="s">
        <v>729</v>
      </c>
      <c r="Q14" s="11" t="s">
        <v>729</v>
      </c>
      <c r="R14" s="11" t="s">
        <v>729</v>
      </c>
      <c r="S14" s="11" t="s">
        <v>729</v>
      </c>
      <c r="T14" s="11" t="s">
        <v>729</v>
      </c>
      <c r="U14" s="11" t="s">
        <v>729</v>
      </c>
      <c r="V14" s="12" t="s">
        <v>729</v>
      </c>
    </row>
    <row r="15" ht="40.5" customHeight="1" spans="1:22">
      <c r="A15" s="16"/>
      <c r="B15" s="6" t="s">
        <v>729</v>
      </c>
      <c r="C15" s="6" t="s">
        <v>729</v>
      </c>
      <c r="D15" s="18" t="s">
        <v>1006</v>
      </c>
      <c r="E15" s="6" t="s">
        <v>729</v>
      </c>
      <c r="F15" s="11" t="s">
        <v>756</v>
      </c>
      <c r="G15" s="11" t="s">
        <v>756</v>
      </c>
      <c r="H15" s="11" t="s">
        <v>752</v>
      </c>
      <c r="I15" s="11" t="s">
        <v>756</v>
      </c>
      <c r="J15" s="11" t="s">
        <v>729</v>
      </c>
      <c r="K15" s="11" t="s">
        <v>729</v>
      </c>
      <c r="L15" s="11" t="s">
        <v>729</v>
      </c>
      <c r="M15" s="11" t="s">
        <v>729</v>
      </c>
      <c r="N15" s="11" t="s">
        <v>729</v>
      </c>
      <c r="O15" s="11" t="s">
        <v>729</v>
      </c>
      <c r="P15" s="11" t="s">
        <v>729</v>
      </c>
      <c r="Q15" s="11" t="s">
        <v>729</v>
      </c>
      <c r="R15" s="11" t="s">
        <v>729</v>
      </c>
      <c r="S15" s="11" t="s">
        <v>729</v>
      </c>
      <c r="T15" s="11" t="s">
        <v>729</v>
      </c>
      <c r="U15" s="11" t="s">
        <v>729</v>
      </c>
      <c r="V15" s="12" t="s">
        <v>729</v>
      </c>
    </row>
    <row r="16" ht="53" customHeight="1" spans="1:22">
      <c r="A16" s="16"/>
      <c r="B16" s="6" t="s">
        <v>729</v>
      </c>
      <c r="C16" s="6" t="s">
        <v>729</v>
      </c>
      <c r="D16" s="18" t="s">
        <v>1007</v>
      </c>
      <c r="E16" s="6" t="s">
        <v>729</v>
      </c>
      <c r="F16" s="11" t="s">
        <v>756</v>
      </c>
      <c r="G16" s="11" t="s">
        <v>756</v>
      </c>
      <c r="H16" s="11" t="s">
        <v>756</v>
      </c>
      <c r="I16" s="11" t="s">
        <v>752</v>
      </c>
      <c r="J16" s="11" t="s">
        <v>729</v>
      </c>
      <c r="K16" s="11" t="s">
        <v>729</v>
      </c>
      <c r="L16" s="11" t="s">
        <v>729</v>
      </c>
      <c r="M16" s="11" t="s">
        <v>729</v>
      </c>
      <c r="N16" s="11" t="s">
        <v>729</v>
      </c>
      <c r="O16" s="11" t="s">
        <v>729</v>
      </c>
      <c r="P16" s="11" t="s">
        <v>729</v>
      </c>
      <c r="Q16" s="11" t="s">
        <v>729</v>
      </c>
      <c r="R16" s="11" t="s">
        <v>729</v>
      </c>
      <c r="S16" s="11" t="s">
        <v>729</v>
      </c>
      <c r="T16" s="11" t="s">
        <v>729</v>
      </c>
      <c r="U16" s="11" t="s">
        <v>729</v>
      </c>
      <c r="V16" s="12" t="s">
        <v>729</v>
      </c>
    </row>
    <row r="17" ht="15.5" customHeight="1" spans="1:22">
      <c r="A17" s="16"/>
      <c r="B17" s="17" t="s">
        <v>694</v>
      </c>
      <c r="C17" s="6" t="s">
        <v>729</v>
      </c>
      <c r="D17" s="6" t="s">
        <v>729</v>
      </c>
      <c r="E17" s="6" t="s">
        <v>729</v>
      </c>
      <c r="F17" s="6" t="s">
        <v>729</v>
      </c>
      <c r="G17" s="6" t="s">
        <v>729</v>
      </c>
      <c r="H17" s="6" t="s">
        <v>729</v>
      </c>
      <c r="I17" s="6" t="s">
        <v>729</v>
      </c>
      <c r="J17" s="6" t="s">
        <v>729</v>
      </c>
      <c r="K17" s="6" t="s">
        <v>729</v>
      </c>
      <c r="L17" s="6" t="s">
        <v>729</v>
      </c>
      <c r="M17" s="6" t="s">
        <v>729</v>
      </c>
      <c r="N17" s="6" t="s">
        <v>729</v>
      </c>
      <c r="O17" s="6" t="s">
        <v>729</v>
      </c>
      <c r="P17" s="6" t="s">
        <v>729</v>
      </c>
      <c r="Q17" s="6" t="s">
        <v>729</v>
      </c>
      <c r="R17" s="6" t="s">
        <v>729</v>
      </c>
      <c r="S17" s="6" t="s">
        <v>729</v>
      </c>
      <c r="T17" s="6" t="s">
        <v>729</v>
      </c>
      <c r="U17" s="6" t="s">
        <v>729</v>
      </c>
      <c r="V17" s="8" t="s">
        <v>729</v>
      </c>
    </row>
    <row r="18" ht="78" customHeight="1" spans="1:22">
      <c r="A18" s="16"/>
      <c r="B18" s="6" t="s">
        <v>729</v>
      </c>
      <c r="C18" s="6" t="s">
        <v>729</v>
      </c>
      <c r="D18" s="18" t="s">
        <v>1008</v>
      </c>
      <c r="E18" s="6" t="s">
        <v>729</v>
      </c>
      <c r="F18" s="11" t="s">
        <v>752</v>
      </c>
      <c r="G18" s="11" t="s">
        <v>752</v>
      </c>
      <c r="H18" s="11" t="s">
        <v>752</v>
      </c>
      <c r="I18" s="11" t="s">
        <v>756</v>
      </c>
      <c r="J18" s="11" t="s">
        <v>729</v>
      </c>
      <c r="K18" s="11" t="s">
        <v>729</v>
      </c>
      <c r="L18" s="11" t="s">
        <v>729</v>
      </c>
      <c r="M18" s="11" t="s">
        <v>729</v>
      </c>
      <c r="N18" s="11" t="s">
        <v>729</v>
      </c>
      <c r="O18" s="11" t="s">
        <v>729</v>
      </c>
      <c r="P18" s="11" t="s">
        <v>729</v>
      </c>
      <c r="Q18" s="11" t="s">
        <v>729</v>
      </c>
      <c r="R18" s="11" t="s">
        <v>729</v>
      </c>
      <c r="S18" s="11" t="s">
        <v>729</v>
      </c>
      <c r="T18" s="11" t="s">
        <v>729</v>
      </c>
      <c r="U18" s="11" t="s">
        <v>729</v>
      </c>
      <c r="V18" s="12" t="s">
        <v>729</v>
      </c>
    </row>
    <row r="19" ht="18" customHeight="1" spans="1:22">
      <c r="A19" s="19" t="s">
        <v>696</v>
      </c>
      <c r="B19" s="20" t="s">
        <v>765</v>
      </c>
      <c r="C19" s="20"/>
      <c r="D19" s="20"/>
      <c r="E19" s="6" t="s">
        <v>729</v>
      </c>
      <c r="F19" s="11" t="s">
        <v>670</v>
      </c>
      <c r="G19" s="11" t="s">
        <v>670</v>
      </c>
      <c r="H19" s="11" t="s">
        <v>670</v>
      </c>
      <c r="I19" s="11" t="s">
        <v>670</v>
      </c>
      <c r="J19" s="11" t="s">
        <v>729</v>
      </c>
      <c r="K19" s="11" t="s">
        <v>729</v>
      </c>
      <c r="L19" s="11" t="s">
        <v>729</v>
      </c>
      <c r="M19" s="11" t="s">
        <v>729</v>
      </c>
      <c r="N19" s="11" t="s">
        <v>729</v>
      </c>
      <c r="O19" s="11" t="s">
        <v>729</v>
      </c>
      <c r="P19" s="11" t="s">
        <v>729</v>
      </c>
      <c r="Q19" s="11" t="s">
        <v>729</v>
      </c>
      <c r="R19" s="11" t="s">
        <v>729</v>
      </c>
      <c r="S19" s="11" t="s">
        <v>729</v>
      </c>
      <c r="T19" s="11" t="s">
        <v>729</v>
      </c>
      <c r="U19" s="11" t="s">
        <v>729</v>
      </c>
      <c r="V19" s="12" t="s">
        <v>729</v>
      </c>
    </row>
    <row r="20" ht="18" customHeight="1" spans="1:22">
      <c r="A20" s="19"/>
      <c r="B20" s="20" t="s">
        <v>698</v>
      </c>
      <c r="C20" s="20"/>
      <c r="D20" s="20"/>
      <c r="E20" s="6" t="s">
        <v>729</v>
      </c>
      <c r="F20" s="11" t="s">
        <v>766</v>
      </c>
      <c r="G20" s="11" t="s">
        <v>766</v>
      </c>
      <c r="H20" s="11" t="s">
        <v>766</v>
      </c>
      <c r="I20" s="11" t="s">
        <v>766</v>
      </c>
      <c r="J20" s="11" t="s">
        <v>729</v>
      </c>
      <c r="K20" s="11" t="s">
        <v>729</v>
      </c>
      <c r="L20" s="11" t="s">
        <v>729</v>
      </c>
      <c r="M20" s="11" t="s">
        <v>729</v>
      </c>
      <c r="N20" s="11" t="s">
        <v>729</v>
      </c>
      <c r="O20" s="11" t="s">
        <v>729</v>
      </c>
      <c r="P20" s="11" t="s">
        <v>729</v>
      </c>
      <c r="Q20" s="11" t="s">
        <v>729</v>
      </c>
      <c r="R20" s="11" t="s">
        <v>729</v>
      </c>
      <c r="S20" s="11" t="s">
        <v>729</v>
      </c>
      <c r="T20" s="11" t="s">
        <v>729</v>
      </c>
      <c r="U20" s="11" t="s">
        <v>729</v>
      </c>
      <c r="V20" s="12" t="s">
        <v>729</v>
      </c>
    </row>
    <row r="21" ht="18" customHeight="1" spans="1:22">
      <c r="A21" s="19"/>
      <c r="B21" s="20" t="s">
        <v>699</v>
      </c>
      <c r="C21" s="20"/>
      <c r="D21" s="20"/>
      <c r="E21" s="6" t="s">
        <v>729</v>
      </c>
      <c r="F21" s="6" t="s">
        <v>729</v>
      </c>
      <c r="G21" s="6" t="s">
        <v>729</v>
      </c>
      <c r="H21" s="6" t="s">
        <v>729</v>
      </c>
      <c r="I21" s="6" t="s">
        <v>729</v>
      </c>
      <c r="J21" s="6" t="s">
        <v>729</v>
      </c>
      <c r="K21" s="6" t="s">
        <v>729</v>
      </c>
      <c r="L21" s="6" t="s">
        <v>729</v>
      </c>
      <c r="M21" s="6" t="s">
        <v>729</v>
      </c>
      <c r="N21" s="6" t="s">
        <v>729</v>
      </c>
      <c r="O21" s="6" t="s">
        <v>729</v>
      </c>
      <c r="P21" s="6" t="s">
        <v>729</v>
      </c>
      <c r="Q21" s="6" t="s">
        <v>729</v>
      </c>
      <c r="R21" s="6" t="s">
        <v>729</v>
      </c>
      <c r="S21" s="6" t="s">
        <v>729</v>
      </c>
      <c r="T21" s="6" t="s">
        <v>729</v>
      </c>
      <c r="U21" s="6" t="s">
        <v>729</v>
      </c>
      <c r="V21" s="8" t="s">
        <v>729</v>
      </c>
    </row>
    <row r="22" ht="18" customHeight="1" spans="1:22">
      <c r="A22" s="19"/>
      <c r="B22" s="21" t="s">
        <v>700</v>
      </c>
      <c r="C22" s="21"/>
      <c r="D22" s="21"/>
      <c r="E22" s="22" t="s">
        <v>729</v>
      </c>
      <c r="F22" s="22" t="s">
        <v>729</v>
      </c>
      <c r="G22" s="22" t="s">
        <v>729</v>
      </c>
      <c r="H22" s="22" t="s">
        <v>729</v>
      </c>
      <c r="I22" s="22" t="s">
        <v>729</v>
      </c>
      <c r="J22" s="22" t="s">
        <v>729</v>
      </c>
      <c r="K22" s="22" t="s">
        <v>729</v>
      </c>
      <c r="L22" s="22" t="s">
        <v>729</v>
      </c>
      <c r="M22" s="22" t="s">
        <v>729</v>
      </c>
      <c r="N22" s="22" t="s">
        <v>729</v>
      </c>
      <c r="O22" s="22" t="s">
        <v>729</v>
      </c>
      <c r="P22" s="22" t="s">
        <v>729</v>
      </c>
      <c r="Q22" s="22" t="s">
        <v>729</v>
      </c>
      <c r="R22" s="22" t="s">
        <v>729</v>
      </c>
      <c r="S22" s="22" t="s">
        <v>729</v>
      </c>
      <c r="T22" s="22" t="s">
        <v>729</v>
      </c>
      <c r="U22" s="22" t="s">
        <v>729</v>
      </c>
      <c r="V22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9:D19"/>
    <mergeCell ref="B20:D20"/>
    <mergeCell ref="B21:D21"/>
    <mergeCell ref="B22:D22"/>
    <mergeCell ref="A7:A11"/>
    <mergeCell ref="A12:A18"/>
    <mergeCell ref="A19:A22"/>
  </mergeCells>
  <dataValidations count="3">
    <dataValidation type="list" allowBlank="1" sqref="F18:V18 F8:V9 F10:V11 F13:V16">
      <formula1>"O,-"</formula1>
    </dataValidation>
    <dataValidation type="list" allowBlank="1" sqref="F19:V19">
      <formula1>"N,A,B"</formula1>
    </dataValidation>
    <dataValidation type="list" allowBlank="1" sqref="F20:V20">
      <formula1>"P,F"</formula1>
    </dataValidation>
  </dataValidations>
  <pageMargins left="0.7" right="0.7" top="0.75" bottom="0.75" header="0.3" footer="0.3"/>
  <pageSetup paperSize="1" orientation="portrait"/>
  <headerFooter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8"/>
  <sheetViews>
    <sheetView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135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226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1009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3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3</v>
      </c>
      <c r="M5" s="11">
        <v>0</v>
      </c>
      <c r="N5" s="11">
        <v>0</v>
      </c>
      <c r="O5" s="12">
        <v>3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687</v>
      </c>
      <c r="H6" s="14" t="s">
        <v>688</v>
      </c>
      <c r="I6" s="14" t="s">
        <v>729</v>
      </c>
      <c r="J6" s="14" t="s">
        <v>729</v>
      </c>
      <c r="K6" s="14" t="s">
        <v>729</v>
      </c>
      <c r="L6" s="14" t="s">
        <v>729</v>
      </c>
      <c r="M6" s="14" t="s">
        <v>729</v>
      </c>
      <c r="N6" s="14" t="s">
        <v>729</v>
      </c>
      <c r="O6" s="14" t="s">
        <v>729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15.5" customHeight="1" spans="1:22">
      <c r="A7" s="16" t="s">
        <v>690</v>
      </c>
      <c r="B7" s="17" t="s">
        <v>1010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40.5" customHeight="1" spans="1:22">
      <c r="A8" s="16"/>
      <c r="B8" s="6" t="s">
        <v>729</v>
      </c>
      <c r="C8" s="6" t="s">
        <v>729</v>
      </c>
      <c r="D8" s="18" t="s">
        <v>1011</v>
      </c>
      <c r="E8" s="6" t="s">
        <v>729</v>
      </c>
      <c r="F8" s="11" t="s">
        <v>752</v>
      </c>
      <c r="G8" s="11" t="s">
        <v>756</v>
      </c>
      <c r="H8" s="11" t="s">
        <v>756</v>
      </c>
      <c r="I8" s="11" t="s">
        <v>729</v>
      </c>
      <c r="J8" s="11" t="s">
        <v>729</v>
      </c>
      <c r="K8" s="11" t="s">
        <v>729</v>
      </c>
      <c r="L8" s="11" t="s">
        <v>729</v>
      </c>
      <c r="M8" s="11" t="s">
        <v>729</v>
      </c>
      <c r="N8" s="11" t="s">
        <v>729</v>
      </c>
      <c r="O8" s="11" t="s">
        <v>729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40.5" customHeight="1" spans="1:22">
      <c r="A9" s="16"/>
      <c r="B9" s="6" t="s">
        <v>729</v>
      </c>
      <c r="C9" s="6" t="s">
        <v>729</v>
      </c>
      <c r="D9" s="18" t="s">
        <v>1012</v>
      </c>
      <c r="E9" s="6" t="s">
        <v>729</v>
      </c>
      <c r="F9" s="11" t="s">
        <v>756</v>
      </c>
      <c r="G9" s="11" t="s">
        <v>752</v>
      </c>
      <c r="H9" s="11" t="s">
        <v>756</v>
      </c>
      <c r="I9" s="11" t="s">
        <v>729</v>
      </c>
      <c r="J9" s="11" t="s">
        <v>729</v>
      </c>
      <c r="K9" s="11" t="s">
        <v>729</v>
      </c>
      <c r="L9" s="11" t="s">
        <v>729</v>
      </c>
      <c r="M9" s="11" t="s">
        <v>729</v>
      </c>
      <c r="N9" s="11" t="s">
        <v>729</v>
      </c>
      <c r="O9" s="11" t="s">
        <v>729</v>
      </c>
      <c r="P9" s="11" t="s">
        <v>729</v>
      </c>
      <c r="Q9" s="11" t="s">
        <v>729</v>
      </c>
      <c r="R9" s="11" t="s">
        <v>729</v>
      </c>
      <c r="S9" s="11" t="s">
        <v>729</v>
      </c>
      <c r="T9" s="11" t="s">
        <v>729</v>
      </c>
      <c r="U9" s="11" t="s">
        <v>729</v>
      </c>
      <c r="V9" s="12" t="s">
        <v>729</v>
      </c>
    </row>
    <row r="10" ht="40.5" customHeight="1" spans="1:22">
      <c r="A10" s="16"/>
      <c r="B10" s="6" t="s">
        <v>729</v>
      </c>
      <c r="C10" s="6" t="s">
        <v>729</v>
      </c>
      <c r="D10" s="18" t="s">
        <v>1013</v>
      </c>
      <c r="E10" s="6" t="s">
        <v>729</v>
      </c>
      <c r="F10" s="11" t="s">
        <v>756</v>
      </c>
      <c r="G10" s="11" t="s">
        <v>756</v>
      </c>
      <c r="H10" s="11" t="s">
        <v>752</v>
      </c>
      <c r="I10" s="11" t="s">
        <v>729</v>
      </c>
      <c r="J10" s="11" t="s">
        <v>729</v>
      </c>
      <c r="K10" s="11" t="s">
        <v>729</v>
      </c>
      <c r="L10" s="11" t="s">
        <v>729</v>
      </c>
      <c r="M10" s="11" t="s">
        <v>729</v>
      </c>
      <c r="N10" s="11" t="s">
        <v>729</v>
      </c>
      <c r="O10" s="11" t="s">
        <v>729</v>
      </c>
      <c r="P10" s="11" t="s">
        <v>729</v>
      </c>
      <c r="Q10" s="11" t="s">
        <v>729</v>
      </c>
      <c r="R10" s="11" t="s">
        <v>729</v>
      </c>
      <c r="S10" s="11" t="s">
        <v>729</v>
      </c>
      <c r="T10" s="11" t="s">
        <v>729</v>
      </c>
      <c r="U10" s="11" t="s">
        <v>729</v>
      </c>
      <c r="V10" s="12" t="s">
        <v>729</v>
      </c>
    </row>
    <row r="11" ht="15.5" customHeight="1" spans="1:22">
      <c r="A11" s="16" t="s">
        <v>692</v>
      </c>
      <c r="B11" s="17" t="s">
        <v>693</v>
      </c>
      <c r="C11" s="6" t="s">
        <v>729</v>
      </c>
      <c r="D11" s="6" t="s">
        <v>729</v>
      </c>
      <c r="E11" s="6" t="s">
        <v>729</v>
      </c>
      <c r="F11" s="6" t="s">
        <v>729</v>
      </c>
      <c r="G11" s="6" t="s">
        <v>729</v>
      </c>
      <c r="H11" s="6" t="s">
        <v>729</v>
      </c>
      <c r="I11" s="6" t="s">
        <v>729</v>
      </c>
      <c r="J11" s="6" t="s">
        <v>729</v>
      </c>
      <c r="K11" s="6" t="s">
        <v>729</v>
      </c>
      <c r="L11" s="6" t="s">
        <v>729</v>
      </c>
      <c r="M11" s="6" t="s">
        <v>729</v>
      </c>
      <c r="N11" s="6" t="s">
        <v>729</v>
      </c>
      <c r="O11" s="6" t="s">
        <v>729</v>
      </c>
      <c r="P11" s="6" t="s">
        <v>729</v>
      </c>
      <c r="Q11" s="6" t="s">
        <v>729</v>
      </c>
      <c r="R11" s="6" t="s">
        <v>729</v>
      </c>
      <c r="S11" s="6" t="s">
        <v>729</v>
      </c>
      <c r="T11" s="6" t="s">
        <v>729</v>
      </c>
      <c r="U11" s="6" t="s">
        <v>729</v>
      </c>
      <c r="V11" s="8" t="s">
        <v>729</v>
      </c>
    </row>
    <row r="12" ht="40.5" customHeight="1" spans="1:22">
      <c r="A12" s="16"/>
      <c r="B12" s="6" t="s">
        <v>729</v>
      </c>
      <c r="C12" s="6" t="s">
        <v>729</v>
      </c>
      <c r="D12" s="18" t="s">
        <v>1014</v>
      </c>
      <c r="E12" s="6" t="s">
        <v>729</v>
      </c>
      <c r="F12" s="11" t="s">
        <v>752</v>
      </c>
      <c r="G12" s="11" t="s">
        <v>752</v>
      </c>
      <c r="H12" s="11" t="s">
        <v>752</v>
      </c>
      <c r="I12" s="11" t="s">
        <v>729</v>
      </c>
      <c r="J12" s="11" t="s">
        <v>729</v>
      </c>
      <c r="K12" s="11" t="s">
        <v>729</v>
      </c>
      <c r="L12" s="11" t="s">
        <v>729</v>
      </c>
      <c r="M12" s="11" t="s">
        <v>729</v>
      </c>
      <c r="N12" s="11" t="s">
        <v>729</v>
      </c>
      <c r="O12" s="11" t="s">
        <v>729</v>
      </c>
      <c r="P12" s="11" t="s">
        <v>729</v>
      </c>
      <c r="Q12" s="11" t="s">
        <v>729</v>
      </c>
      <c r="R12" s="11" t="s">
        <v>729</v>
      </c>
      <c r="S12" s="11" t="s">
        <v>729</v>
      </c>
      <c r="T12" s="11" t="s">
        <v>729</v>
      </c>
      <c r="U12" s="11" t="s">
        <v>729</v>
      </c>
      <c r="V12" s="12" t="s">
        <v>729</v>
      </c>
    </row>
    <row r="13" ht="65.5" customHeight="1" spans="1:22">
      <c r="A13" s="16"/>
      <c r="B13" s="6" t="s">
        <v>729</v>
      </c>
      <c r="C13" s="6" t="s">
        <v>729</v>
      </c>
      <c r="D13" s="18" t="s">
        <v>1015</v>
      </c>
      <c r="E13" s="6" t="s">
        <v>729</v>
      </c>
      <c r="F13" s="11" t="s">
        <v>756</v>
      </c>
      <c r="G13" s="11" t="s">
        <v>752</v>
      </c>
      <c r="H13" s="11" t="s">
        <v>756</v>
      </c>
      <c r="I13" s="11" t="s">
        <v>729</v>
      </c>
      <c r="J13" s="11" t="s">
        <v>729</v>
      </c>
      <c r="K13" s="11" t="s">
        <v>729</v>
      </c>
      <c r="L13" s="11" t="s">
        <v>729</v>
      </c>
      <c r="M13" s="11" t="s">
        <v>729</v>
      </c>
      <c r="N13" s="11" t="s">
        <v>729</v>
      </c>
      <c r="O13" s="11" t="s">
        <v>729</v>
      </c>
      <c r="P13" s="11" t="s">
        <v>729</v>
      </c>
      <c r="Q13" s="11" t="s">
        <v>729</v>
      </c>
      <c r="R13" s="11" t="s">
        <v>729</v>
      </c>
      <c r="S13" s="11" t="s">
        <v>729</v>
      </c>
      <c r="T13" s="11" t="s">
        <v>729</v>
      </c>
      <c r="U13" s="11" t="s">
        <v>729</v>
      </c>
      <c r="V13" s="12" t="s">
        <v>729</v>
      </c>
    </row>
    <row r="14" ht="40.5" customHeight="1" spans="1:22">
      <c r="A14" s="16"/>
      <c r="B14" s="6" t="s">
        <v>729</v>
      </c>
      <c r="C14" s="6" t="s">
        <v>729</v>
      </c>
      <c r="D14" s="18" t="s">
        <v>1016</v>
      </c>
      <c r="E14" s="6" t="s">
        <v>729</v>
      </c>
      <c r="F14" s="11" t="s">
        <v>752</v>
      </c>
      <c r="G14" s="11" t="s">
        <v>756</v>
      </c>
      <c r="H14" s="11" t="s">
        <v>752</v>
      </c>
      <c r="I14" s="11" t="s">
        <v>729</v>
      </c>
      <c r="J14" s="11" t="s">
        <v>729</v>
      </c>
      <c r="K14" s="11" t="s">
        <v>729</v>
      </c>
      <c r="L14" s="11" t="s">
        <v>729</v>
      </c>
      <c r="M14" s="11" t="s">
        <v>729</v>
      </c>
      <c r="N14" s="11" t="s">
        <v>729</v>
      </c>
      <c r="O14" s="11" t="s">
        <v>729</v>
      </c>
      <c r="P14" s="11" t="s">
        <v>729</v>
      </c>
      <c r="Q14" s="11" t="s">
        <v>729</v>
      </c>
      <c r="R14" s="11" t="s">
        <v>729</v>
      </c>
      <c r="S14" s="11" t="s">
        <v>729</v>
      </c>
      <c r="T14" s="11" t="s">
        <v>729</v>
      </c>
      <c r="U14" s="11" t="s">
        <v>729</v>
      </c>
      <c r="V14" s="12" t="s">
        <v>729</v>
      </c>
    </row>
    <row r="15" ht="18" customHeight="1" spans="1:22">
      <c r="A15" s="19" t="s">
        <v>696</v>
      </c>
      <c r="B15" s="20" t="s">
        <v>765</v>
      </c>
      <c r="C15" s="20"/>
      <c r="D15" s="20"/>
      <c r="E15" s="6" t="s">
        <v>729</v>
      </c>
      <c r="F15" s="11" t="s">
        <v>670</v>
      </c>
      <c r="G15" s="11" t="s">
        <v>670</v>
      </c>
      <c r="H15" s="11" t="s">
        <v>670</v>
      </c>
      <c r="I15" s="11" t="s">
        <v>729</v>
      </c>
      <c r="J15" s="11" t="s">
        <v>729</v>
      </c>
      <c r="K15" s="11" t="s">
        <v>729</v>
      </c>
      <c r="L15" s="11" t="s">
        <v>729</v>
      </c>
      <c r="M15" s="11" t="s">
        <v>729</v>
      </c>
      <c r="N15" s="11" t="s">
        <v>729</v>
      </c>
      <c r="O15" s="11" t="s">
        <v>729</v>
      </c>
      <c r="P15" s="11" t="s">
        <v>729</v>
      </c>
      <c r="Q15" s="11" t="s">
        <v>729</v>
      </c>
      <c r="R15" s="11" t="s">
        <v>729</v>
      </c>
      <c r="S15" s="11" t="s">
        <v>729</v>
      </c>
      <c r="T15" s="11" t="s">
        <v>729</v>
      </c>
      <c r="U15" s="11" t="s">
        <v>729</v>
      </c>
      <c r="V15" s="12" t="s">
        <v>729</v>
      </c>
    </row>
    <row r="16" ht="18" customHeight="1" spans="1:22">
      <c r="A16" s="19"/>
      <c r="B16" s="20" t="s">
        <v>698</v>
      </c>
      <c r="C16" s="20"/>
      <c r="D16" s="20"/>
      <c r="E16" s="6" t="s">
        <v>729</v>
      </c>
      <c r="F16" s="11" t="s">
        <v>766</v>
      </c>
      <c r="G16" s="11" t="s">
        <v>766</v>
      </c>
      <c r="H16" s="11" t="s">
        <v>766</v>
      </c>
      <c r="I16" s="11" t="s">
        <v>729</v>
      </c>
      <c r="J16" s="11" t="s">
        <v>729</v>
      </c>
      <c r="K16" s="11" t="s">
        <v>729</v>
      </c>
      <c r="L16" s="11" t="s">
        <v>729</v>
      </c>
      <c r="M16" s="11" t="s">
        <v>729</v>
      </c>
      <c r="N16" s="11" t="s">
        <v>729</v>
      </c>
      <c r="O16" s="11" t="s">
        <v>729</v>
      </c>
      <c r="P16" s="11" t="s">
        <v>729</v>
      </c>
      <c r="Q16" s="11" t="s">
        <v>729</v>
      </c>
      <c r="R16" s="11" t="s">
        <v>729</v>
      </c>
      <c r="S16" s="11" t="s">
        <v>729</v>
      </c>
      <c r="T16" s="11" t="s">
        <v>729</v>
      </c>
      <c r="U16" s="11" t="s">
        <v>729</v>
      </c>
      <c r="V16" s="12" t="s">
        <v>729</v>
      </c>
    </row>
    <row r="17" ht="18" customHeight="1" spans="1:22">
      <c r="A17" s="19"/>
      <c r="B17" s="20" t="s">
        <v>699</v>
      </c>
      <c r="C17" s="20"/>
      <c r="D17" s="20"/>
      <c r="E17" s="6" t="s">
        <v>729</v>
      </c>
      <c r="F17" s="6" t="s">
        <v>729</v>
      </c>
      <c r="G17" s="6" t="s">
        <v>729</v>
      </c>
      <c r="H17" s="6" t="s">
        <v>729</v>
      </c>
      <c r="I17" s="6" t="s">
        <v>729</v>
      </c>
      <c r="J17" s="6" t="s">
        <v>729</v>
      </c>
      <c r="K17" s="6" t="s">
        <v>729</v>
      </c>
      <c r="L17" s="6" t="s">
        <v>729</v>
      </c>
      <c r="M17" s="6" t="s">
        <v>729</v>
      </c>
      <c r="N17" s="6" t="s">
        <v>729</v>
      </c>
      <c r="O17" s="6" t="s">
        <v>729</v>
      </c>
      <c r="P17" s="6" t="s">
        <v>729</v>
      </c>
      <c r="Q17" s="6" t="s">
        <v>729</v>
      </c>
      <c r="R17" s="6" t="s">
        <v>729</v>
      </c>
      <c r="S17" s="6" t="s">
        <v>729</v>
      </c>
      <c r="T17" s="6" t="s">
        <v>729</v>
      </c>
      <c r="U17" s="6" t="s">
        <v>729</v>
      </c>
      <c r="V17" s="8" t="s">
        <v>729</v>
      </c>
    </row>
    <row r="18" ht="18" customHeight="1" spans="1:22">
      <c r="A18" s="19"/>
      <c r="B18" s="21" t="s">
        <v>700</v>
      </c>
      <c r="C18" s="21"/>
      <c r="D18" s="21"/>
      <c r="E18" s="22" t="s">
        <v>729</v>
      </c>
      <c r="F18" s="22" t="s">
        <v>729</v>
      </c>
      <c r="G18" s="22" t="s">
        <v>729</v>
      </c>
      <c r="H18" s="22" t="s">
        <v>729</v>
      </c>
      <c r="I18" s="22" t="s">
        <v>729</v>
      </c>
      <c r="J18" s="22" t="s">
        <v>729</v>
      </c>
      <c r="K18" s="22" t="s">
        <v>729</v>
      </c>
      <c r="L18" s="22" t="s">
        <v>729</v>
      </c>
      <c r="M18" s="22" t="s">
        <v>729</v>
      </c>
      <c r="N18" s="22" t="s">
        <v>729</v>
      </c>
      <c r="O18" s="22" t="s">
        <v>729</v>
      </c>
      <c r="P18" s="22" t="s">
        <v>729</v>
      </c>
      <c r="Q18" s="22" t="s">
        <v>729</v>
      </c>
      <c r="R18" s="22" t="s">
        <v>729</v>
      </c>
      <c r="S18" s="22" t="s">
        <v>729</v>
      </c>
      <c r="T18" s="22" t="s">
        <v>729</v>
      </c>
      <c r="U18" s="22" t="s">
        <v>729</v>
      </c>
      <c r="V18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5:D15"/>
    <mergeCell ref="B16:D16"/>
    <mergeCell ref="B17:D17"/>
    <mergeCell ref="B18:D18"/>
    <mergeCell ref="A7:A10"/>
    <mergeCell ref="A11:A14"/>
    <mergeCell ref="A15:A18"/>
  </mergeCells>
  <dataValidations count="3">
    <dataValidation type="list" allowBlank="1" sqref="F10:V10 F12:V14 F8:V9">
      <formula1>"O,-"</formula1>
    </dataValidation>
    <dataValidation type="list" allowBlank="1" sqref="F15:V15">
      <formula1>"N,A,B"</formula1>
    </dataValidation>
    <dataValidation type="list" allowBlank="1" sqref="F16:V16">
      <formula1>"P,F"</formula1>
    </dataValidation>
  </dataValidations>
  <pageMargins left="0.7" right="0.7" top="0.75" bottom="0.75" header="0.3" footer="0.3"/>
  <pageSetup paperSize="1" orientation="portrait"/>
  <headerFooter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7"/>
  <sheetViews>
    <sheetView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135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231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1017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2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0</v>
      </c>
      <c r="M5" s="11">
        <v>2</v>
      </c>
      <c r="N5" s="11">
        <v>0</v>
      </c>
      <c r="O5" s="12">
        <v>2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687</v>
      </c>
      <c r="H6" s="14" t="s">
        <v>729</v>
      </c>
      <c r="I6" s="14" t="s">
        <v>729</v>
      </c>
      <c r="J6" s="14" t="s">
        <v>729</v>
      </c>
      <c r="K6" s="14" t="s">
        <v>729</v>
      </c>
      <c r="L6" s="14" t="s">
        <v>729</v>
      </c>
      <c r="M6" s="14" t="s">
        <v>729</v>
      </c>
      <c r="N6" s="14" t="s">
        <v>729</v>
      </c>
      <c r="O6" s="14" t="s">
        <v>729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15.5" customHeight="1" spans="1:22">
      <c r="A7" s="16" t="s">
        <v>690</v>
      </c>
      <c r="B7" s="17" t="s">
        <v>750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28" customHeight="1" spans="1:22">
      <c r="A8" s="16"/>
      <c r="B8" s="6" t="s">
        <v>729</v>
      </c>
      <c r="C8" s="6" t="s">
        <v>729</v>
      </c>
      <c r="D8" s="18" t="s">
        <v>235</v>
      </c>
      <c r="E8" s="6" t="s">
        <v>729</v>
      </c>
      <c r="F8" s="11" t="s">
        <v>752</v>
      </c>
      <c r="G8" s="11" t="s">
        <v>752</v>
      </c>
      <c r="H8" s="11" t="s">
        <v>729</v>
      </c>
      <c r="I8" s="11" t="s">
        <v>729</v>
      </c>
      <c r="J8" s="11" t="s">
        <v>729</v>
      </c>
      <c r="K8" s="11" t="s">
        <v>729</v>
      </c>
      <c r="L8" s="11" t="s">
        <v>729</v>
      </c>
      <c r="M8" s="11" t="s">
        <v>729</v>
      </c>
      <c r="N8" s="11" t="s">
        <v>729</v>
      </c>
      <c r="O8" s="11" t="s">
        <v>729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15.5" customHeight="1" spans="1:22">
      <c r="A9" s="16" t="s">
        <v>692</v>
      </c>
      <c r="B9" s="17" t="s">
        <v>693</v>
      </c>
      <c r="C9" s="6" t="s">
        <v>729</v>
      </c>
      <c r="D9" s="6" t="s">
        <v>729</v>
      </c>
      <c r="E9" s="6" t="s">
        <v>729</v>
      </c>
      <c r="F9" s="6" t="s">
        <v>729</v>
      </c>
      <c r="G9" s="6" t="s">
        <v>729</v>
      </c>
      <c r="H9" s="6" t="s">
        <v>729</v>
      </c>
      <c r="I9" s="6" t="s">
        <v>729</v>
      </c>
      <c r="J9" s="6" t="s">
        <v>729</v>
      </c>
      <c r="K9" s="6" t="s">
        <v>729</v>
      </c>
      <c r="L9" s="6" t="s">
        <v>729</v>
      </c>
      <c r="M9" s="6" t="s">
        <v>729</v>
      </c>
      <c r="N9" s="6" t="s">
        <v>729</v>
      </c>
      <c r="O9" s="6" t="s">
        <v>729</v>
      </c>
      <c r="P9" s="6" t="s">
        <v>729</v>
      </c>
      <c r="Q9" s="6" t="s">
        <v>729</v>
      </c>
      <c r="R9" s="6" t="s">
        <v>729</v>
      </c>
      <c r="S9" s="6" t="s">
        <v>729</v>
      </c>
      <c r="T9" s="6" t="s">
        <v>729</v>
      </c>
      <c r="U9" s="6" t="s">
        <v>729</v>
      </c>
      <c r="V9" s="8" t="s">
        <v>729</v>
      </c>
    </row>
    <row r="10" ht="90.5" customHeight="1" spans="1:22">
      <c r="A10" s="16"/>
      <c r="B10" s="6" t="s">
        <v>729</v>
      </c>
      <c r="C10" s="6" t="s">
        <v>729</v>
      </c>
      <c r="D10" s="18" t="s">
        <v>1018</v>
      </c>
      <c r="E10" s="6" t="s">
        <v>729</v>
      </c>
      <c r="F10" s="11" t="s">
        <v>752</v>
      </c>
      <c r="G10" s="11" t="s">
        <v>752</v>
      </c>
      <c r="H10" s="11" t="s">
        <v>729</v>
      </c>
      <c r="I10" s="11" t="s">
        <v>729</v>
      </c>
      <c r="J10" s="11" t="s">
        <v>729</v>
      </c>
      <c r="K10" s="11" t="s">
        <v>729</v>
      </c>
      <c r="L10" s="11" t="s">
        <v>729</v>
      </c>
      <c r="M10" s="11" t="s">
        <v>729</v>
      </c>
      <c r="N10" s="11" t="s">
        <v>729</v>
      </c>
      <c r="O10" s="11" t="s">
        <v>729</v>
      </c>
      <c r="P10" s="11" t="s">
        <v>729</v>
      </c>
      <c r="Q10" s="11" t="s">
        <v>729</v>
      </c>
      <c r="R10" s="11" t="s">
        <v>729</v>
      </c>
      <c r="S10" s="11" t="s">
        <v>729</v>
      </c>
      <c r="T10" s="11" t="s">
        <v>729</v>
      </c>
      <c r="U10" s="11" t="s">
        <v>729</v>
      </c>
      <c r="V10" s="12" t="s">
        <v>729</v>
      </c>
    </row>
    <row r="11" ht="103" customHeight="1" spans="1:22">
      <c r="A11" s="16"/>
      <c r="B11" s="6" t="s">
        <v>729</v>
      </c>
      <c r="C11" s="6" t="s">
        <v>729</v>
      </c>
      <c r="D11" s="18" t="s">
        <v>1019</v>
      </c>
      <c r="E11" s="6" t="s">
        <v>729</v>
      </c>
      <c r="F11" s="11" t="s">
        <v>752</v>
      </c>
      <c r="G11" s="11" t="s">
        <v>756</v>
      </c>
      <c r="H11" s="11" t="s">
        <v>729</v>
      </c>
      <c r="I11" s="11" t="s">
        <v>729</v>
      </c>
      <c r="J11" s="11" t="s">
        <v>729</v>
      </c>
      <c r="K11" s="11" t="s">
        <v>729</v>
      </c>
      <c r="L11" s="11" t="s">
        <v>729</v>
      </c>
      <c r="M11" s="11" t="s">
        <v>729</v>
      </c>
      <c r="N11" s="11" t="s">
        <v>729</v>
      </c>
      <c r="O11" s="11" t="s">
        <v>729</v>
      </c>
      <c r="P11" s="11" t="s">
        <v>729</v>
      </c>
      <c r="Q11" s="11" t="s">
        <v>729</v>
      </c>
      <c r="R11" s="11" t="s">
        <v>729</v>
      </c>
      <c r="S11" s="11" t="s">
        <v>729</v>
      </c>
      <c r="T11" s="11" t="s">
        <v>729</v>
      </c>
      <c r="U11" s="11" t="s">
        <v>729</v>
      </c>
      <c r="V11" s="12" t="s">
        <v>729</v>
      </c>
    </row>
    <row r="12" ht="115.5" customHeight="1" spans="1:22">
      <c r="A12" s="16"/>
      <c r="B12" s="6" t="s">
        <v>729</v>
      </c>
      <c r="C12" s="6" t="s">
        <v>729</v>
      </c>
      <c r="D12" s="18" t="s">
        <v>1020</v>
      </c>
      <c r="E12" s="6" t="s">
        <v>729</v>
      </c>
      <c r="F12" s="11" t="s">
        <v>756</v>
      </c>
      <c r="G12" s="11" t="s">
        <v>752</v>
      </c>
      <c r="H12" s="11" t="s">
        <v>729</v>
      </c>
      <c r="I12" s="11" t="s">
        <v>729</v>
      </c>
      <c r="J12" s="11" t="s">
        <v>729</v>
      </c>
      <c r="K12" s="11" t="s">
        <v>729</v>
      </c>
      <c r="L12" s="11" t="s">
        <v>729</v>
      </c>
      <c r="M12" s="11" t="s">
        <v>729</v>
      </c>
      <c r="N12" s="11" t="s">
        <v>729</v>
      </c>
      <c r="O12" s="11" t="s">
        <v>729</v>
      </c>
      <c r="P12" s="11" t="s">
        <v>729</v>
      </c>
      <c r="Q12" s="11" t="s">
        <v>729</v>
      </c>
      <c r="R12" s="11" t="s">
        <v>729</v>
      </c>
      <c r="S12" s="11" t="s">
        <v>729</v>
      </c>
      <c r="T12" s="11" t="s">
        <v>729</v>
      </c>
      <c r="U12" s="11" t="s">
        <v>729</v>
      </c>
      <c r="V12" s="12" t="s">
        <v>729</v>
      </c>
    </row>
    <row r="13" ht="53" customHeight="1" spans="1:22">
      <c r="A13" s="16"/>
      <c r="B13" s="6" t="s">
        <v>729</v>
      </c>
      <c r="C13" s="6" t="s">
        <v>729</v>
      </c>
      <c r="D13" s="18" t="s">
        <v>1021</v>
      </c>
      <c r="E13" s="6" t="s">
        <v>729</v>
      </c>
      <c r="F13" s="11" t="s">
        <v>752</v>
      </c>
      <c r="G13" s="11" t="s">
        <v>752</v>
      </c>
      <c r="H13" s="11" t="s">
        <v>729</v>
      </c>
      <c r="I13" s="11" t="s">
        <v>729</v>
      </c>
      <c r="J13" s="11" t="s">
        <v>729</v>
      </c>
      <c r="K13" s="11" t="s">
        <v>729</v>
      </c>
      <c r="L13" s="11" t="s">
        <v>729</v>
      </c>
      <c r="M13" s="11" t="s">
        <v>729</v>
      </c>
      <c r="N13" s="11" t="s">
        <v>729</v>
      </c>
      <c r="O13" s="11" t="s">
        <v>729</v>
      </c>
      <c r="P13" s="11" t="s">
        <v>729</v>
      </c>
      <c r="Q13" s="11" t="s">
        <v>729</v>
      </c>
      <c r="R13" s="11" t="s">
        <v>729</v>
      </c>
      <c r="S13" s="11" t="s">
        <v>729</v>
      </c>
      <c r="T13" s="11" t="s">
        <v>729</v>
      </c>
      <c r="U13" s="11" t="s">
        <v>729</v>
      </c>
      <c r="V13" s="12" t="s">
        <v>729</v>
      </c>
    </row>
    <row r="14" ht="18" customHeight="1" spans="1:22">
      <c r="A14" s="19" t="s">
        <v>696</v>
      </c>
      <c r="B14" s="20" t="s">
        <v>765</v>
      </c>
      <c r="C14" s="20"/>
      <c r="D14" s="20"/>
      <c r="E14" s="6" t="s">
        <v>729</v>
      </c>
      <c r="F14" s="11" t="s">
        <v>63</v>
      </c>
      <c r="G14" s="11" t="s">
        <v>63</v>
      </c>
      <c r="H14" s="11" t="s">
        <v>729</v>
      </c>
      <c r="I14" s="11" t="s">
        <v>729</v>
      </c>
      <c r="J14" s="11" t="s">
        <v>729</v>
      </c>
      <c r="K14" s="11" t="s">
        <v>729</v>
      </c>
      <c r="L14" s="11" t="s">
        <v>729</v>
      </c>
      <c r="M14" s="11" t="s">
        <v>729</v>
      </c>
      <c r="N14" s="11" t="s">
        <v>729</v>
      </c>
      <c r="O14" s="11" t="s">
        <v>729</v>
      </c>
      <c r="P14" s="11" t="s">
        <v>729</v>
      </c>
      <c r="Q14" s="11" t="s">
        <v>729</v>
      </c>
      <c r="R14" s="11" t="s">
        <v>729</v>
      </c>
      <c r="S14" s="11" t="s">
        <v>729</v>
      </c>
      <c r="T14" s="11" t="s">
        <v>729</v>
      </c>
      <c r="U14" s="11" t="s">
        <v>729</v>
      </c>
      <c r="V14" s="12" t="s">
        <v>729</v>
      </c>
    </row>
    <row r="15" ht="18" customHeight="1" spans="1:22">
      <c r="A15" s="19"/>
      <c r="B15" s="20" t="s">
        <v>698</v>
      </c>
      <c r="C15" s="20"/>
      <c r="D15" s="20"/>
      <c r="E15" s="6" t="s">
        <v>729</v>
      </c>
      <c r="F15" s="11" t="s">
        <v>766</v>
      </c>
      <c r="G15" s="11" t="s">
        <v>766</v>
      </c>
      <c r="H15" s="11" t="s">
        <v>729</v>
      </c>
      <c r="I15" s="11" t="s">
        <v>729</v>
      </c>
      <c r="J15" s="11" t="s">
        <v>729</v>
      </c>
      <c r="K15" s="11" t="s">
        <v>729</v>
      </c>
      <c r="L15" s="11" t="s">
        <v>729</v>
      </c>
      <c r="M15" s="11" t="s">
        <v>729</v>
      </c>
      <c r="N15" s="11" t="s">
        <v>729</v>
      </c>
      <c r="O15" s="11" t="s">
        <v>729</v>
      </c>
      <c r="P15" s="11" t="s">
        <v>729</v>
      </c>
      <c r="Q15" s="11" t="s">
        <v>729</v>
      </c>
      <c r="R15" s="11" t="s">
        <v>729</v>
      </c>
      <c r="S15" s="11" t="s">
        <v>729</v>
      </c>
      <c r="T15" s="11" t="s">
        <v>729</v>
      </c>
      <c r="U15" s="11" t="s">
        <v>729</v>
      </c>
      <c r="V15" s="12" t="s">
        <v>729</v>
      </c>
    </row>
    <row r="16" ht="18" customHeight="1" spans="1:22">
      <c r="A16" s="19"/>
      <c r="B16" s="20" t="s">
        <v>699</v>
      </c>
      <c r="C16" s="20"/>
      <c r="D16" s="20"/>
      <c r="E16" s="6" t="s">
        <v>729</v>
      </c>
      <c r="F16" s="6" t="s">
        <v>729</v>
      </c>
      <c r="G16" s="6" t="s">
        <v>729</v>
      </c>
      <c r="H16" s="6" t="s">
        <v>729</v>
      </c>
      <c r="I16" s="6" t="s">
        <v>729</v>
      </c>
      <c r="J16" s="6" t="s">
        <v>729</v>
      </c>
      <c r="K16" s="6" t="s">
        <v>729</v>
      </c>
      <c r="L16" s="6" t="s">
        <v>729</v>
      </c>
      <c r="M16" s="6" t="s">
        <v>729</v>
      </c>
      <c r="N16" s="6" t="s">
        <v>729</v>
      </c>
      <c r="O16" s="6" t="s">
        <v>729</v>
      </c>
      <c r="P16" s="6" t="s">
        <v>729</v>
      </c>
      <c r="Q16" s="6" t="s">
        <v>729</v>
      </c>
      <c r="R16" s="6" t="s">
        <v>729</v>
      </c>
      <c r="S16" s="6" t="s">
        <v>729</v>
      </c>
      <c r="T16" s="6" t="s">
        <v>729</v>
      </c>
      <c r="U16" s="6" t="s">
        <v>729</v>
      </c>
      <c r="V16" s="8" t="s">
        <v>729</v>
      </c>
    </row>
    <row r="17" ht="18" customHeight="1" spans="1:22">
      <c r="A17" s="19"/>
      <c r="B17" s="21" t="s">
        <v>700</v>
      </c>
      <c r="C17" s="21"/>
      <c r="D17" s="21"/>
      <c r="E17" s="22" t="s">
        <v>729</v>
      </c>
      <c r="F17" s="22" t="s">
        <v>729</v>
      </c>
      <c r="G17" s="22" t="s">
        <v>729</v>
      </c>
      <c r="H17" s="22" t="s">
        <v>729</v>
      </c>
      <c r="I17" s="22" t="s">
        <v>729</v>
      </c>
      <c r="J17" s="22" t="s">
        <v>729</v>
      </c>
      <c r="K17" s="22" t="s">
        <v>729</v>
      </c>
      <c r="L17" s="22" t="s">
        <v>729</v>
      </c>
      <c r="M17" s="22" t="s">
        <v>729</v>
      </c>
      <c r="N17" s="22" t="s">
        <v>729</v>
      </c>
      <c r="O17" s="22" t="s">
        <v>729</v>
      </c>
      <c r="P17" s="22" t="s">
        <v>729</v>
      </c>
      <c r="Q17" s="22" t="s">
        <v>729</v>
      </c>
      <c r="R17" s="22" t="s">
        <v>729</v>
      </c>
      <c r="S17" s="22" t="s">
        <v>729</v>
      </c>
      <c r="T17" s="22" t="s">
        <v>729</v>
      </c>
      <c r="U17" s="22" t="s">
        <v>729</v>
      </c>
      <c r="V17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4:D14"/>
    <mergeCell ref="B15:D15"/>
    <mergeCell ref="B16:D16"/>
    <mergeCell ref="B17:D17"/>
    <mergeCell ref="A7:A8"/>
    <mergeCell ref="A9:A13"/>
    <mergeCell ref="A14:A17"/>
  </mergeCells>
  <dataValidations count="3">
    <dataValidation type="list" allowBlank="1" sqref="F8:V8 F10:V13">
      <formula1>"O,-"</formula1>
    </dataValidation>
    <dataValidation type="list" allowBlank="1" sqref="F14:V14">
      <formula1>"N,A,B"</formula1>
    </dataValidation>
    <dataValidation type="list" allowBlank="1" sqref="F15:V15">
      <formula1>"P,F"</formula1>
    </dataValidation>
  </dataValidations>
  <pageMargins left="0.7" right="0.7" top="0.75" bottom="0.75" header="0.3" footer="0.3"/>
  <pageSetup paperSize="1" orientation="portrait"/>
  <headerFooter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8"/>
  <sheetViews>
    <sheetView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135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236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1022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3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3</v>
      </c>
      <c r="M5" s="11">
        <v>0</v>
      </c>
      <c r="N5" s="11">
        <v>0</v>
      </c>
      <c r="O5" s="12">
        <v>3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687</v>
      </c>
      <c r="H6" s="14" t="s">
        <v>688</v>
      </c>
      <c r="I6" s="14" t="s">
        <v>729</v>
      </c>
      <c r="J6" s="14" t="s">
        <v>729</v>
      </c>
      <c r="K6" s="14" t="s">
        <v>729</v>
      </c>
      <c r="L6" s="14" t="s">
        <v>729</v>
      </c>
      <c r="M6" s="14" t="s">
        <v>729</v>
      </c>
      <c r="N6" s="14" t="s">
        <v>729</v>
      </c>
      <c r="O6" s="14" t="s">
        <v>729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15.5" customHeight="1" spans="1:22">
      <c r="A7" s="16" t="s">
        <v>690</v>
      </c>
      <c r="B7" s="17" t="s">
        <v>1023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53" customHeight="1" spans="1:22">
      <c r="A8" s="16"/>
      <c r="B8" s="6" t="s">
        <v>729</v>
      </c>
      <c r="C8" s="6" t="s">
        <v>729</v>
      </c>
      <c r="D8" s="18" t="s">
        <v>1024</v>
      </c>
      <c r="E8" s="6" t="s">
        <v>729</v>
      </c>
      <c r="F8" s="11" t="s">
        <v>752</v>
      </c>
      <c r="G8" s="11" t="s">
        <v>756</v>
      </c>
      <c r="H8" s="11" t="s">
        <v>756</v>
      </c>
      <c r="I8" s="11" t="s">
        <v>729</v>
      </c>
      <c r="J8" s="11" t="s">
        <v>729</v>
      </c>
      <c r="K8" s="11" t="s">
        <v>729</v>
      </c>
      <c r="L8" s="11" t="s">
        <v>729</v>
      </c>
      <c r="M8" s="11" t="s">
        <v>729</v>
      </c>
      <c r="N8" s="11" t="s">
        <v>729</v>
      </c>
      <c r="O8" s="11" t="s">
        <v>729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53" customHeight="1" spans="1:22">
      <c r="A9" s="16"/>
      <c r="B9" s="6" t="s">
        <v>729</v>
      </c>
      <c r="C9" s="6" t="s">
        <v>729</v>
      </c>
      <c r="D9" s="18" t="s">
        <v>1025</v>
      </c>
      <c r="E9" s="6" t="s">
        <v>729</v>
      </c>
      <c r="F9" s="11" t="s">
        <v>756</v>
      </c>
      <c r="G9" s="11" t="s">
        <v>752</v>
      </c>
      <c r="H9" s="11" t="s">
        <v>756</v>
      </c>
      <c r="I9" s="11" t="s">
        <v>729</v>
      </c>
      <c r="J9" s="11" t="s">
        <v>729</v>
      </c>
      <c r="K9" s="11" t="s">
        <v>729</v>
      </c>
      <c r="L9" s="11" t="s">
        <v>729</v>
      </c>
      <c r="M9" s="11" t="s">
        <v>729</v>
      </c>
      <c r="N9" s="11" t="s">
        <v>729</v>
      </c>
      <c r="O9" s="11" t="s">
        <v>729</v>
      </c>
      <c r="P9" s="11" t="s">
        <v>729</v>
      </c>
      <c r="Q9" s="11" t="s">
        <v>729</v>
      </c>
      <c r="R9" s="11" t="s">
        <v>729</v>
      </c>
      <c r="S9" s="11" t="s">
        <v>729</v>
      </c>
      <c r="T9" s="11" t="s">
        <v>729</v>
      </c>
      <c r="U9" s="11" t="s">
        <v>729</v>
      </c>
      <c r="V9" s="12" t="s">
        <v>729</v>
      </c>
    </row>
    <row r="10" ht="65.5" customHeight="1" spans="1:22">
      <c r="A10" s="16"/>
      <c r="B10" s="6" t="s">
        <v>729</v>
      </c>
      <c r="C10" s="6" t="s">
        <v>729</v>
      </c>
      <c r="D10" s="18" t="s">
        <v>1026</v>
      </c>
      <c r="E10" s="6" t="s">
        <v>729</v>
      </c>
      <c r="F10" s="11" t="s">
        <v>756</v>
      </c>
      <c r="G10" s="11" t="s">
        <v>756</v>
      </c>
      <c r="H10" s="11" t="s">
        <v>752</v>
      </c>
      <c r="I10" s="11" t="s">
        <v>729</v>
      </c>
      <c r="J10" s="11" t="s">
        <v>729</v>
      </c>
      <c r="K10" s="11" t="s">
        <v>729</v>
      </c>
      <c r="L10" s="11" t="s">
        <v>729</v>
      </c>
      <c r="M10" s="11" t="s">
        <v>729</v>
      </c>
      <c r="N10" s="11" t="s">
        <v>729</v>
      </c>
      <c r="O10" s="11" t="s">
        <v>729</v>
      </c>
      <c r="P10" s="11" t="s">
        <v>729</v>
      </c>
      <c r="Q10" s="11" t="s">
        <v>729</v>
      </c>
      <c r="R10" s="11" t="s">
        <v>729</v>
      </c>
      <c r="S10" s="11" t="s">
        <v>729</v>
      </c>
      <c r="T10" s="11" t="s">
        <v>729</v>
      </c>
      <c r="U10" s="11" t="s">
        <v>729</v>
      </c>
      <c r="V10" s="12" t="s">
        <v>729</v>
      </c>
    </row>
    <row r="11" ht="15.5" customHeight="1" spans="1:22">
      <c r="A11" s="16" t="s">
        <v>692</v>
      </c>
      <c r="B11" s="17" t="s">
        <v>693</v>
      </c>
      <c r="C11" s="6" t="s">
        <v>729</v>
      </c>
      <c r="D11" s="6" t="s">
        <v>729</v>
      </c>
      <c r="E11" s="6" t="s">
        <v>729</v>
      </c>
      <c r="F11" s="6" t="s">
        <v>729</v>
      </c>
      <c r="G11" s="6" t="s">
        <v>729</v>
      </c>
      <c r="H11" s="6" t="s">
        <v>729</v>
      </c>
      <c r="I11" s="6" t="s">
        <v>729</v>
      </c>
      <c r="J11" s="6" t="s">
        <v>729</v>
      </c>
      <c r="K11" s="6" t="s">
        <v>729</v>
      </c>
      <c r="L11" s="6" t="s">
        <v>729</v>
      </c>
      <c r="M11" s="6" t="s">
        <v>729</v>
      </c>
      <c r="N11" s="6" t="s">
        <v>729</v>
      </c>
      <c r="O11" s="6" t="s">
        <v>729</v>
      </c>
      <c r="P11" s="6" t="s">
        <v>729</v>
      </c>
      <c r="Q11" s="6" t="s">
        <v>729</v>
      </c>
      <c r="R11" s="6" t="s">
        <v>729</v>
      </c>
      <c r="S11" s="6" t="s">
        <v>729</v>
      </c>
      <c r="T11" s="6" t="s">
        <v>729</v>
      </c>
      <c r="U11" s="6" t="s">
        <v>729</v>
      </c>
      <c r="V11" s="8" t="s">
        <v>729</v>
      </c>
    </row>
    <row r="12" ht="78" customHeight="1" spans="1:22">
      <c r="A12" s="16"/>
      <c r="B12" s="6" t="s">
        <v>729</v>
      </c>
      <c r="C12" s="6" t="s">
        <v>729</v>
      </c>
      <c r="D12" s="18" t="s">
        <v>1027</v>
      </c>
      <c r="E12" s="6" t="s">
        <v>729</v>
      </c>
      <c r="F12" s="11" t="s">
        <v>752</v>
      </c>
      <c r="G12" s="11" t="s">
        <v>756</v>
      </c>
      <c r="H12" s="11" t="s">
        <v>756</v>
      </c>
      <c r="I12" s="11" t="s">
        <v>729</v>
      </c>
      <c r="J12" s="11" t="s">
        <v>729</v>
      </c>
      <c r="K12" s="11" t="s">
        <v>729</v>
      </c>
      <c r="L12" s="11" t="s">
        <v>729</v>
      </c>
      <c r="M12" s="11" t="s">
        <v>729</v>
      </c>
      <c r="N12" s="11" t="s">
        <v>729</v>
      </c>
      <c r="O12" s="11" t="s">
        <v>729</v>
      </c>
      <c r="P12" s="11" t="s">
        <v>729</v>
      </c>
      <c r="Q12" s="11" t="s">
        <v>729</v>
      </c>
      <c r="R12" s="11" t="s">
        <v>729</v>
      </c>
      <c r="S12" s="11" t="s">
        <v>729</v>
      </c>
      <c r="T12" s="11" t="s">
        <v>729</v>
      </c>
      <c r="U12" s="11" t="s">
        <v>729</v>
      </c>
      <c r="V12" s="12" t="s">
        <v>729</v>
      </c>
    </row>
    <row r="13" ht="65.5" customHeight="1" spans="1:22">
      <c r="A13" s="16"/>
      <c r="B13" s="6" t="s">
        <v>729</v>
      </c>
      <c r="C13" s="6" t="s">
        <v>729</v>
      </c>
      <c r="D13" s="18" t="s">
        <v>1028</v>
      </c>
      <c r="E13" s="6" t="s">
        <v>729</v>
      </c>
      <c r="F13" s="11" t="s">
        <v>756</v>
      </c>
      <c r="G13" s="11" t="s">
        <v>752</v>
      </c>
      <c r="H13" s="11" t="s">
        <v>756</v>
      </c>
      <c r="I13" s="11" t="s">
        <v>729</v>
      </c>
      <c r="J13" s="11" t="s">
        <v>729</v>
      </c>
      <c r="K13" s="11" t="s">
        <v>729</v>
      </c>
      <c r="L13" s="11" t="s">
        <v>729</v>
      </c>
      <c r="M13" s="11" t="s">
        <v>729</v>
      </c>
      <c r="N13" s="11" t="s">
        <v>729</v>
      </c>
      <c r="O13" s="11" t="s">
        <v>729</v>
      </c>
      <c r="P13" s="11" t="s">
        <v>729</v>
      </c>
      <c r="Q13" s="11" t="s">
        <v>729</v>
      </c>
      <c r="R13" s="11" t="s">
        <v>729</v>
      </c>
      <c r="S13" s="11" t="s">
        <v>729</v>
      </c>
      <c r="T13" s="11" t="s">
        <v>729</v>
      </c>
      <c r="U13" s="11" t="s">
        <v>729</v>
      </c>
      <c r="V13" s="12" t="s">
        <v>729</v>
      </c>
    </row>
    <row r="14" ht="103" customHeight="1" spans="1:22">
      <c r="A14" s="16"/>
      <c r="B14" s="6" t="s">
        <v>729</v>
      </c>
      <c r="C14" s="6" t="s">
        <v>729</v>
      </c>
      <c r="D14" s="18" t="s">
        <v>1029</v>
      </c>
      <c r="E14" s="6" t="s">
        <v>729</v>
      </c>
      <c r="F14" s="11" t="s">
        <v>756</v>
      </c>
      <c r="G14" s="11" t="s">
        <v>756</v>
      </c>
      <c r="H14" s="11" t="s">
        <v>752</v>
      </c>
      <c r="I14" s="11" t="s">
        <v>729</v>
      </c>
      <c r="J14" s="11" t="s">
        <v>729</v>
      </c>
      <c r="K14" s="11" t="s">
        <v>729</v>
      </c>
      <c r="L14" s="11" t="s">
        <v>729</v>
      </c>
      <c r="M14" s="11" t="s">
        <v>729</v>
      </c>
      <c r="N14" s="11" t="s">
        <v>729</v>
      </c>
      <c r="O14" s="11" t="s">
        <v>729</v>
      </c>
      <c r="P14" s="11" t="s">
        <v>729</v>
      </c>
      <c r="Q14" s="11" t="s">
        <v>729</v>
      </c>
      <c r="R14" s="11" t="s">
        <v>729</v>
      </c>
      <c r="S14" s="11" t="s">
        <v>729</v>
      </c>
      <c r="T14" s="11" t="s">
        <v>729</v>
      </c>
      <c r="U14" s="11" t="s">
        <v>729</v>
      </c>
      <c r="V14" s="12" t="s">
        <v>729</v>
      </c>
    </row>
    <row r="15" ht="18" customHeight="1" spans="1:22">
      <c r="A15" s="19" t="s">
        <v>696</v>
      </c>
      <c r="B15" s="20" t="s">
        <v>765</v>
      </c>
      <c r="C15" s="20"/>
      <c r="D15" s="20"/>
      <c r="E15" s="6" t="s">
        <v>729</v>
      </c>
      <c r="F15" s="11" t="s">
        <v>670</v>
      </c>
      <c r="G15" s="11" t="s">
        <v>670</v>
      </c>
      <c r="H15" s="11" t="s">
        <v>670</v>
      </c>
      <c r="I15" s="11" t="s">
        <v>729</v>
      </c>
      <c r="J15" s="11" t="s">
        <v>729</v>
      </c>
      <c r="K15" s="11" t="s">
        <v>729</v>
      </c>
      <c r="L15" s="11" t="s">
        <v>729</v>
      </c>
      <c r="M15" s="11" t="s">
        <v>729</v>
      </c>
      <c r="N15" s="11" t="s">
        <v>729</v>
      </c>
      <c r="O15" s="11" t="s">
        <v>729</v>
      </c>
      <c r="P15" s="11" t="s">
        <v>729</v>
      </c>
      <c r="Q15" s="11" t="s">
        <v>729</v>
      </c>
      <c r="R15" s="11" t="s">
        <v>729</v>
      </c>
      <c r="S15" s="11" t="s">
        <v>729</v>
      </c>
      <c r="T15" s="11" t="s">
        <v>729</v>
      </c>
      <c r="U15" s="11" t="s">
        <v>729</v>
      </c>
      <c r="V15" s="12" t="s">
        <v>729</v>
      </c>
    </row>
    <row r="16" ht="18" customHeight="1" spans="1:22">
      <c r="A16" s="19"/>
      <c r="B16" s="20" t="s">
        <v>698</v>
      </c>
      <c r="C16" s="20"/>
      <c r="D16" s="20"/>
      <c r="E16" s="6" t="s">
        <v>729</v>
      </c>
      <c r="F16" s="11" t="s">
        <v>766</v>
      </c>
      <c r="G16" s="11" t="s">
        <v>766</v>
      </c>
      <c r="H16" s="11" t="s">
        <v>766</v>
      </c>
      <c r="I16" s="11" t="s">
        <v>729</v>
      </c>
      <c r="J16" s="11" t="s">
        <v>729</v>
      </c>
      <c r="K16" s="11" t="s">
        <v>729</v>
      </c>
      <c r="L16" s="11" t="s">
        <v>729</v>
      </c>
      <c r="M16" s="11" t="s">
        <v>729</v>
      </c>
      <c r="N16" s="11" t="s">
        <v>729</v>
      </c>
      <c r="O16" s="11" t="s">
        <v>729</v>
      </c>
      <c r="P16" s="11" t="s">
        <v>729</v>
      </c>
      <c r="Q16" s="11" t="s">
        <v>729</v>
      </c>
      <c r="R16" s="11" t="s">
        <v>729</v>
      </c>
      <c r="S16" s="11" t="s">
        <v>729</v>
      </c>
      <c r="T16" s="11" t="s">
        <v>729</v>
      </c>
      <c r="U16" s="11" t="s">
        <v>729</v>
      </c>
      <c r="V16" s="12" t="s">
        <v>729</v>
      </c>
    </row>
    <row r="17" ht="18" customHeight="1" spans="1:22">
      <c r="A17" s="19"/>
      <c r="B17" s="20" t="s">
        <v>699</v>
      </c>
      <c r="C17" s="20"/>
      <c r="D17" s="20"/>
      <c r="E17" s="6" t="s">
        <v>729</v>
      </c>
      <c r="F17" s="6" t="s">
        <v>729</v>
      </c>
      <c r="G17" s="6" t="s">
        <v>729</v>
      </c>
      <c r="H17" s="6" t="s">
        <v>729</v>
      </c>
      <c r="I17" s="6" t="s">
        <v>729</v>
      </c>
      <c r="J17" s="6" t="s">
        <v>729</v>
      </c>
      <c r="K17" s="6" t="s">
        <v>729</v>
      </c>
      <c r="L17" s="6" t="s">
        <v>729</v>
      </c>
      <c r="M17" s="6" t="s">
        <v>729</v>
      </c>
      <c r="N17" s="6" t="s">
        <v>729</v>
      </c>
      <c r="O17" s="6" t="s">
        <v>729</v>
      </c>
      <c r="P17" s="6" t="s">
        <v>729</v>
      </c>
      <c r="Q17" s="6" t="s">
        <v>729</v>
      </c>
      <c r="R17" s="6" t="s">
        <v>729</v>
      </c>
      <c r="S17" s="6" t="s">
        <v>729</v>
      </c>
      <c r="T17" s="6" t="s">
        <v>729</v>
      </c>
      <c r="U17" s="6" t="s">
        <v>729</v>
      </c>
      <c r="V17" s="8" t="s">
        <v>729</v>
      </c>
    </row>
    <row r="18" ht="18" customHeight="1" spans="1:22">
      <c r="A18" s="19"/>
      <c r="B18" s="21" t="s">
        <v>700</v>
      </c>
      <c r="C18" s="21"/>
      <c r="D18" s="21"/>
      <c r="E18" s="22" t="s">
        <v>729</v>
      </c>
      <c r="F18" s="22" t="s">
        <v>729</v>
      </c>
      <c r="G18" s="22" t="s">
        <v>729</v>
      </c>
      <c r="H18" s="22" t="s">
        <v>729</v>
      </c>
      <c r="I18" s="22" t="s">
        <v>729</v>
      </c>
      <c r="J18" s="22" t="s">
        <v>729</v>
      </c>
      <c r="K18" s="22" t="s">
        <v>729</v>
      </c>
      <c r="L18" s="22" t="s">
        <v>729</v>
      </c>
      <c r="M18" s="22" t="s">
        <v>729</v>
      </c>
      <c r="N18" s="22" t="s">
        <v>729</v>
      </c>
      <c r="O18" s="22" t="s">
        <v>729</v>
      </c>
      <c r="P18" s="22" t="s">
        <v>729</v>
      </c>
      <c r="Q18" s="22" t="s">
        <v>729</v>
      </c>
      <c r="R18" s="22" t="s">
        <v>729</v>
      </c>
      <c r="S18" s="22" t="s">
        <v>729</v>
      </c>
      <c r="T18" s="22" t="s">
        <v>729</v>
      </c>
      <c r="U18" s="22" t="s">
        <v>729</v>
      </c>
      <c r="V18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5:D15"/>
    <mergeCell ref="B16:D16"/>
    <mergeCell ref="B17:D17"/>
    <mergeCell ref="B18:D18"/>
    <mergeCell ref="A7:A10"/>
    <mergeCell ref="A11:A14"/>
    <mergeCell ref="A15:A18"/>
  </mergeCells>
  <dataValidations count="3">
    <dataValidation type="list" allowBlank="1" sqref="F10:V10 F12:V14 F8:V9">
      <formula1>"O,-"</formula1>
    </dataValidation>
    <dataValidation type="list" allowBlank="1" sqref="F15:V15">
      <formula1>"N,A,B"</formula1>
    </dataValidation>
    <dataValidation type="list" allowBlank="1" sqref="F16:V16">
      <formula1>"P,F"</formula1>
    </dataValidation>
  </dataValidations>
  <pageMargins left="0.7" right="0.7" top="0.75" bottom="0.75" header="0.3" footer="0.3"/>
  <pageSetup paperSize="1" orientation="portrait"/>
  <headerFooter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6"/>
  <sheetViews>
    <sheetView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135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241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1030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2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2</v>
      </c>
      <c r="M5" s="11">
        <v>0</v>
      </c>
      <c r="N5" s="11">
        <v>0</v>
      </c>
      <c r="O5" s="12">
        <v>2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687</v>
      </c>
      <c r="H6" s="14" t="s">
        <v>729</v>
      </c>
      <c r="I6" s="14" t="s">
        <v>729</v>
      </c>
      <c r="J6" s="14" t="s">
        <v>729</v>
      </c>
      <c r="K6" s="14" t="s">
        <v>729</v>
      </c>
      <c r="L6" s="14" t="s">
        <v>729</v>
      </c>
      <c r="M6" s="14" t="s">
        <v>729</v>
      </c>
      <c r="N6" s="14" t="s">
        <v>729</v>
      </c>
      <c r="O6" s="14" t="s">
        <v>729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15.5" customHeight="1" spans="1:22">
      <c r="A7" s="16" t="s">
        <v>690</v>
      </c>
      <c r="B7" s="17" t="s">
        <v>1023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65.5" customHeight="1" spans="1:22">
      <c r="A8" s="16"/>
      <c r="B8" s="6" t="s">
        <v>729</v>
      </c>
      <c r="C8" s="6" t="s">
        <v>729</v>
      </c>
      <c r="D8" s="18" t="s">
        <v>1031</v>
      </c>
      <c r="E8" s="6" t="s">
        <v>729</v>
      </c>
      <c r="F8" s="11" t="s">
        <v>752</v>
      </c>
      <c r="G8" s="11" t="s">
        <v>756</v>
      </c>
      <c r="H8" s="11" t="s">
        <v>729</v>
      </c>
      <c r="I8" s="11" t="s">
        <v>729</v>
      </c>
      <c r="J8" s="11" t="s">
        <v>729</v>
      </c>
      <c r="K8" s="11" t="s">
        <v>729</v>
      </c>
      <c r="L8" s="11" t="s">
        <v>729</v>
      </c>
      <c r="M8" s="11" t="s">
        <v>729</v>
      </c>
      <c r="N8" s="11" t="s">
        <v>729</v>
      </c>
      <c r="O8" s="11" t="s">
        <v>729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65.5" customHeight="1" spans="1:22">
      <c r="A9" s="16"/>
      <c r="B9" s="6" t="s">
        <v>729</v>
      </c>
      <c r="C9" s="6" t="s">
        <v>729</v>
      </c>
      <c r="D9" s="18" t="s">
        <v>1032</v>
      </c>
      <c r="E9" s="6" t="s">
        <v>729</v>
      </c>
      <c r="F9" s="11" t="s">
        <v>756</v>
      </c>
      <c r="G9" s="11" t="s">
        <v>752</v>
      </c>
      <c r="H9" s="11" t="s">
        <v>729</v>
      </c>
      <c r="I9" s="11" t="s">
        <v>729</v>
      </c>
      <c r="J9" s="11" t="s">
        <v>729</v>
      </c>
      <c r="K9" s="11" t="s">
        <v>729</v>
      </c>
      <c r="L9" s="11" t="s">
        <v>729</v>
      </c>
      <c r="M9" s="11" t="s">
        <v>729</v>
      </c>
      <c r="N9" s="11" t="s">
        <v>729</v>
      </c>
      <c r="O9" s="11" t="s">
        <v>729</v>
      </c>
      <c r="P9" s="11" t="s">
        <v>729</v>
      </c>
      <c r="Q9" s="11" t="s">
        <v>729</v>
      </c>
      <c r="R9" s="11" t="s">
        <v>729</v>
      </c>
      <c r="S9" s="11" t="s">
        <v>729</v>
      </c>
      <c r="T9" s="11" t="s">
        <v>729</v>
      </c>
      <c r="U9" s="11" t="s">
        <v>729</v>
      </c>
      <c r="V9" s="12" t="s">
        <v>729</v>
      </c>
    </row>
    <row r="10" ht="15.5" customHeight="1" spans="1:22">
      <c r="A10" s="16" t="s">
        <v>692</v>
      </c>
      <c r="B10" s="17" t="s">
        <v>693</v>
      </c>
      <c r="C10" s="6" t="s">
        <v>729</v>
      </c>
      <c r="D10" s="6" t="s">
        <v>729</v>
      </c>
      <c r="E10" s="6" t="s">
        <v>729</v>
      </c>
      <c r="F10" s="6" t="s">
        <v>729</v>
      </c>
      <c r="G10" s="6" t="s">
        <v>729</v>
      </c>
      <c r="H10" s="6" t="s">
        <v>729</v>
      </c>
      <c r="I10" s="6" t="s">
        <v>729</v>
      </c>
      <c r="J10" s="6" t="s">
        <v>729</v>
      </c>
      <c r="K10" s="6" t="s">
        <v>729</v>
      </c>
      <c r="L10" s="6" t="s">
        <v>729</v>
      </c>
      <c r="M10" s="6" t="s">
        <v>729</v>
      </c>
      <c r="N10" s="6" t="s">
        <v>729</v>
      </c>
      <c r="O10" s="6" t="s">
        <v>729</v>
      </c>
      <c r="P10" s="6" t="s">
        <v>729</v>
      </c>
      <c r="Q10" s="6" t="s">
        <v>729</v>
      </c>
      <c r="R10" s="6" t="s">
        <v>729</v>
      </c>
      <c r="S10" s="6" t="s">
        <v>729</v>
      </c>
      <c r="T10" s="6" t="s">
        <v>729</v>
      </c>
      <c r="U10" s="6" t="s">
        <v>729</v>
      </c>
      <c r="V10" s="8" t="s">
        <v>729</v>
      </c>
    </row>
    <row r="11" ht="90.5" customHeight="1" spans="1:22">
      <c r="A11" s="16"/>
      <c r="B11" s="6" t="s">
        <v>729</v>
      </c>
      <c r="C11" s="6" t="s">
        <v>729</v>
      </c>
      <c r="D11" s="18" t="s">
        <v>1033</v>
      </c>
      <c r="E11" s="6" t="s">
        <v>729</v>
      </c>
      <c r="F11" s="11" t="s">
        <v>752</v>
      </c>
      <c r="G11" s="11" t="s">
        <v>756</v>
      </c>
      <c r="H11" s="11" t="s">
        <v>729</v>
      </c>
      <c r="I11" s="11" t="s">
        <v>729</v>
      </c>
      <c r="J11" s="11" t="s">
        <v>729</v>
      </c>
      <c r="K11" s="11" t="s">
        <v>729</v>
      </c>
      <c r="L11" s="11" t="s">
        <v>729</v>
      </c>
      <c r="M11" s="11" t="s">
        <v>729</v>
      </c>
      <c r="N11" s="11" t="s">
        <v>729</v>
      </c>
      <c r="O11" s="11" t="s">
        <v>729</v>
      </c>
      <c r="P11" s="11" t="s">
        <v>729</v>
      </c>
      <c r="Q11" s="11" t="s">
        <v>729</v>
      </c>
      <c r="R11" s="11" t="s">
        <v>729</v>
      </c>
      <c r="S11" s="11" t="s">
        <v>729</v>
      </c>
      <c r="T11" s="11" t="s">
        <v>729</v>
      </c>
      <c r="U11" s="11" t="s">
        <v>729</v>
      </c>
      <c r="V11" s="12" t="s">
        <v>729</v>
      </c>
    </row>
    <row r="12" ht="78" customHeight="1" spans="1:22">
      <c r="A12" s="16"/>
      <c r="B12" s="6" t="s">
        <v>729</v>
      </c>
      <c r="C12" s="6" t="s">
        <v>729</v>
      </c>
      <c r="D12" s="18" t="s">
        <v>1034</v>
      </c>
      <c r="E12" s="6" t="s">
        <v>729</v>
      </c>
      <c r="F12" s="11" t="s">
        <v>756</v>
      </c>
      <c r="G12" s="11" t="s">
        <v>752</v>
      </c>
      <c r="H12" s="11" t="s">
        <v>729</v>
      </c>
      <c r="I12" s="11" t="s">
        <v>729</v>
      </c>
      <c r="J12" s="11" t="s">
        <v>729</v>
      </c>
      <c r="K12" s="11" t="s">
        <v>729</v>
      </c>
      <c r="L12" s="11" t="s">
        <v>729</v>
      </c>
      <c r="M12" s="11" t="s">
        <v>729</v>
      </c>
      <c r="N12" s="11" t="s">
        <v>729</v>
      </c>
      <c r="O12" s="11" t="s">
        <v>729</v>
      </c>
      <c r="P12" s="11" t="s">
        <v>729</v>
      </c>
      <c r="Q12" s="11" t="s">
        <v>729</v>
      </c>
      <c r="R12" s="11" t="s">
        <v>729</v>
      </c>
      <c r="S12" s="11" t="s">
        <v>729</v>
      </c>
      <c r="T12" s="11" t="s">
        <v>729</v>
      </c>
      <c r="U12" s="11" t="s">
        <v>729</v>
      </c>
      <c r="V12" s="12" t="s">
        <v>729</v>
      </c>
    </row>
    <row r="13" ht="18" customHeight="1" spans="1:22">
      <c r="A13" s="19" t="s">
        <v>696</v>
      </c>
      <c r="B13" s="20" t="s">
        <v>765</v>
      </c>
      <c r="C13" s="20"/>
      <c r="D13" s="20"/>
      <c r="E13" s="6" t="s">
        <v>729</v>
      </c>
      <c r="F13" s="11" t="s">
        <v>670</v>
      </c>
      <c r="G13" s="11" t="s">
        <v>670</v>
      </c>
      <c r="H13" s="11" t="s">
        <v>729</v>
      </c>
      <c r="I13" s="11" t="s">
        <v>729</v>
      </c>
      <c r="J13" s="11" t="s">
        <v>729</v>
      </c>
      <c r="K13" s="11" t="s">
        <v>729</v>
      </c>
      <c r="L13" s="11" t="s">
        <v>729</v>
      </c>
      <c r="M13" s="11" t="s">
        <v>729</v>
      </c>
      <c r="N13" s="11" t="s">
        <v>729</v>
      </c>
      <c r="O13" s="11" t="s">
        <v>729</v>
      </c>
      <c r="P13" s="11" t="s">
        <v>729</v>
      </c>
      <c r="Q13" s="11" t="s">
        <v>729</v>
      </c>
      <c r="R13" s="11" t="s">
        <v>729</v>
      </c>
      <c r="S13" s="11" t="s">
        <v>729</v>
      </c>
      <c r="T13" s="11" t="s">
        <v>729</v>
      </c>
      <c r="U13" s="11" t="s">
        <v>729</v>
      </c>
      <c r="V13" s="12" t="s">
        <v>729</v>
      </c>
    </row>
    <row r="14" ht="18" customHeight="1" spans="1:22">
      <c r="A14" s="19"/>
      <c r="B14" s="20" t="s">
        <v>698</v>
      </c>
      <c r="C14" s="20"/>
      <c r="D14" s="20"/>
      <c r="E14" s="6" t="s">
        <v>729</v>
      </c>
      <c r="F14" s="11" t="s">
        <v>766</v>
      </c>
      <c r="G14" s="11" t="s">
        <v>766</v>
      </c>
      <c r="H14" s="11" t="s">
        <v>729</v>
      </c>
      <c r="I14" s="11" t="s">
        <v>729</v>
      </c>
      <c r="J14" s="11" t="s">
        <v>729</v>
      </c>
      <c r="K14" s="11" t="s">
        <v>729</v>
      </c>
      <c r="L14" s="11" t="s">
        <v>729</v>
      </c>
      <c r="M14" s="11" t="s">
        <v>729</v>
      </c>
      <c r="N14" s="11" t="s">
        <v>729</v>
      </c>
      <c r="O14" s="11" t="s">
        <v>729</v>
      </c>
      <c r="P14" s="11" t="s">
        <v>729</v>
      </c>
      <c r="Q14" s="11" t="s">
        <v>729</v>
      </c>
      <c r="R14" s="11" t="s">
        <v>729</v>
      </c>
      <c r="S14" s="11" t="s">
        <v>729</v>
      </c>
      <c r="T14" s="11" t="s">
        <v>729</v>
      </c>
      <c r="U14" s="11" t="s">
        <v>729</v>
      </c>
      <c r="V14" s="12" t="s">
        <v>729</v>
      </c>
    </row>
    <row r="15" ht="18" customHeight="1" spans="1:22">
      <c r="A15" s="19"/>
      <c r="B15" s="20" t="s">
        <v>699</v>
      </c>
      <c r="C15" s="20"/>
      <c r="D15" s="20"/>
      <c r="E15" s="6" t="s">
        <v>729</v>
      </c>
      <c r="F15" s="6" t="s">
        <v>729</v>
      </c>
      <c r="G15" s="6" t="s">
        <v>729</v>
      </c>
      <c r="H15" s="6" t="s">
        <v>729</v>
      </c>
      <c r="I15" s="6" t="s">
        <v>729</v>
      </c>
      <c r="J15" s="6" t="s">
        <v>729</v>
      </c>
      <c r="K15" s="6" t="s">
        <v>729</v>
      </c>
      <c r="L15" s="6" t="s">
        <v>729</v>
      </c>
      <c r="M15" s="6" t="s">
        <v>729</v>
      </c>
      <c r="N15" s="6" t="s">
        <v>729</v>
      </c>
      <c r="O15" s="6" t="s">
        <v>729</v>
      </c>
      <c r="P15" s="6" t="s">
        <v>729</v>
      </c>
      <c r="Q15" s="6" t="s">
        <v>729</v>
      </c>
      <c r="R15" s="6" t="s">
        <v>729</v>
      </c>
      <c r="S15" s="6" t="s">
        <v>729</v>
      </c>
      <c r="T15" s="6" t="s">
        <v>729</v>
      </c>
      <c r="U15" s="6" t="s">
        <v>729</v>
      </c>
      <c r="V15" s="8" t="s">
        <v>729</v>
      </c>
    </row>
    <row r="16" ht="18" customHeight="1" spans="1:22">
      <c r="A16" s="19"/>
      <c r="B16" s="21" t="s">
        <v>700</v>
      </c>
      <c r="C16" s="21"/>
      <c r="D16" s="21"/>
      <c r="E16" s="22" t="s">
        <v>729</v>
      </c>
      <c r="F16" s="22" t="s">
        <v>729</v>
      </c>
      <c r="G16" s="22" t="s">
        <v>729</v>
      </c>
      <c r="H16" s="22" t="s">
        <v>729</v>
      </c>
      <c r="I16" s="22" t="s">
        <v>729</v>
      </c>
      <c r="J16" s="22" t="s">
        <v>729</v>
      </c>
      <c r="K16" s="22" t="s">
        <v>729</v>
      </c>
      <c r="L16" s="22" t="s">
        <v>729</v>
      </c>
      <c r="M16" s="22" t="s">
        <v>729</v>
      </c>
      <c r="N16" s="22" t="s">
        <v>729</v>
      </c>
      <c r="O16" s="22" t="s">
        <v>729</v>
      </c>
      <c r="P16" s="22" t="s">
        <v>729</v>
      </c>
      <c r="Q16" s="22" t="s">
        <v>729</v>
      </c>
      <c r="R16" s="22" t="s">
        <v>729</v>
      </c>
      <c r="S16" s="22" t="s">
        <v>729</v>
      </c>
      <c r="T16" s="22" t="s">
        <v>729</v>
      </c>
      <c r="U16" s="22" t="s">
        <v>729</v>
      </c>
      <c r="V16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3:D13"/>
    <mergeCell ref="B14:D14"/>
    <mergeCell ref="B15:D15"/>
    <mergeCell ref="B16:D16"/>
    <mergeCell ref="A7:A9"/>
    <mergeCell ref="A10:A12"/>
    <mergeCell ref="A13:A16"/>
  </mergeCells>
  <dataValidations count="3">
    <dataValidation type="list" allowBlank="1" sqref="F13:V13">
      <formula1>"N,A,B"</formula1>
    </dataValidation>
    <dataValidation type="list" allowBlank="1" sqref="F14:V14">
      <formula1>"P,F"</formula1>
    </dataValidation>
    <dataValidation type="list" allowBlank="1" sqref="F11:V12 F8:V9">
      <formula1>"O,-"</formula1>
    </dataValidation>
  </dataValidations>
  <pageMargins left="0.7" right="0.7" top="0.75" bottom="0.75" header="0.3" footer="0.3"/>
  <pageSetup paperSize="1" orientation="portrait"/>
  <headerFooter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6"/>
  <sheetViews>
    <sheetView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135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246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28" customHeight="1" spans="1:22">
      <c r="A3" s="5" t="s">
        <v>684</v>
      </c>
      <c r="B3" s="8" t="s">
        <v>1035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2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1</v>
      </c>
      <c r="M5" s="11">
        <v>0</v>
      </c>
      <c r="N5" s="11">
        <v>1</v>
      </c>
      <c r="O5" s="12">
        <v>2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687</v>
      </c>
      <c r="H6" s="14" t="s">
        <v>729</v>
      </c>
      <c r="I6" s="14" t="s">
        <v>729</v>
      </c>
      <c r="J6" s="14" t="s">
        <v>729</v>
      </c>
      <c r="K6" s="14" t="s">
        <v>729</v>
      </c>
      <c r="L6" s="14" t="s">
        <v>729</v>
      </c>
      <c r="M6" s="14" t="s">
        <v>729</v>
      </c>
      <c r="N6" s="14" t="s">
        <v>729</v>
      </c>
      <c r="O6" s="14" t="s">
        <v>729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15.5" customHeight="1" spans="1:22">
      <c r="A7" s="16" t="s">
        <v>690</v>
      </c>
      <c r="B7" s="17" t="s">
        <v>774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28" customHeight="1" spans="1:22">
      <c r="A8" s="16"/>
      <c r="B8" s="6" t="s">
        <v>729</v>
      </c>
      <c r="C8" s="6" t="s">
        <v>729</v>
      </c>
      <c r="D8" s="18" t="s">
        <v>1036</v>
      </c>
      <c r="E8" s="6" t="s">
        <v>729</v>
      </c>
      <c r="F8" s="11" t="s">
        <v>752</v>
      </c>
      <c r="G8" s="11" t="s">
        <v>756</v>
      </c>
      <c r="H8" s="11" t="s">
        <v>729</v>
      </c>
      <c r="I8" s="11" t="s">
        <v>729</v>
      </c>
      <c r="J8" s="11" t="s">
        <v>729</v>
      </c>
      <c r="K8" s="11" t="s">
        <v>729</v>
      </c>
      <c r="L8" s="11" t="s">
        <v>729</v>
      </c>
      <c r="M8" s="11" t="s">
        <v>729</v>
      </c>
      <c r="N8" s="11" t="s">
        <v>729</v>
      </c>
      <c r="O8" s="11" t="s">
        <v>729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53" customHeight="1" spans="1:22">
      <c r="A9" s="16"/>
      <c r="B9" s="6" t="s">
        <v>729</v>
      </c>
      <c r="C9" s="6" t="s">
        <v>729</v>
      </c>
      <c r="D9" s="18" t="s">
        <v>1037</v>
      </c>
      <c r="E9" s="6" t="s">
        <v>729</v>
      </c>
      <c r="F9" s="11" t="s">
        <v>756</v>
      </c>
      <c r="G9" s="11" t="s">
        <v>752</v>
      </c>
      <c r="H9" s="11" t="s">
        <v>729</v>
      </c>
      <c r="I9" s="11" t="s">
        <v>729</v>
      </c>
      <c r="J9" s="11" t="s">
        <v>729</v>
      </c>
      <c r="K9" s="11" t="s">
        <v>729</v>
      </c>
      <c r="L9" s="11" t="s">
        <v>729</v>
      </c>
      <c r="M9" s="11" t="s">
        <v>729</v>
      </c>
      <c r="N9" s="11" t="s">
        <v>729</v>
      </c>
      <c r="O9" s="11" t="s">
        <v>729</v>
      </c>
      <c r="P9" s="11" t="s">
        <v>729</v>
      </c>
      <c r="Q9" s="11" t="s">
        <v>729</v>
      </c>
      <c r="R9" s="11" t="s">
        <v>729</v>
      </c>
      <c r="S9" s="11" t="s">
        <v>729</v>
      </c>
      <c r="T9" s="11" t="s">
        <v>729</v>
      </c>
      <c r="U9" s="11" t="s">
        <v>729</v>
      </c>
      <c r="V9" s="12" t="s">
        <v>729</v>
      </c>
    </row>
    <row r="10" ht="15.5" customHeight="1" spans="1:22">
      <c r="A10" s="16" t="s">
        <v>692</v>
      </c>
      <c r="B10" s="17" t="s">
        <v>693</v>
      </c>
      <c r="C10" s="6" t="s">
        <v>729</v>
      </c>
      <c r="D10" s="6" t="s">
        <v>729</v>
      </c>
      <c r="E10" s="6" t="s">
        <v>729</v>
      </c>
      <c r="F10" s="6" t="s">
        <v>729</v>
      </c>
      <c r="G10" s="6" t="s">
        <v>729</v>
      </c>
      <c r="H10" s="6" t="s">
        <v>729</v>
      </c>
      <c r="I10" s="6" t="s">
        <v>729</v>
      </c>
      <c r="J10" s="6" t="s">
        <v>729</v>
      </c>
      <c r="K10" s="6" t="s">
        <v>729</v>
      </c>
      <c r="L10" s="6" t="s">
        <v>729</v>
      </c>
      <c r="M10" s="6" t="s">
        <v>729</v>
      </c>
      <c r="N10" s="6" t="s">
        <v>729</v>
      </c>
      <c r="O10" s="6" t="s">
        <v>729</v>
      </c>
      <c r="P10" s="6" t="s">
        <v>729</v>
      </c>
      <c r="Q10" s="6" t="s">
        <v>729</v>
      </c>
      <c r="R10" s="6" t="s">
        <v>729</v>
      </c>
      <c r="S10" s="6" t="s">
        <v>729</v>
      </c>
      <c r="T10" s="6" t="s">
        <v>729</v>
      </c>
      <c r="U10" s="6" t="s">
        <v>729</v>
      </c>
      <c r="V10" s="8" t="s">
        <v>729</v>
      </c>
    </row>
    <row r="11" ht="40.5" customHeight="1" spans="1:22">
      <c r="A11" s="16"/>
      <c r="B11" s="6" t="s">
        <v>729</v>
      </c>
      <c r="C11" s="6" t="s">
        <v>729</v>
      </c>
      <c r="D11" s="18" t="s">
        <v>1038</v>
      </c>
      <c r="E11" s="6" t="s">
        <v>729</v>
      </c>
      <c r="F11" s="11" t="s">
        <v>752</v>
      </c>
      <c r="G11" s="11" t="s">
        <v>756</v>
      </c>
      <c r="H11" s="11" t="s">
        <v>729</v>
      </c>
      <c r="I11" s="11" t="s">
        <v>729</v>
      </c>
      <c r="J11" s="11" t="s">
        <v>729</v>
      </c>
      <c r="K11" s="11" t="s">
        <v>729</v>
      </c>
      <c r="L11" s="11" t="s">
        <v>729</v>
      </c>
      <c r="M11" s="11" t="s">
        <v>729</v>
      </c>
      <c r="N11" s="11" t="s">
        <v>729</v>
      </c>
      <c r="O11" s="11" t="s">
        <v>729</v>
      </c>
      <c r="P11" s="11" t="s">
        <v>729</v>
      </c>
      <c r="Q11" s="11" t="s">
        <v>729</v>
      </c>
      <c r="R11" s="11" t="s">
        <v>729</v>
      </c>
      <c r="S11" s="11" t="s">
        <v>729</v>
      </c>
      <c r="T11" s="11" t="s">
        <v>729</v>
      </c>
      <c r="U11" s="11" t="s">
        <v>729</v>
      </c>
      <c r="V11" s="12" t="s">
        <v>729</v>
      </c>
    </row>
    <row r="12" ht="90.5" customHeight="1" spans="1:22">
      <c r="A12" s="16"/>
      <c r="B12" s="6" t="s">
        <v>729</v>
      </c>
      <c r="C12" s="6" t="s">
        <v>729</v>
      </c>
      <c r="D12" s="18" t="s">
        <v>1039</v>
      </c>
      <c r="E12" s="6" t="s">
        <v>729</v>
      </c>
      <c r="F12" s="11" t="s">
        <v>756</v>
      </c>
      <c r="G12" s="11" t="s">
        <v>752</v>
      </c>
      <c r="H12" s="11" t="s">
        <v>729</v>
      </c>
      <c r="I12" s="11" t="s">
        <v>729</v>
      </c>
      <c r="J12" s="11" t="s">
        <v>729</v>
      </c>
      <c r="K12" s="11" t="s">
        <v>729</v>
      </c>
      <c r="L12" s="11" t="s">
        <v>729</v>
      </c>
      <c r="M12" s="11" t="s">
        <v>729</v>
      </c>
      <c r="N12" s="11" t="s">
        <v>729</v>
      </c>
      <c r="O12" s="11" t="s">
        <v>729</v>
      </c>
      <c r="P12" s="11" t="s">
        <v>729</v>
      </c>
      <c r="Q12" s="11" t="s">
        <v>729</v>
      </c>
      <c r="R12" s="11" t="s">
        <v>729</v>
      </c>
      <c r="S12" s="11" t="s">
        <v>729</v>
      </c>
      <c r="T12" s="11" t="s">
        <v>729</v>
      </c>
      <c r="U12" s="11" t="s">
        <v>729</v>
      </c>
      <c r="V12" s="12" t="s">
        <v>729</v>
      </c>
    </row>
    <row r="13" ht="18" customHeight="1" spans="1:22">
      <c r="A13" s="19" t="s">
        <v>696</v>
      </c>
      <c r="B13" s="20" t="s">
        <v>765</v>
      </c>
      <c r="C13" s="20"/>
      <c r="D13" s="20"/>
      <c r="E13" s="6" t="s">
        <v>729</v>
      </c>
      <c r="F13" s="11" t="s">
        <v>670</v>
      </c>
      <c r="G13" s="11" t="s">
        <v>671</v>
      </c>
      <c r="H13" s="11" t="s">
        <v>729</v>
      </c>
      <c r="I13" s="11" t="s">
        <v>729</v>
      </c>
      <c r="J13" s="11" t="s">
        <v>729</v>
      </c>
      <c r="K13" s="11" t="s">
        <v>729</v>
      </c>
      <c r="L13" s="11" t="s">
        <v>729</v>
      </c>
      <c r="M13" s="11" t="s">
        <v>729</v>
      </c>
      <c r="N13" s="11" t="s">
        <v>729</v>
      </c>
      <c r="O13" s="11" t="s">
        <v>729</v>
      </c>
      <c r="P13" s="11" t="s">
        <v>729</v>
      </c>
      <c r="Q13" s="11" t="s">
        <v>729</v>
      </c>
      <c r="R13" s="11" t="s">
        <v>729</v>
      </c>
      <c r="S13" s="11" t="s">
        <v>729</v>
      </c>
      <c r="T13" s="11" t="s">
        <v>729</v>
      </c>
      <c r="U13" s="11" t="s">
        <v>729</v>
      </c>
      <c r="V13" s="12" t="s">
        <v>729</v>
      </c>
    </row>
    <row r="14" ht="18" customHeight="1" spans="1:22">
      <c r="A14" s="19"/>
      <c r="B14" s="20" t="s">
        <v>698</v>
      </c>
      <c r="C14" s="20"/>
      <c r="D14" s="20"/>
      <c r="E14" s="6" t="s">
        <v>729</v>
      </c>
      <c r="F14" s="11" t="s">
        <v>766</v>
      </c>
      <c r="G14" s="11" t="s">
        <v>766</v>
      </c>
      <c r="H14" s="11" t="s">
        <v>729</v>
      </c>
      <c r="I14" s="11" t="s">
        <v>729</v>
      </c>
      <c r="J14" s="11" t="s">
        <v>729</v>
      </c>
      <c r="K14" s="11" t="s">
        <v>729</v>
      </c>
      <c r="L14" s="11" t="s">
        <v>729</v>
      </c>
      <c r="M14" s="11" t="s">
        <v>729</v>
      </c>
      <c r="N14" s="11" t="s">
        <v>729</v>
      </c>
      <c r="O14" s="11" t="s">
        <v>729</v>
      </c>
      <c r="P14" s="11" t="s">
        <v>729</v>
      </c>
      <c r="Q14" s="11" t="s">
        <v>729</v>
      </c>
      <c r="R14" s="11" t="s">
        <v>729</v>
      </c>
      <c r="S14" s="11" t="s">
        <v>729</v>
      </c>
      <c r="T14" s="11" t="s">
        <v>729</v>
      </c>
      <c r="U14" s="11" t="s">
        <v>729</v>
      </c>
      <c r="V14" s="12" t="s">
        <v>729</v>
      </c>
    </row>
    <row r="15" ht="18" customHeight="1" spans="1:22">
      <c r="A15" s="19"/>
      <c r="B15" s="20" t="s">
        <v>699</v>
      </c>
      <c r="C15" s="20"/>
      <c r="D15" s="20"/>
      <c r="E15" s="6" t="s">
        <v>729</v>
      </c>
      <c r="F15" s="6" t="s">
        <v>729</v>
      </c>
      <c r="G15" s="6" t="s">
        <v>729</v>
      </c>
      <c r="H15" s="6" t="s">
        <v>729</v>
      </c>
      <c r="I15" s="6" t="s">
        <v>729</v>
      </c>
      <c r="J15" s="6" t="s">
        <v>729</v>
      </c>
      <c r="K15" s="6" t="s">
        <v>729</v>
      </c>
      <c r="L15" s="6" t="s">
        <v>729</v>
      </c>
      <c r="M15" s="6" t="s">
        <v>729</v>
      </c>
      <c r="N15" s="6" t="s">
        <v>729</v>
      </c>
      <c r="O15" s="6" t="s">
        <v>729</v>
      </c>
      <c r="P15" s="6" t="s">
        <v>729</v>
      </c>
      <c r="Q15" s="6" t="s">
        <v>729</v>
      </c>
      <c r="R15" s="6" t="s">
        <v>729</v>
      </c>
      <c r="S15" s="6" t="s">
        <v>729</v>
      </c>
      <c r="T15" s="6" t="s">
        <v>729</v>
      </c>
      <c r="U15" s="6" t="s">
        <v>729</v>
      </c>
      <c r="V15" s="8" t="s">
        <v>729</v>
      </c>
    </row>
    <row r="16" ht="18" customHeight="1" spans="1:22">
      <c r="A16" s="19"/>
      <c r="B16" s="21" t="s">
        <v>700</v>
      </c>
      <c r="C16" s="21"/>
      <c r="D16" s="21"/>
      <c r="E16" s="22" t="s">
        <v>729</v>
      </c>
      <c r="F16" s="22" t="s">
        <v>729</v>
      </c>
      <c r="G16" s="22" t="s">
        <v>729</v>
      </c>
      <c r="H16" s="22" t="s">
        <v>729</v>
      </c>
      <c r="I16" s="22" t="s">
        <v>729</v>
      </c>
      <c r="J16" s="22" t="s">
        <v>729</v>
      </c>
      <c r="K16" s="22" t="s">
        <v>729</v>
      </c>
      <c r="L16" s="22" t="s">
        <v>729</v>
      </c>
      <c r="M16" s="22" t="s">
        <v>729</v>
      </c>
      <c r="N16" s="22" t="s">
        <v>729</v>
      </c>
      <c r="O16" s="22" t="s">
        <v>729</v>
      </c>
      <c r="P16" s="22" t="s">
        <v>729</v>
      </c>
      <c r="Q16" s="22" t="s">
        <v>729</v>
      </c>
      <c r="R16" s="22" t="s">
        <v>729</v>
      </c>
      <c r="S16" s="22" t="s">
        <v>729</v>
      </c>
      <c r="T16" s="22" t="s">
        <v>729</v>
      </c>
      <c r="U16" s="22" t="s">
        <v>729</v>
      </c>
      <c r="V16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3:D13"/>
    <mergeCell ref="B14:D14"/>
    <mergeCell ref="B15:D15"/>
    <mergeCell ref="B16:D16"/>
    <mergeCell ref="A7:A9"/>
    <mergeCell ref="A10:A12"/>
    <mergeCell ref="A13:A16"/>
  </mergeCells>
  <dataValidations count="3">
    <dataValidation type="list" allowBlank="1" sqref="F13:V13">
      <formula1>"N,A,B"</formula1>
    </dataValidation>
    <dataValidation type="list" allowBlank="1" sqref="F14:V14">
      <formula1>"P,F"</formula1>
    </dataValidation>
    <dataValidation type="list" allowBlank="1" sqref="F11:V12 F8:V9">
      <formula1>"O,-"</formula1>
    </dataValidation>
  </dataValidations>
  <pageMargins left="0.7" right="0.7" top="0.75" bottom="0.75" header="0.3" footer="0.3"/>
  <pageSetup paperSize="1" orientation="portrait"/>
  <headerFooter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8"/>
  <sheetViews>
    <sheetView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135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251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1040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2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1</v>
      </c>
      <c r="M5" s="11">
        <v>1</v>
      </c>
      <c r="N5" s="11">
        <v>0</v>
      </c>
      <c r="O5" s="12">
        <v>2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687</v>
      </c>
      <c r="H6" s="14" t="s">
        <v>729</v>
      </c>
      <c r="I6" s="14" t="s">
        <v>729</v>
      </c>
      <c r="J6" s="14" t="s">
        <v>729</v>
      </c>
      <c r="K6" s="14" t="s">
        <v>729</v>
      </c>
      <c r="L6" s="14" t="s">
        <v>729</v>
      </c>
      <c r="M6" s="14" t="s">
        <v>729</v>
      </c>
      <c r="N6" s="14" t="s">
        <v>729</v>
      </c>
      <c r="O6" s="14" t="s">
        <v>729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28" customHeight="1" spans="1:22">
      <c r="A7" s="16" t="s">
        <v>690</v>
      </c>
      <c r="B7" s="17" t="s">
        <v>1041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40.5" customHeight="1" spans="1:22">
      <c r="A8" s="16"/>
      <c r="B8" s="6" t="s">
        <v>729</v>
      </c>
      <c r="C8" s="6" t="s">
        <v>729</v>
      </c>
      <c r="D8" s="18" t="s">
        <v>1042</v>
      </c>
      <c r="E8" s="6" t="s">
        <v>729</v>
      </c>
      <c r="F8" s="11" t="s">
        <v>752</v>
      </c>
      <c r="G8" s="11" t="s">
        <v>756</v>
      </c>
      <c r="H8" s="11" t="s">
        <v>729</v>
      </c>
      <c r="I8" s="11" t="s">
        <v>729</v>
      </c>
      <c r="J8" s="11" t="s">
        <v>729</v>
      </c>
      <c r="K8" s="11" t="s">
        <v>729</v>
      </c>
      <c r="L8" s="11" t="s">
        <v>729</v>
      </c>
      <c r="M8" s="11" t="s">
        <v>729</v>
      </c>
      <c r="N8" s="11" t="s">
        <v>729</v>
      </c>
      <c r="O8" s="11" t="s">
        <v>729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53" customHeight="1" spans="1:22">
      <c r="A9" s="16"/>
      <c r="B9" s="6" t="s">
        <v>729</v>
      </c>
      <c r="C9" s="6" t="s">
        <v>729</v>
      </c>
      <c r="D9" s="18" t="s">
        <v>1043</v>
      </c>
      <c r="E9" s="6" t="s">
        <v>729</v>
      </c>
      <c r="F9" s="11" t="s">
        <v>756</v>
      </c>
      <c r="G9" s="11" t="s">
        <v>752</v>
      </c>
      <c r="H9" s="11" t="s">
        <v>729</v>
      </c>
      <c r="I9" s="11" t="s">
        <v>729</v>
      </c>
      <c r="J9" s="11" t="s">
        <v>729</v>
      </c>
      <c r="K9" s="11" t="s">
        <v>729</v>
      </c>
      <c r="L9" s="11" t="s">
        <v>729</v>
      </c>
      <c r="M9" s="11" t="s">
        <v>729</v>
      </c>
      <c r="N9" s="11" t="s">
        <v>729</v>
      </c>
      <c r="O9" s="11" t="s">
        <v>729</v>
      </c>
      <c r="P9" s="11" t="s">
        <v>729</v>
      </c>
      <c r="Q9" s="11" t="s">
        <v>729</v>
      </c>
      <c r="R9" s="11" t="s">
        <v>729</v>
      </c>
      <c r="S9" s="11" t="s">
        <v>729</v>
      </c>
      <c r="T9" s="11" t="s">
        <v>729</v>
      </c>
      <c r="U9" s="11" t="s">
        <v>729</v>
      </c>
      <c r="V9" s="12" t="s">
        <v>729</v>
      </c>
    </row>
    <row r="10" ht="15.5" customHeight="1" spans="1:22">
      <c r="A10" s="16" t="s">
        <v>692</v>
      </c>
      <c r="B10" s="17" t="s">
        <v>693</v>
      </c>
      <c r="C10" s="6" t="s">
        <v>729</v>
      </c>
      <c r="D10" s="6" t="s">
        <v>729</v>
      </c>
      <c r="E10" s="6" t="s">
        <v>729</v>
      </c>
      <c r="F10" s="6" t="s">
        <v>729</v>
      </c>
      <c r="G10" s="6" t="s">
        <v>729</v>
      </c>
      <c r="H10" s="6" t="s">
        <v>729</v>
      </c>
      <c r="I10" s="6" t="s">
        <v>729</v>
      </c>
      <c r="J10" s="6" t="s">
        <v>729</v>
      </c>
      <c r="K10" s="6" t="s">
        <v>729</v>
      </c>
      <c r="L10" s="6" t="s">
        <v>729</v>
      </c>
      <c r="M10" s="6" t="s">
        <v>729</v>
      </c>
      <c r="N10" s="6" t="s">
        <v>729</v>
      </c>
      <c r="O10" s="6" t="s">
        <v>729</v>
      </c>
      <c r="P10" s="6" t="s">
        <v>729</v>
      </c>
      <c r="Q10" s="6" t="s">
        <v>729</v>
      </c>
      <c r="R10" s="6" t="s">
        <v>729</v>
      </c>
      <c r="S10" s="6" t="s">
        <v>729</v>
      </c>
      <c r="T10" s="6" t="s">
        <v>729</v>
      </c>
      <c r="U10" s="6" t="s">
        <v>729</v>
      </c>
      <c r="V10" s="8" t="s">
        <v>729</v>
      </c>
    </row>
    <row r="11" ht="40.5" customHeight="1" spans="1:22">
      <c r="A11" s="16"/>
      <c r="B11" s="6" t="s">
        <v>729</v>
      </c>
      <c r="C11" s="6" t="s">
        <v>729</v>
      </c>
      <c r="D11" s="18" t="s">
        <v>1044</v>
      </c>
      <c r="E11" s="6" t="s">
        <v>729</v>
      </c>
      <c r="F11" s="11" t="s">
        <v>752</v>
      </c>
      <c r="G11" s="11" t="s">
        <v>756</v>
      </c>
      <c r="H11" s="11" t="s">
        <v>729</v>
      </c>
      <c r="I11" s="11" t="s">
        <v>729</v>
      </c>
      <c r="J11" s="11" t="s">
        <v>729</v>
      </c>
      <c r="K11" s="11" t="s">
        <v>729</v>
      </c>
      <c r="L11" s="11" t="s">
        <v>729</v>
      </c>
      <c r="M11" s="11" t="s">
        <v>729</v>
      </c>
      <c r="N11" s="11" t="s">
        <v>729</v>
      </c>
      <c r="O11" s="11" t="s">
        <v>729</v>
      </c>
      <c r="P11" s="11" t="s">
        <v>729</v>
      </c>
      <c r="Q11" s="11" t="s">
        <v>729</v>
      </c>
      <c r="R11" s="11" t="s">
        <v>729</v>
      </c>
      <c r="S11" s="11" t="s">
        <v>729</v>
      </c>
      <c r="T11" s="11" t="s">
        <v>729</v>
      </c>
      <c r="U11" s="11" t="s">
        <v>729</v>
      </c>
      <c r="V11" s="12" t="s">
        <v>729</v>
      </c>
    </row>
    <row r="12" ht="90.5" customHeight="1" spans="1:22">
      <c r="A12" s="16"/>
      <c r="B12" s="6" t="s">
        <v>729</v>
      </c>
      <c r="C12" s="6" t="s">
        <v>729</v>
      </c>
      <c r="D12" s="18" t="s">
        <v>1045</v>
      </c>
      <c r="E12" s="6" t="s">
        <v>729</v>
      </c>
      <c r="F12" s="11" t="s">
        <v>756</v>
      </c>
      <c r="G12" s="11" t="s">
        <v>752</v>
      </c>
      <c r="H12" s="11" t="s">
        <v>729</v>
      </c>
      <c r="I12" s="11" t="s">
        <v>729</v>
      </c>
      <c r="J12" s="11" t="s">
        <v>729</v>
      </c>
      <c r="K12" s="11" t="s">
        <v>729</v>
      </c>
      <c r="L12" s="11" t="s">
        <v>729</v>
      </c>
      <c r="M12" s="11" t="s">
        <v>729</v>
      </c>
      <c r="N12" s="11" t="s">
        <v>729</v>
      </c>
      <c r="O12" s="11" t="s">
        <v>729</v>
      </c>
      <c r="P12" s="11" t="s">
        <v>729</v>
      </c>
      <c r="Q12" s="11" t="s">
        <v>729</v>
      </c>
      <c r="R12" s="11" t="s">
        <v>729</v>
      </c>
      <c r="S12" s="11" t="s">
        <v>729</v>
      </c>
      <c r="T12" s="11" t="s">
        <v>729</v>
      </c>
      <c r="U12" s="11" t="s">
        <v>729</v>
      </c>
      <c r="V12" s="12" t="s">
        <v>729</v>
      </c>
    </row>
    <row r="13" ht="15.5" customHeight="1" spans="1:22">
      <c r="A13" s="16"/>
      <c r="B13" s="17" t="s">
        <v>694</v>
      </c>
      <c r="C13" s="6" t="s">
        <v>729</v>
      </c>
      <c r="D13" s="6" t="s">
        <v>729</v>
      </c>
      <c r="E13" s="6" t="s">
        <v>729</v>
      </c>
      <c r="F13" s="6" t="s">
        <v>729</v>
      </c>
      <c r="G13" s="6" t="s">
        <v>729</v>
      </c>
      <c r="H13" s="6" t="s">
        <v>729</v>
      </c>
      <c r="I13" s="6" t="s">
        <v>729</v>
      </c>
      <c r="J13" s="6" t="s">
        <v>729</v>
      </c>
      <c r="K13" s="6" t="s">
        <v>729</v>
      </c>
      <c r="L13" s="6" t="s">
        <v>729</v>
      </c>
      <c r="M13" s="6" t="s">
        <v>729</v>
      </c>
      <c r="N13" s="6" t="s">
        <v>729</v>
      </c>
      <c r="O13" s="6" t="s">
        <v>729</v>
      </c>
      <c r="P13" s="6" t="s">
        <v>729</v>
      </c>
      <c r="Q13" s="6" t="s">
        <v>729</v>
      </c>
      <c r="R13" s="6" t="s">
        <v>729</v>
      </c>
      <c r="S13" s="6" t="s">
        <v>729</v>
      </c>
      <c r="T13" s="6" t="s">
        <v>729</v>
      </c>
      <c r="U13" s="6" t="s">
        <v>729</v>
      </c>
      <c r="V13" s="8" t="s">
        <v>729</v>
      </c>
    </row>
    <row r="14" ht="90.5" customHeight="1" spans="1:22">
      <c r="A14" s="16"/>
      <c r="B14" s="6" t="s">
        <v>729</v>
      </c>
      <c r="C14" s="6" t="s">
        <v>729</v>
      </c>
      <c r="D14" s="18" t="s">
        <v>1046</v>
      </c>
      <c r="E14" s="6" t="s">
        <v>729</v>
      </c>
      <c r="F14" s="11" t="s">
        <v>756</v>
      </c>
      <c r="G14" s="11" t="s">
        <v>752</v>
      </c>
      <c r="H14" s="11" t="s">
        <v>729</v>
      </c>
      <c r="I14" s="11" t="s">
        <v>729</v>
      </c>
      <c r="J14" s="11" t="s">
        <v>729</v>
      </c>
      <c r="K14" s="11" t="s">
        <v>729</v>
      </c>
      <c r="L14" s="11" t="s">
        <v>729</v>
      </c>
      <c r="M14" s="11" t="s">
        <v>729</v>
      </c>
      <c r="N14" s="11" t="s">
        <v>729</v>
      </c>
      <c r="O14" s="11" t="s">
        <v>729</v>
      </c>
      <c r="P14" s="11" t="s">
        <v>729</v>
      </c>
      <c r="Q14" s="11" t="s">
        <v>729</v>
      </c>
      <c r="R14" s="11" t="s">
        <v>729</v>
      </c>
      <c r="S14" s="11" t="s">
        <v>729</v>
      </c>
      <c r="T14" s="11" t="s">
        <v>729</v>
      </c>
      <c r="U14" s="11" t="s">
        <v>729</v>
      </c>
      <c r="V14" s="12" t="s">
        <v>729</v>
      </c>
    </row>
    <row r="15" ht="18" customHeight="1" spans="1:22">
      <c r="A15" s="19" t="s">
        <v>696</v>
      </c>
      <c r="B15" s="20" t="s">
        <v>765</v>
      </c>
      <c r="C15" s="20"/>
      <c r="D15" s="20"/>
      <c r="E15" s="6" t="s">
        <v>729</v>
      </c>
      <c r="F15" s="11" t="s">
        <v>670</v>
      </c>
      <c r="G15" s="11" t="s">
        <v>63</v>
      </c>
      <c r="H15" s="11" t="s">
        <v>729</v>
      </c>
      <c r="I15" s="11" t="s">
        <v>729</v>
      </c>
      <c r="J15" s="11" t="s">
        <v>729</v>
      </c>
      <c r="K15" s="11" t="s">
        <v>729</v>
      </c>
      <c r="L15" s="11" t="s">
        <v>729</v>
      </c>
      <c r="M15" s="11" t="s">
        <v>729</v>
      </c>
      <c r="N15" s="11" t="s">
        <v>729</v>
      </c>
      <c r="O15" s="11" t="s">
        <v>729</v>
      </c>
      <c r="P15" s="11" t="s">
        <v>729</v>
      </c>
      <c r="Q15" s="11" t="s">
        <v>729</v>
      </c>
      <c r="R15" s="11" t="s">
        <v>729</v>
      </c>
      <c r="S15" s="11" t="s">
        <v>729</v>
      </c>
      <c r="T15" s="11" t="s">
        <v>729</v>
      </c>
      <c r="U15" s="11" t="s">
        <v>729</v>
      </c>
      <c r="V15" s="12" t="s">
        <v>729</v>
      </c>
    </row>
    <row r="16" ht="18" customHeight="1" spans="1:22">
      <c r="A16" s="19"/>
      <c r="B16" s="20" t="s">
        <v>698</v>
      </c>
      <c r="C16" s="20"/>
      <c r="D16" s="20"/>
      <c r="E16" s="6" t="s">
        <v>729</v>
      </c>
      <c r="F16" s="11" t="s">
        <v>766</v>
      </c>
      <c r="G16" s="11" t="s">
        <v>766</v>
      </c>
      <c r="H16" s="11" t="s">
        <v>729</v>
      </c>
      <c r="I16" s="11" t="s">
        <v>729</v>
      </c>
      <c r="J16" s="11" t="s">
        <v>729</v>
      </c>
      <c r="K16" s="11" t="s">
        <v>729</v>
      </c>
      <c r="L16" s="11" t="s">
        <v>729</v>
      </c>
      <c r="M16" s="11" t="s">
        <v>729</v>
      </c>
      <c r="N16" s="11" t="s">
        <v>729</v>
      </c>
      <c r="O16" s="11" t="s">
        <v>729</v>
      </c>
      <c r="P16" s="11" t="s">
        <v>729</v>
      </c>
      <c r="Q16" s="11" t="s">
        <v>729</v>
      </c>
      <c r="R16" s="11" t="s">
        <v>729</v>
      </c>
      <c r="S16" s="11" t="s">
        <v>729</v>
      </c>
      <c r="T16" s="11" t="s">
        <v>729</v>
      </c>
      <c r="U16" s="11" t="s">
        <v>729</v>
      </c>
      <c r="V16" s="12" t="s">
        <v>729</v>
      </c>
    </row>
    <row r="17" ht="18" customHeight="1" spans="1:22">
      <c r="A17" s="19"/>
      <c r="B17" s="20" t="s">
        <v>699</v>
      </c>
      <c r="C17" s="20"/>
      <c r="D17" s="20"/>
      <c r="E17" s="6" t="s">
        <v>729</v>
      </c>
      <c r="F17" s="6" t="s">
        <v>729</v>
      </c>
      <c r="G17" s="6" t="s">
        <v>729</v>
      </c>
      <c r="H17" s="6" t="s">
        <v>729</v>
      </c>
      <c r="I17" s="6" t="s">
        <v>729</v>
      </c>
      <c r="J17" s="6" t="s">
        <v>729</v>
      </c>
      <c r="K17" s="6" t="s">
        <v>729</v>
      </c>
      <c r="L17" s="6" t="s">
        <v>729</v>
      </c>
      <c r="M17" s="6" t="s">
        <v>729</v>
      </c>
      <c r="N17" s="6" t="s">
        <v>729</v>
      </c>
      <c r="O17" s="6" t="s">
        <v>729</v>
      </c>
      <c r="P17" s="6" t="s">
        <v>729</v>
      </c>
      <c r="Q17" s="6" t="s">
        <v>729</v>
      </c>
      <c r="R17" s="6" t="s">
        <v>729</v>
      </c>
      <c r="S17" s="6" t="s">
        <v>729</v>
      </c>
      <c r="T17" s="6" t="s">
        <v>729</v>
      </c>
      <c r="U17" s="6" t="s">
        <v>729</v>
      </c>
      <c r="V17" s="8" t="s">
        <v>729</v>
      </c>
    </row>
    <row r="18" ht="18" customHeight="1" spans="1:22">
      <c r="A18" s="19"/>
      <c r="B18" s="21" t="s">
        <v>700</v>
      </c>
      <c r="C18" s="21"/>
      <c r="D18" s="21"/>
      <c r="E18" s="22" t="s">
        <v>729</v>
      </c>
      <c r="F18" s="22" t="s">
        <v>729</v>
      </c>
      <c r="G18" s="22" t="s">
        <v>729</v>
      </c>
      <c r="H18" s="22" t="s">
        <v>729</v>
      </c>
      <c r="I18" s="22" t="s">
        <v>729</v>
      </c>
      <c r="J18" s="22" t="s">
        <v>729</v>
      </c>
      <c r="K18" s="22" t="s">
        <v>729</v>
      </c>
      <c r="L18" s="22" t="s">
        <v>729</v>
      </c>
      <c r="M18" s="22" t="s">
        <v>729</v>
      </c>
      <c r="N18" s="22" t="s">
        <v>729</v>
      </c>
      <c r="O18" s="22" t="s">
        <v>729</v>
      </c>
      <c r="P18" s="22" t="s">
        <v>729</v>
      </c>
      <c r="Q18" s="22" t="s">
        <v>729</v>
      </c>
      <c r="R18" s="22" t="s">
        <v>729</v>
      </c>
      <c r="S18" s="22" t="s">
        <v>729</v>
      </c>
      <c r="T18" s="22" t="s">
        <v>729</v>
      </c>
      <c r="U18" s="22" t="s">
        <v>729</v>
      </c>
      <c r="V18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5:D15"/>
    <mergeCell ref="B16:D16"/>
    <mergeCell ref="B17:D17"/>
    <mergeCell ref="B18:D18"/>
    <mergeCell ref="A7:A9"/>
    <mergeCell ref="A10:A14"/>
    <mergeCell ref="A15:A18"/>
  </mergeCells>
  <dataValidations count="3">
    <dataValidation type="list" allowBlank="1" sqref="F14:V14 F11:V12 F8:V9">
      <formula1>"O,-"</formula1>
    </dataValidation>
    <dataValidation type="list" allowBlank="1" sqref="F15:V15">
      <formula1>"N,A,B"</formula1>
    </dataValidation>
    <dataValidation type="list" allowBlank="1" sqref="F16:V16">
      <formula1>"P,F"</formula1>
    </dataValidation>
  </dataValidations>
  <pageMargins left="0.7" right="0.7" top="0.75" bottom="0.75" header="0.3" footer="0.3"/>
  <pageSetup paperSize="1" orientation="portrait"/>
  <headerFooter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8"/>
  <sheetViews>
    <sheetView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257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258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28" customHeight="1" spans="1:22">
      <c r="A3" s="5" t="s">
        <v>684</v>
      </c>
      <c r="B3" s="8" t="s">
        <v>1047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3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3</v>
      </c>
      <c r="M5" s="11">
        <v>0</v>
      </c>
      <c r="N5" s="11">
        <v>0</v>
      </c>
      <c r="O5" s="12">
        <v>3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687</v>
      </c>
      <c r="H6" s="14" t="s">
        <v>688</v>
      </c>
      <c r="I6" s="14" t="s">
        <v>729</v>
      </c>
      <c r="J6" s="14" t="s">
        <v>729</v>
      </c>
      <c r="K6" s="14" t="s">
        <v>729</v>
      </c>
      <c r="L6" s="14" t="s">
        <v>729</v>
      </c>
      <c r="M6" s="14" t="s">
        <v>729</v>
      </c>
      <c r="N6" s="14" t="s">
        <v>729</v>
      </c>
      <c r="O6" s="14" t="s">
        <v>729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28" customHeight="1" spans="1:22">
      <c r="A7" s="16" t="s">
        <v>690</v>
      </c>
      <c r="B7" s="17" t="s">
        <v>1048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40.5" customHeight="1" spans="1:22">
      <c r="A8" s="16"/>
      <c r="B8" s="6" t="s">
        <v>729</v>
      </c>
      <c r="C8" s="6" t="s">
        <v>729</v>
      </c>
      <c r="D8" s="18" t="s">
        <v>1049</v>
      </c>
      <c r="E8" s="6" t="s">
        <v>729</v>
      </c>
      <c r="F8" s="11" t="s">
        <v>752</v>
      </c>
      <c r="G8" s="11" t="s">
        <v>756</v>
      </c>
      <c r="H8" s="11" t="s">
        <v>756</v>
      </c>
      <c r="I8" s="11" t="s">
        <v>729</v>
      </c>
      <c r="J8" s="11" t="s">
        <v>729</v>
      </c>
      <c r="K8" s="11" t="s">
        <v>729</v>
      </c>
      <c r="L8" s="11" t="s">
        <v>729</v>
      </c>
      <c r="M8" s="11" t="s">
        <v>729</v>
      </c>
      <c r="N8" s="11" t="s">
        <v>729</v>
      </c>
      <c r="O8" s="11" t="s">
        <v>729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40.5" customHeight="1" spans="1:22">
      <c r="A9" s="16"/>
      <c r="B9" s="6" t="s">
        <v>729</v>
      </c>
      <c r="C9" s="6" t="s">
        <v>729</v>
      </c>
      <c r="D9" s="18" t="s">
        <v>1050</v>
      </c>
      <c r="E9" s="6" t="s">
        <v>729</v>
      </c>
      <c r="F9" s="11" t="s">
        <v>756</v>
      </c>
      <c r="G9" s="11" t="s">
        <v>752</v>
      </c>
      <c r="H9" s="11" t="s">
        <v>756</v>
      </c>
      <c r="I9" s="11" t="s">
        <v>729</v>
      </c>
      <c r="J9" s="11" t="s">
        <v>729</v>
      </c>
      <c r="K9" s="11" t="s">
        <v>729</v>
      </c>
      <c r="L9" s="11" t="s">
        <v>729</v>
      </c>
      <c r="M9" s="11" t="s">
        <v>729</v>
      </c>
      <c r="N9" s="11" t="s">
        <v>729</v>
      </c>
      <c r="O9" s="11" t="s">
        <v>729</v>
      </c>
      <c r="P9" s="11" t="s">
        <v>729</v>
      </c>
      <c r="Q9" s="11" t="s">
        <v>729</v>
      </c>
      <c r="R9" s="11" t="s">
        <v>729</v>
      </c>
      <c r="S9" s="11" t="s">
        <v>729</v>
      </c>
      <c r="T9" s="11" t="s">
        <v>729</v>
      </c>
      <c r="U9" s="11" t="s">
        <v>729</v>
      </c>
      <c r="V9" s="12" t="s">
        <v>729</v>
      </c>
    </row>
    <row r="10" ht="40.5" customHeight="1" spans="1:22">
      <c r="A10" s="16"/>
      <c r="B10" s="6" t="s">
        <v>729</v>
      </c>
      <c r="C10" s="6" t="s">
        <v>729</v>
      </c>
      <c r="D10" s="18" t="s">
        <v>1051</v>
      </c>
      <c r="E10" s="6" t="s">
        <v>729</v>
      </c>
      <c r="F10" s="11" t="s">
        <v>756</v>
      </c>
      <c r="G10" s="11" t="s">
        <v>756</v>
      </c>
      <c r="H10" s="11" t="s">
        <v>752</v>
      </c>
      <c r="I10" s="11" t="s">
        <v>729</v>
      </c>
      <c r="J10" s="11" t="s">
        <v>729</v>
      </c>
      <c r="K10" s="11" t="s">
        <v>729</v>
      </c>
      <c r="L10" s="11" t="s">
        <v>729</v>
      </c>
      <c r="M10" s="11" t="s">
        <v>729</v>
      </c>
      <c r="N10" s="11" t="s">
        <v>729</v>
      </c>
      <c r="O10" s="11" t="s">
        <v>729</v>
      </c>
      <c r="P10" s="11" t="s">
        <v>729</v>
      </c>
      <c r="Q10" s="11" t="s">
        <v>729</v>
      </c>
      <c r="R10" s="11" t="s">
        <v>729</v>
      </c>
      <c r="S10" s="11" t="s">
        <v>729</v>
      </c>
      <c r="T10" s="11" t="s">
        <v>729</v>
      </c>
      <c r="U10" s="11" t="s">
        <v>729</v>
      </c>
      <c r="V10" s="12" t="s">
        <v>729</v>
      </c>
    </row>
    <row r="11" ht="15.5" customHeight="1" spans="1:22">
      <c r="A11" s="16" t="s">
        <v>692</v>
      </c>
      <c r="B11" s="17" t="s">
        <v>693</v>
      </c>
      <c r="C11" s="6" t="s">
        <v>729</v>
      </c>
      <c r="D11" s="6" t="s">
        <v>729</v>
      </c>
      <c r="E11" s="6" t="s">
        <v>729</v>
      </c>
      <c r="F11" s="6" t="s">
        <v>729</v>
      </c>
      <c r="G11" s="6" t="s">
        <v>729</v>
      </c>
      <c r="H11" s="6" t="s">
        <v>729</v>
      </c>
      <c r="I11" s="6" t="s">
        <v>729</v>
      </c>
      <c r="J11" s="6" t="s">
        <v>729</v>
      </c>
      <c r="K11" s="6" t="s">
        <v>729</v>
      </c>
      <c r="L11" s="6" t="s">
        <v>729</v>
      </c>
      <c r="M11" s="6" t="s">
        <v>729</v>
      </c>
      <c r="N11" s="6" t="s">
        <v>729</v>
      </c>
      <c r="O11" s="6" t="s">
        <v>729</v>
      </c>
      <c r="P11" s="6" t="s">
        <v>729</v>
      </c>
      <c r="Q11" s="6" t="s">
        <v>729</v>
      </c>
      <c r="R11" s="6" t="s">
        <v>729</v>
      </c>
      <c r="S11" s="6" t="s">
        <v>729</v>
      </c>
      <c r="T11" s="6" t="s">
        <v>729</v>
      </c>
      <c r="U11" s="6" t="s">
        <v>729</v>
      </c>
      <c r="V11" s="8" t="s">
        <v>729</v>
      </c>
    </row>
    <row r="12" ht="65.5" customHeight="1" spans="1:22">
      <c r="A12" s="16"/>
      <c r="B12" s="6" t="s">
        <v>729</v>
      </c>
      <c r="C12" s="6" t="s">
        <v>729</v>
      </c>
      <c r="D12" s="18" t="s">
        <v>1052</v>
      </c>
      <c r="E12" s="6" t="s">
        <v>729</v>
      </c>
      <c r="F12" s="11" t="s">
        <v>752</v>
      </c>
      <c r="G12" s="11" t="s">
        <v>752</v>
      </c>
      <c r="H12" s="11" t="s">
        <v>752</v>
      </c>
      <c r="I12" s="11" t="s">
        <v>729</v>
      </c>
      <c r="J12" s="11" t="s">
        <v>729</v>
      </c>
      <c r="K12" s="11" t="s">
        <v>729</v>
      </c>
      <c r="L12" s="11" t="s">
        <v>729</v>
      </c>
      <c r="M12" s="11" t="s">
        <v>729</v>
      </c>
      <c r="N12" s="11" t="s">
        <v>729</v>
      </c>
      <c r="O12" s="11" t="s">
        <v>729</v>
      </c>
      <c r="P12" s="11" t="s">
        <v>729</v>
      </c>
      <c r="Q12" s="11" t="s">
        <v>729</v>
      </c>
      <c r="R12" s="11" t="s">
        <v>729</v>
      </c>
      <c r="S12" s="11" t="s">
        <v>729</v>
      </c>
      <c r="T12" s="11" t="s">
        <v>729</v>
      </c>
      <c r="U12" s="11" t="s">
        <v>729</v>
      </c>
      <c r="V12" s="12" t="s">
        <v>729</v>
      </c>
    </row>
    <row r="13" ht="78" customHeight="1" spans="1:22">
      <c r="A13" s="16"/>
      <c r="B13" s="6" t="s">
        <v>729</v>
      </c>
      <c r="C13" s="6" t="s">
        <v>729</v>
      </c>
      <c r="D13" s="18" t="s">
        <v>1053</v>
      </c>
      <c r="E13" s="6" t="s">
        <v>729</v>
      </c>
      <c r="F13" s="11" t="s">
        <v>752</v>
      </c>
      <c r="G13" s="11" t="s">
        <v>752</v>
      </c>
      <c r="H13" s="11" t="s">
        <v>752</v>
      </c>
      <c r="I13" s="11" t="s">
        <v>729</v>
      </c>
      <c r="J13" s="11" t="s">
        <v>729</v>
      </c>
      <c r="K13" s="11" t="s">
        <v>729</v>
      </c>
      <c r="L13" s="11" t="s">
        <v>729</v>
      </c>
      <c r="M13" s="11" t="s">
        <v>729</v>
      </c>
      <c r="N13" s="11" t="s">
        <v>729</v>
      </c>
      <c r="O13" s="11" t="s">
        <v>729</v>
      </c>
      <c r="P13" s="11" t="s">
        <v>729</v>
      </c>
      <c r="Q13" s="11" t="s">
        <v>729</v>
      </c>
      <c r="R13" s="11" t="s">
        <v>729</v>
      </c>
      <c r="S13" s="11" t="s">
        <v>729</v>
      </c>
      <c r="T13" s="11" t="s">
        <v>729</v>
      </c>
      <c r="U13" s="11" t="s">
        <v>729</v>
      </c>
      <c r="V13" s="12" t="s">
        <v>729</v>
      </c>
    </row>
    <row r="14" ht="40.5" customHeight="1" spans="1:22">
      <c r="A14" s="16"/>
      <c r="B14" s="6" t="s">
        <v>729</v>
      </c>
      <c r="C14" s="6" t="s">
        <v>729</v>
      </c>
      <c r="D14" s="18" t="s">
        <v>1054</v>
      </c>
      <c r="E14" s="6" t="s">
        <v>729</v>
      </c>
      <c r="F14" s="11" t="s">
        <v>752</v>
      </c>
      <c r="G14" s="11" t="s">
        <v>752</v>
      </c>
      <c r="H14" s="11" t="s">
        <v>756</v>
      </c>
      <c r="I14" s="11" t="s">
        <v>729</v>
      </c>
      <c r="J14" s="11" t="s">
        <v>729</v>
      </c>
      <c r="K14" s="11" t="s">
        <v>729</v>
      </c>
      <c r="L14" s="11" t="s">
        <v>729</v>
      </c>
      <c r="M14" s="11" t="s">
        <v>729</v>
      </c>
      <c r="N14" s="11" t="s">
        <v>729</v>
      </c>
      <c r="O14" s="11" t="s">
        <v>729</v>
      </c>
      <c r="P14" s="11" t="s">
        <v>729</v>
      </c>
      <c r="Q14" s="11" t="s">
        <v>729</v>
      </c>
      <c r="R14" s="11" t="s">
        <v>729</v>
      </c>
      <c r="S14" s="11" t="s">
        <v>729</v>
      </c>
      <c r="T14" s="11" t="s">
        <v>729</v>
      </c>
      <c r="U14" s="11" t="s">
        <v>729</v>
      </c>
      <c r="V14" s="12" t="s">
        <v>729</v>
      </c>
    </row>
    <row r="15" ht="18" customHeight="1" spans="1:22">
      <c r="A15" s="19" t="s">
        <v>696</v>
      </c>
      <c r="B15" s="20" t="s">
        <v>765</v>
      </c>
      <c r="C15" s="20"/>
      <c r="D15" s="20"/>
      <c r="E15" s="6" t="s">
        <v>729</v>
      </c>
      <c r="F15" s="11" t="s">
        <v>670</v>
      </c>
      <c r="G15" s="11" t="s">
        <v>670</v>
      </c>
      <c r="H15" s="11" t="s">
        <v>670</v>
      </c>
      <c r="I15" s="11" t="s">
        <v>729</v>
      </c>
      <c r="J15" s="11" t="s">
        <v>729</v>
      </c>
      <c r="K15" s="11" t="s">
        <v>729</v>
      </c>
      <c r="L15" s="11" t="s">
        <v>729</v>
      </c>
      <c r="M15" s="11" t="s">
        <v>729</v>
      </c>
      <c r="N15" s="11" t="s">
        <v>729</v>
      </c>
      <c r="O15" s="11" t="s">
        <v>729</v>
      </c>
      <c r="P15" s="11" t="s">
        <v>729</v>
      </c>
      <c r="Q15" s="11" t="s">
        <v>729</v>
      </c>
      <c r="R15" s="11" t="s">
        <v>729</v>
      </c>
      <c r="S15" s="11" t="s">
        <v>729</v>
      </c>
      <c r="T15" s="11" t="s">
        <v>729</v>
      </c>
      <c r="U15" s="11" t="s">
        <v>729</v>
      </c>
      <c r="V15" s="12" t="s">
        <v>729</v>
      </c>
    </row>
    <row r="16" ht="18" customHeight="1" spans="1:22">
      <c r="A16" s="19"/>
      <c r="B16" s="20" t="s">
        <v>698</v>
      </c>
      <c r="C16" s="20"/>
      <c r="D16" s="20"/>
      <c r="E16" s="6" t="s">
        <v>729</v>
      </c>
      <c r="F16" s="11" t="s">
        <v>766</v>
      </c>
      <c r="G16" s="11" t="s">
        <v>766</v>
      </c>
      <c r="H16" s="11" t="s">
        <v>766</v>
      </c>
      <c r="I16" s="11" t="s">
        <v>729</v>
      </c>
      <c r="J16" s="11" t="s">
        <v>729</v>
      </c>
      <c r="K16" s="11" t="s">
        <v>729</v>
      </c>
      <c r="L16" s="11" t="s">
        <v>729</v>
      </c>
      <c r="M16" s="11" t="s">
        <v>729</v>
      </c>
      <c r="N16" s="11" t="s">
        <v>729</v>
      </c>
      <c r="O16" s="11" t="s">
        <v>729</v>
      </c>
      <c r="P16" s="11" t="s">
        <v>729</v>
      </c>
      <c r="Q16" s="11" t="s">
        <v>729</v>
      </c>
      <c r="R16" s="11" t="s">
        <v>729</v>
      </c>
      <c r="S16" s="11" t="s">
        <v>729</v>
      </c>
      <c r="T16" s="11" t="s">
        <v>729</v>
      </c>
      <c r="U16" s="11" t="s">
        <v>729</v>
      </c>
      <c r="V16" s="12" t="s">
        <v>729</v>
      </c>
    </row>
    <row r="17" ht="18" customHeight="1" spans="1:22">
      <c r="A17" s="19"/>
      <c r="B17" s="20" t="s">
        <v>699</v>
      </c>
      <c r="C17" s="20"/>
      <c r="D17" s="20"/>
      <c r="E17" s="6" t="s">
        <v>729</v>
      </c>
      <c r="F17" s="6" t="s">
        <v>729</v>
      </c>
      <c r="G17" s="6" t="s">
        <v>729</v>
      </c>
      <c r="H17" s="6" t="s">
        <v>729</v>
      </c>
      <c r="I17" s="6" t="s">
        <v>729</v>
      </c>
      <c r="J17" s="6" t="s">
        <v>729</v>
      </c>
      <c r="K17" s="6" t="s">
        <v>729</v>
      </c>
      <c r="L17" s="6" t="s">
        <v>729</v>
      </c>
      <c r="M17" s="6" t="s">
        <v>729</v>
      </c>
      <c r="N17" s="6" t="s">
        <v>729</v>
      </c>
      <c r="O17" s="6" t="s">
        <v>729</v>
      </c>
      <c r="P17" s="6" t="s">
        <v>729</v>
      </c>
      <c r="Q17" s="6" t="s">
        <v>729</v>
      </c>
      <c r="R17" s="6" t="s">
        <v>729</v>
      </c>
      <c r="S17" s="6" t="s">
        <v>729</v>
      </c>
      <c r="T17" s="6" t="s">
        <v>729</v>
      </c>
      <c r="U17" s="6" t="s">
        <v>729</v>
      </c>
      <c r="V17" s="8" t="s">
        <v>729</v>
      </c>
    </row>
    <row r="18" ht="18" customHeight="1" spans="1:22">
      <c r="A18" s="19"/>
      <c r="B18" s="21" t="s">
        <v>700</v>
      </c>
      <c r="C18" s="21"/>
      <c r="D18" s="21"/>
      <c r="E18" s="22" t="s">
        <v>729</v>
      </c>
      <c r="F18" s="22" t="s">
        <v>729</v>
      </c>
      <c r="G18" s="22" t="s">
        <v>729</v>
      </c>
      <c r="H18" s="22" t="s">
        <v>729</v>
      </c>
      <c r="I18" s="22" t="s">
        <v>729</v>
      </c>
      <c r="J18" s="22" t="s">
        <v>729</v>
      </c>
      <c r="K18" s="22" t="s">
        <v>729</v>
      </c>
      <c r="L18" s="22" t="s">
        <v>729</v>
      </c>
      <c r="M18" s="22" t="s">
        <v>729</v>
      </c>
      <c r="N18" s="22" t="s">
        <v>729</v>
      </c>
      <c r="O18" s="22" t="s">
        <v>729</v>
      </c>
      <c r="P18" s="22" t="s">
        <v>729</v>
      </c>
      <c r="Q18" s="22" t="s">
        <v>729</v>
      </c>
      <c r="R18" s="22" t="s">
        <v>729</v>
      </c>
      <c r="S18" s="22" t="s">
        <v>729</v>
      </c>
      <c r="T18" s="22" t="s">
        <v>729</v>
      </c>
      <c r="U18" s="22" t="s">
        <v>729</v>
      </c>
      <c r="V18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5:D15"/>
    <mergeCell ref="B16:D16"/>
    <mergeCell ref="B17:D17"/>
    <mergeCell ref="B18:D18"/>
    <mergeCell ref="A7:A10"/>
    <mergeCell ref="A11:A14"/>
    <mergeCell ref="A15:A18"/>
  </mergeCells>
  <dataValidations count="3">
    <dataValidation type="list" allowBlank="1" sqref="F10:V10 F12:V14 F8:V9">
      <formula1>"O,-"</formula1>
    </dataValidation>
    <dataValidation type="list" allowBlank="1" sqref="F15:V15">
      <formula1>"N,A,B"</formula1>
    </dataValidation>
    <dataValidation type="list" allowBlank="1" sqref="F16:V16">
      <formula1>"P,F"</formula1>
    </dataValidation>
  </dataValidations>
  <pageMargins left="0.7" right="0.7" top="0.75" bottom="0.75" header="0.3" footer="0.3"/>
  <pageSetup paperSize="1" orientation="portrait"/>
  <headerFooter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0"/>
  <sheetViews>
    <sheetView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257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263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28" customHeight="1" spans="1:22">
      <c r="A3" s="5" t="s">
        <v>684</v>
      </c>
      <c r="B3" s="8" t="s">
        <v>1055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3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0</v>
      </c>
      <c r="M5" s="11">
        <v>3</v>
      </c>
      <c r="N5" s="11">
        <v>0</v>
      </c>
      <c r="O5" s="12">
        <v>3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687</v>
      </c>
      <c r="H6" s="14" t="s">
        <v>688</v>
      </c>
      <c r="I6" s="14" t="s">
        <v>729</v>
      </c>
      <c r="J6" s="14" t="s">
        <v>729</v>
      </c>
      <c r="K6" s="14" t="s">
        <v>729</v>
      </c>
      <c r="L6" s="14" t="s">
        <v>729</v>
      </c>
      <c r="M6" s="14" t="s">
        <v>729</v>
      </c>
      <c r="N6" s="14" t="s">
        <v>729</v>
      </c>
      <c r="O6" s="14" t="s">
        <v>729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28" customHeight="1" spans="1:22">
      <c r="A7" s="16" t="s">
        <v>690</v>
      </c>
      <c r="B7" s="17" t="s">
        <v>1056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53" customHeight="1" spans="1:22">
      <c r="A8" s="16"/>
      <c r="B8" s="6" t="s">
        <v>729</v>
      </c>
      <c r="C8" s="6" t="s">
        <v>729</v>
      </c>
      <c r="D8" s="18" t="s">
        <v>1057</v>
      </c>
      <c r="E8" s="6" t="s">
        <v>729</v>
      </c>
      <c r="F8" s="11" t="s">
        <v>752</v>
      </c>
      <c r="G8" s="11" t="s">
        <v>756</v>
      </c>
      <c r="H8" s="11" t="s">
        <v>756</v>
      </c>
      <c r="I8" s="11" t="s">
        <v>729</v>
      </c>
      <c r="J8" s="11" t="s">
        <v>729</v>
      </c>
      <c r="K8" s="11" t="s">
        <v>729</v>
      </c>
      <c r="L8" s="11" t="s">
        <v>729</v>
      </c>
      <c r="M8" s="11" t="s">
        <v>729</v>
      </c>
      <c r="N8" s="11" t="s">
        <v>729</v>
      </c>
      <c r="O8" s="11" t="s">
        <v>729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40.5" customHeight="1" spans="1:22">
      <c r="A9" s="16"/>
      <c r="B9" s="6" t="s">
        <v>729</v>
      </c>
      <c r="C9" s="6" t="s">
        <v>729</v>
      </c>
      <c r="D9" s="18" t="s">
        <v>1058</v>
      </c>
      <c r="E9" s="6" t="s">
        <v>729</v>
      </c>
      <c r="F9" s="11" t="s">
        <v>756</v>
      </c>
      <c r="G9" s="11" t="s">
        <v>752</v>
      </c>
      <c r="H9" s="11" t="s">
        <v>756</v>
      </c>
      <c r="I9" s="11" t="s">
        <v>729</v>
      </c>
      <c r="J9" s="11" t="s">
        <v>729</v>
      </c>
      <c r="K9" s="11" t="s">
        <v>729</v>
      </c>
      <c r="L9" s="11" t="s">
        <v>729</v>
      </c>
      <c r="M9" s="11" t="s">
        <v>729</v>
      </c>
      <c r="N9" s="11" t="s">
        <v>729</v>
      </c>
      <c r="O9" s="11" t="s">
        <v>729</v>
      </c>
      <c r="P9" s="11" t="s">
        <v>729</v>
      </c>
      <c r="Q9" s="11" t="s">
        <v>729</v>
      </c>
      <c r="R9" s="11" t="s">
        <v>729</v>
      </c>
      <c r="S9" s="11" t="s">
        <v>729</v>
      </c>
      <c r="T9" s="11" t="s">
        <v>729</v>
      </c>
      <c r="U9" s="11" t="s">
        <v>729</v>
      </c>
      <c r="V9" s="12" t="s">
        <v>729</v>
      </c>
    </row>
    <row r="10" ht="65.5" customHeight="1" spans="1:22">
      <c r="A10" s="16"/>
      <c r="B10" s="6" t="s">
        <v>729</v>
      </c>
      <c r="C10" s="6" t="s">
        <v>729</v>
      </c>
      <c r="D10" s="18" t="s">
        <v>1059</v>
      </c>
      <c r="E10" s="6" t="s">
        <v>729</v>
      </c>
      <c r="F10" s="11" t="s">
        <v>756</v>
      </c>
      <c r="G10" s="11" t="s">
        <v>756</v>
      </c>
      <c r="H10" s="11" t="s">
        <v>752</v>
      </c>
      <c r="I10" s="11" t="s">
        <v>729</v>
      </c>
      <c r="J10" s="11" t="s">
        <v>729</v>
      </c>
      <c r="K10" s="11" t="s">
        <v>729</v>
      </c>
      <c r="L10" s="11" t="s">
        <v>729</v>
      </c>
      <c r="M10" s="11" t="s">
        <v>729</v>
      </c>
      <c r="N10" s="11" t="s">
        <v>729</v>
      </c>
      <c r="O10" s="11" t="s">
        <v>729</v>
      </c>
      <c r="P10" s="11" t="s">
        <v>729</v>
      </c>
      <c r="Q10" s="11" t="s">
        <v>729</v>
      </c>
      <c r="R10" s="11" t="s">
        <v>729</v>
      </c>
      <c r="S10" s="11" t="s">
        <v>729</v>
      </c>
      <c r="T10" s="11" t="s">
        <v>729</v>
      </c>
      <c r="U10" s="11" t="s">
        <v>729</v>
      </c>
      <c r="V10" s="12" t="s">
        <v>729</v>
      </c>
    </row>
    <row r="11" ht="15.5" customHeight="1" spans="1:22">
      <c r="A11" s="16" t="s">
        <v>692</v>
      </c>
      <c r="B11" s="17" t="s">
        <v>693</v>
      </c>
      <c r="C11" s="6" t="s">
        <v>729</v>
      </c>
      <c r="D11" s="6" t="s">
        <v>729</v>
      </c>
      <c r="E11" s="6" t="s">
        <v>729</v>
      </c>
      <c r="F11" s="6" t="s">
        <v>729</v>
      </c>
      <c r="G11" s="6" t="s">
        <v>729</v>
      </c>
      <c r="H11" s="6" t="s">
        <v>729</v>
      </c>
      <c r="I11" s="6" t="s">
        <v>729</v>
      </c>
      <c r="J11" s="6" t="s">
        <v>729</v>
      </c>
      <c r="K11" s="6" t="s">
        <v>729</v>
      </c>
      <c r="L11" s="6" t="s">
        <v>729</v>
      </c>
      <c r="M11" s="6" t="s">
        <v>729</v>
      </c>
      <c r="N11" s="6" t="s">
        <v>729</v>
      </c>
      <c r="O11" s="6" t="s">
        <v>729</v>
      </c>
      <c r="P11" s="6" t="s">
        <v>729</v>
      </c>
      <c r="Q11" s="6" t="s">
        <v>729</v>
      </c>
      <c r="R11" s="6" t="s">
        <v>729</v>
      </c>
      <c r="S11" s="6" t="s">
        <v>729</v>
      </c>
      <c r="T11" s="6" t="s">
        <v>729</v>
      </c>
      <c r="U11" s="6" t="s">
        <v>729</v>
      </c>
      <c r="V11" s="8" t="s">
        <v>729</v>
      </c>
    </row>
    <row r="12" ht="78" customHeight="1" spans="1:22">
      <c r="A12" s="16"/>
      <c r="B12" s="6" t="s">
        <v>729</v>
      </c>
      <c r="C12" s="6" t="s">
        <v>729</v>
      </c>
      <c r="D12" s="18" t="s">
        <v>1060</v>
      </c>
      <c r="E12" s="6" t="s">
        <v>729</v>
      </c>
      <c r="F12" s="11" t="s">
        <v>752</v>
      </c>
      <c r="G12" s="11" t="s">
        <v>752</v>
      </c>
      <c r="H12" s="11" t="s">
        <v>752</v>
      </c>
      <c r="I12" s="11" t="s">
        <v>729</v>
      </c>
      <c r="J12" s="11" t="s">
        <v>729</v>
      </c>
      <c r="K12" s="11" t="s">
        <v>729</v>
      </c>
      <c r="L12" s="11" t="s">
        <v>729</v>
      </c>
      <c r="M12" s="11" t="s">
        <v>729</v>
      </c>
      <c r="N12" s="11" t="s">
        <v>729</v>
      </c>
      <c r="O12" s="11" t="s">
        <v>729</v>
      </c>
      <c r="P12" s="11" t="s">
        <v>729</v>
      </c>
      <c r="Q12" s="11" t="s">
        <v>729</v>
      </c>
      <c r="R12" s="11" t="s">
        <v>729</v>
      </c>
      <c r="S12" s="11" t="s">
        <v>729</v>
      </c>
      <c r="T12" s="11" t="s">
        <v>729</v>
      </c>
      <c r="U12" s="11" t="s">
        <v>729</v>
      </c>
      <c r="V12" s="12" t="s">
        <v>729</v>
      </c>
    </row>
    <row r="13" ht="65.5" customHeight="1" spans="1:22">
      <c r="A13" s="16"/>
      <c r="B13" s="6" t="s">
        <v>729</v>
      </c>
      <c r="C13" s="6" t="s">
        <v>729</v>
      </c>
      <c r="D13" s="18" t="s">
        <v>1061</v>
      </c>
      <c r="E13" s="6" t="s">
        <v>729</v>
      </c>
      <c r="F13" s="11" t="s">
        <v>752</v>
      </c>
      <c r="G13" s="11" t="s">
        <v>752</v>
      </c>
      <c r="H13" s="11" t="s">
        <v>752</v>
      </c>
      <c r="I13" s="11" t="s">
        <v>729</v>
      </c>
      <c r="J13" s="11" t="s">
        <v>729</v>
      </c>
      <c r="K13" s="11" t="s">
        <v>729</v>
      </c>
      <c r="L13" s="11" t="s">
        <v>729</v>
      </c>
      <c r="M13" s="11" t="s">
        <v>729</v>
      </c>
      <c r="N13" s="11" t="s">
        <v>729</v>
      </c>
      <c r="O13" s="11" t="s">
        <v>729</v>
      </c>
      <c r="P13" s="11" t="s">
        <v>729</v>
      </c>
      <c r="Q13" s="11" t="s">
        <v>729</v>
      </c>
      <c r="R13" s="11" t="s">
        <v>729</v>
      </c>
      <c r="S13" s="11" t="s">
        <v>729</v>
      </c>
      <c r="T13" s="11" t="s">
        <v>729</v>
      </c>
      <c r="U13" s="11" t="s">
        <v>729</v>
      </c>
      <c r="V13" s="12" t="s">
        <v>729</v>
      </c>
    </row>
    <row r="14" ht="78" customHeight="1" spans="1:22">
      <c r="A14" s="16"/>
      <c r="B14" s="6" t="s">
        <v>729</v>
      </c>
      <c r="C14" s="6" t="s">
        <v>729</v>
      </c>
      <c r="D14" s="18" t="s">
        <v>1062</v>
      </c>
      <c r="E14" s="6" t="s">
        <v>729</v>
      </c>
      <c r="F14" s="11" t="s">
        <v>752</v>
      </c>
      <c r="G14" s="11" t="s">
        <v>752</v>
      </c>
      <c r="H14" s="11" t="s">
        <v>752</v>
      </c>
      <c r="I14" s="11" t="s">
        <v>729</v>
      </c>
      <c r="J14" s="11" t="s">
        <v>729</v>
      </c>
      <c r="K14" s="11" t="s">
        <v>729</v>
      </c>
      <c r="L14" s="11" t="s">
        <v>729</v>
      </c>
      <c r="M14" s="11" t="s">
        <v>729</v>
      </c>
      <c r="N14" s="11" t="s">
        <v>729</v>
      </c>
      <c r="O14" s="11" t="s">
        <v>729</v>
      </c>
      <c r="P14" s="11" t="s">
        <v>729</v>
      </c>
      <c r="Q14" s="11" t="s">
        <v>729</v>
      </c>
      <c r="R14" s="11" t="s">
        <v>729</v>
      </c>
      <c r="S14" s="11" t="s">
        <v>729</v>
      </c>
      <c r="T14" s="11" t="s">
        <v>729</v>
      </c>
      <c r="U14" s="11" t="s">
        <v>729</v>
      </c>
      <c r="V14" s="12" t="s">
        <v>729</v>
      </c>
    </row>
    <row r="15" ht="15.5" customHeight="1" spans="1:22">
      <c r="A15" s="16"/>
      <c r="B15" s="17" t="s">
        <v>694</v>
      </c>
      <c r="C15" s="6" t="s">
        <v>729</v>
      </c>
      <c r="D15" s="6" t="s">
        <v>729</v>
      </c>
      <c r="E15" s="6" t="s">
        <v>729</v>
      </c>
      <c r="F15" s="6" t="s">
        <v>729</v>
      </c>
      <c r="G15" s="6" t="s">
        <v>729</v>
      </c>
      <c r="H15" s="6" t="s">
        <v>729</v>
      </c>
      <c r="I15" s="6" t="s">
        <v>729</v>
      </c>
      <c r="J15" s="6" t="s">
        <v>729</v>
      </c>
      <c r="K15" s="6" t="s">
        <v>729</v>
      </c>
      <c r="L15" s="6" t="s">
        <v>729</v>
      </c>
      <c r="M15" s="6" t="s">
        <v>729</v>
      </c>
      <c r="N15" s="6" t="s">
        <v>729</v>
      </c>
      <c r="O15" s="6" t="s">
        <v>729</v>
      </c>
      <c r="P15" s="6" t="s">
        <v>729</v>
      </c>
      <c r="Q15" s="6" t="s">
        <v>729</v>
      </c>
      <c r="R15" s="6" t="s">
        <v>729</v>
      </c>
      <c r="S15" s="6" t="s">
        <v>729</v>
      </c>
      <c r="T15" s="6" t="s">
        <v>729</v>
      </c>
      <c r="U15" s="6" t="s">
        <v>729</v>
      </c>
      <c r="V15" s="8" t="s">
        <v>729</v>
      </c>
    </row>
    <row r="16" ht="90.5" customHeight="1" spans="1:22">
      <c r="A16" s="16"/>
      <c r="B16" s="6" t="s">
        <v>729</v>
      </c>
      <c r="C16" s="6" t="s">
        <v>729</v>
      </c>
      <c r="D16" s="18" t="s">
        <v>1063</v>
      </c>
      <c r="E16" s="6" t="s">
        <v>729</v>
      </c>
      <c r="F16" s="11" t="s">
        <v>752</v>
      </c>
      <c r="G16" s="11" t="s">
        <v>752</v>
      </c>
      <c r="H16" s="11" t="s">
        <v>752</v>
      </c>
      <c r="I16" s="11" t="s">
        <v>729</v>
      </c>
      <c r="J16" s="11" t="s">
        <v>729</v>
      </c>
      <c r="K16" s="11" t="s">
        <v>729</v>
      </c>
      <c r="L16" s="11" t="s">
        <v>729</v>
      </c>
      <c r="M16" s="11" t="s">
        <v>729</v>
      </c>
      <c r="N16" s="11" t="s">
        <v>729</v>
      </c>
      <c r="O16" s="11" t="s">
        <v>729</v>
      </c>
      <c r="P16" s="11" t="s">
        <v>729</v>
      </c>
      <c r="Q16" s="11" t="s">
        <v>729</v>
      </c>
      <c r="R16" s="11" t="s">
        <v>729</v>
      </c>
      <c r="S16" s="11" t="s">
        <v>729</v>
      </c>
      <c r="T16" s="11" t="s">
        <v>729</v>
      </c>
      <c r="U16" s="11" t="s">
        <v>729</v>
      </c>
      <c r="V16" s="12" t="s">
        <v>729</v>
      </c>
    </row>
    <row r="17" ht="18" customHeight="1" spans="1:22">
      <c r="A17" s="19" t="s">
        <v>696</v>
      </c>
      <c r="B17" s="20" t="s">
        <v>765</v>
      </c>
      <c r="C17" s="20"/>
      <c r="D17" s="20"/>
      <c r="E17" s="6" t="s">
        <v>729</v>
      </c>
      <c r="F17" s="11" t="s">
        <v>63</v>
      </c>
      <c r="G17" s="11" t="s">
        <v>63</v>
      </c>
      <c r="H17" s="11" t="s">
        <v>63</v>
      </c>
      <c r="I17" s="11" t="s">
        <v>729</v>
      </c>
      <c r="J17" s="11" t="s">
        <v>729</v>
      </c>
      <c r="K17" s="11" t="s">
        <v>729</v>
      </c>
      <c r="L17" s="11" t="s">
        <v>729</v>
      </c>
      <c r="M17" s="11" t="s">
        <v>729</v>
      </c>
      <c r="N17" s="11" t="s">
        <v>729</v>
      </c>
      <c r="O17" s="11" t="s">
        <v>729</v>
      </c>
      <c r="P17" s="11" t="s">
        <v>729</v>
      </c>
      <c r="Q17" s="11" t="s">
        <v>729</v>
      </c>
      <c r="R17" s="11" t="s">
        <v>729</v>
      </c>
      <c r="S17" s="11" t="s">
        <v>729</v>
      </c>
      <c r="T17" s="11" t="s">
        <v>729</v>
      </c>
      <c r="U17" s="11" t="s">
        <v>729</v>
      </c>
      <c r="V17" s="12" t="s">
        <v>729</v>
      </c>
    </row>
    <row r="18" ht="18" customHeight="1" spans="1:22">
      <c r="A18" s="19"/>
      <c r="B18" s="20" t="s">
        <v>698</v>
      </c>
      <c r="C18" s="20"/>
      <c r="D18" s="20"/>
      <c r="E18" s="6" t="s">
        <v>729</v>
      </c>
      <c r="F18" s="11" t="s">
        <v>766</v>
      </c>
      <c r="G18" s="11" t="s">
        <v>766</v>
      </c>
      <c r="H18" s="11" t="s">
        <v>766</v>
      </c>
      <c r="I18" s="11" t="s">
        <v>729</v>
      </c>
      <c r="J18" s="11" t="s">
        <v>729</v>
      </c>
      <c r="K18" s="11" t="s">
        <v>729</v>
      </c>
      <c r="L18" s="11" t="s">
        <v>729</v>
      </c>
      <c r="M18" s="11" t="s">
        <v>729</v>
      </c>
      <c r="N18" s="11" t="s">
        <v>729</v>
      </c>
      <c r="O18" s="11" t="s">
        <v>729</v>
      </c>
      <c r="P18" s="11" t="s">
        <v>729</v>
      </c>
      <c r="Q18" s="11" t="s">
        <v>729</v>
      </c>
      <c r="R18" s="11" t="s">
        <v>729</v>
      </c>
      <c r="S18" s="11" t="s">
        <v>729</v>
      </c>
      <c r="T18" s="11" t="s">
        <v>729</v>
      </c>
      <c r="U18" s="11" t="s">
        <v>729</v>
      </c>
      <c r="V18" s="12" t="s">
        <v>729</v>
      </c>
    </row>
    <row r="19" ht="18" customHeight="1" spans="1:22">
      <c r="A19" s="19"/>
      <c r="B19" s="20" t="s">
        <v>699</v>
      </c>
      <c r="C19" s="20"/>
      <c r="D19" s="20"/>
      <c r="E19" s="6" t="s">
        <v>729</v>
      </c>
      <c r="F19" s="6" t="s">
        <v>729</v>
      </c>
      <c r="G19" s="6" t="s">
        <v>729</v>
      </c>
      <c r="H19" s="6" t="s">
        <v>729</v>
      </c>
      <c r="I19" s="6" t="s">
        <v>729</v>
      </c>
      <c r="J19" s="6" t="s">
        <v>729</v>
      </c>
      <c r="K19" s="6" t="s">
        <v>729</v>
      </c>
      <c r="L19" s="6" t="s">
        <v>729</v>
      </c>
      <c r="M19" s="6" t="s">
        <v>729</v>
      </c>
      <c r="N19" s="6" t="s">
        <v>729</v>
      </c>
      <c r="O19" s="6" t="s">
        <v>729</v>
      </c>
      <c r="P19" s="6" t="s">
        <v>729</v>
      </c>
      <c r="Q19" s="6" t="s">
        <v>729</v>
      </c>
      <c r="R19" s="6" t="s">
        <v>729</v>
      </c>
      <c r="S19" s="6" t="s">
        <v>729</v>
      </c>
      <c r="T19" s="6" t="s">
        <v>729</v>
      </c>
      <c r="U19" s="6" t="s">
        <v>729</v>
      </c>
      <c r="V19" s="8" t="s">
        <v>729</v>
      </c>
    </row>
    <row r="20" ht="18" customHeight="1" spans="1:22">
      <c r="A20" s="19"/>
      <c r="B20" s="21" t="s">
        <v>700</v>
      </c>
      <c r="C20" s="21"/>
      <c r="D20" s="21"/>
      <c r="E20" s="22" t="s">
        <v>729</v>
      </c>
      <c r="F20" s="22" t="s">
        <v>729</v>
      </c>
      <c r="G20" s="22" t="s">
        <v>729</v>
      </c>
      <c r="H20" s="22" t="s">
        <v>729</v>
      </c>
      <c r="I20" s="22" t="s">
        <v>729</v>
      </c>
      <c r="J20" s="22" t="s">
        <v>729</v>
      </c>
      <c r="K20" s="22" t="s">
        <v>729</v>
      </c>
      <c r="L20" s="22" t="s">
        <v>729</v>
      </c>
      <c r="M20" s="22" t="s">
        <v>729</v>
      </c>
      <c r="N20" s="22" t="s">
        <v>729</v>
      </c>
      <c r="O20" s="22" t="s">
        <v>729</v>
      </c>
      <c r="P20" s="22" t="s">
        <v>729</v>
      </c>
      <c r="Q20" s="22" t="s">
        <v>729</v>
      </c>
      <c r="R20" s="22" t="s">
        <v>729</v>
      </c>
      <c r="S20" s="22" t="s">
        <v>729</v>
      </c>
      <c r="T20" s="22" t="s">
        <v>729</v>
      </c>
      <c r="U20" s="22" t="s">
        <v>729</v>
      </c>
      <c r="V20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7:D17"/>
    <mergeCell ref="B18:D18"/>
    <mergeCell ref="B19:D19"/>
    <mergeCell ref="B20:D20"/>
    <mergeCell ref="A7:A10"/>
    <mergeCell ref="A11:A16"/>
    <mergeCell ref="A17:A20"/>
  </mergeCells>
  <dataValidations count="3">
    <dataValidation type="list" allowBlank="1" sqref="F10:V10 F16:V16 F12:V14 F8:V9">
      <formula1>"O,-"</formula1>
    </dataValidation>
    <dataValidation type="list" allowBlank="1" sqref="F17:V17">
      <formula1>"N,A,B"</formula1>
    </dataValidation>
    <dataValidation type="list" allowBlank="1" sqref="F18:V18">
      <formula1>"P,F"</formula1>
    </dataValidation>
  </dataValidations>
  <pageMargins left="0.7" right="0.7" top="0.75" bottom="0.75" header="0.3" footer="0.3"/>
  <pageSetup paperSize="1" orientation="portrait"/>
  <headerFooter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5"/>
  <sheetViews>
    <sheetView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257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268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1064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1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0</v>
      </c>
      <c r="M5" s="11">
        <v>1</v>
      </c>
      <c r="N5" s="11">
        <v>0</v>
      </c>
      <c r="O5" s="12">
        <v>1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729</v>
      </c>
      <c r="H6" s="14" t="s">
        <v>729</v>
      </c>
      <c r="I6" s="14" t="s">
        <v>729</v>
      </c>
      <c r="J6" s="14" t="s">
        <v>729</v>
      </c>
      <c r="K6" s="14" t="s">
        <v>729</v>
      </c>
      <c r="L6" s="14" t="s">
        <v>729</v>
      </c>
      <c r="M6" s="14" t="s">
        <v>729</v>
      </c>
      <c r="N6" s="14" t="s">
        <v>729</v>
      </c>
      <c r="O6" s="14" t="s">
        <v>729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15.5" customHeight="1" spans="1:22">
      <c r="A7" s="16" t="s">
        <v>690</v>
      </c>
      <c r="B7" s="17" t="s">
        <v>750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53" customHeight="1" spans="1:22">
      <c r="A8" s="16"/>
      <c r="B8" s="6" t="s">
        <v>729</v>
      </c>
      <c r="C8" s="6" t="s">
        <v>729</v>
      </c>
      <c r="D8" s="18" t="s">
        <v>272</v>
      </c>
      <c r="E8" s="6" t="s">
        <v>729</v>
      </c>
      <c r="F8" s="11" t="s">
        <v>752</v>
      </c>
      <c r="G8" s="11" t="s">
        <v>729</v>
      </c>
      <c r="H8" s="11" t="s">
        <v>729</v>
      </c>
      <c r="I8" s="11" t="s">
        <v>729</v>
      </c>
      <c r="J8" s="11" t="s">
        <v>729</v>
      </c>
      <c r="K8" s="11" t="s">
        <v>729</v>
      </c>
      <c r="L8" s="11" t="s">
        <v>729</v>
      </c>
      <c r="M8" s="11" t="s">
        <v>729</v>
      </c>
      <c r="N8" s="11" t="s">
        <v>729</v>
      </c>
      <c r="O8" s="11" t="s">
        <v>729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15.5" customHeight="1" spans="1:22">
      <c r="A9" s="16" t="s">
        <v>692</v>
      </c>
      <c r="B9" s="17" t="s">
        <v>693</v>
      </c>
      <c r="C9" s="6" t="s">
        <v>729</v>
      </c>
      <c r="D9" s="6" t="s">
        <v>729</v>
      </c>
      <c r="E9" s="6" t="s">
        <v>729</v>
      </c>
      <c r="F9" s="6" t="s">
        <v>729</v>
      </c>
      <c r="G9" s="6" t="s">
        <v>729</v>
      </c>
      <c r="H9" s="6" t="s">
        <v>729</v>
      </c>
      <c r="I9" s="6" t="s">
        <v>729</v>
      </c>
      <c r="J9" s="6" t="s">
        <v>729</v>
      </c>
      <c r="K9" s="6" t="s">
        <v>729</v>
      </c>
      <c r="L9" s="6" t="s">
        <v>729</v>
      </c>
      <c r="M9" s="6" t="s">
        <v>729</v>
      </c>
      <c r="N9" s="6" t="s">
        <v>729</v>
      </c>
      <c r="O9" s="6" t="s">
        <v>729</v>
      </c>
      <c r="P9" s="6" t="s">
        <v>729</v>
      </c>
      <c r="Q9" s="6" t="s">
        <v>729</v>
      </c>
      <c r="R9" s="6" t="s">
        <v>729</v>
      </c>
      <c r="S9" s="6" t="s">
        <v>729</v>
      </c>
      <c r="T9" s="6" t="s">
        <v>729</v>
      </c>
      <c r="U9" s="6" t="s">
        <v>729</v>
      </c>
      <c r="V9" s="8" t="s">
        <v>729</v>
      </c>
    </row>
    <row r="10" ht="65.5" customHeight="1" spans="1:22">
      <c r="A10" s="16"/>
      <c r="B10" s="6" t="s">
        <v>729</v>
      </c>
      <c r="C10" s="6" t="s">
        <v>729</v>
      </c>
      <c r="D10" s="18" t="s">
        <v>1065</v>
      </c>
      <c r="E10" s="6" t="s">
        <v>729</v>
      </c>
      <c r="F10" s="11" t="s">
        <v>752</v>
      </c>
      <c r="G10" s="11" t="s">
        <v>729</v>
      </c>
      <c r="H10" s="11" t="s">
        <v>729</v>
      </c>
      <c r="I10" s="11" t="s">
        <v>729</v>
      </c>
      <c r="J10" s="11" t="s">
        <v>729</v>
      </c>
      <c r="K10" s="11" t="s">
        <v>729</v>
      </c>
      <c r="L10" s="11" t="s">
        <v>729</v>
      </c>
      <c r="M10" s="11" t="s">
        <v>729</v>
      </c>
      <c r="N10" s="11" t="s">
        <v>729</v>
      </c>
      <c r="O10" s="11" t="s">
        <v>729</v>
      </c>
      <c r="P10" s="11" t="s">
        <v>729</v>
      </c>
      <c r="Q10" s="11" t="s">
        <v>729</v>
      </c>
      <c r="R10" s="11" t="s">
        <v>729</v>
      </c>
      <c r="S10" s="11" t="s">
        <v>729</v>
      </c>
      <c r="T10" s="11" t="s">
        <v>729</v>
      </c>
      <c r="U10" s="11" t="s">
        <v>729</v>
      </c>
      <c r="V10" s="12" t="s">
        <v>729</v>
      </c>
    </row>
    <row r="11" ht="53" customHeight="1" spans="1:22">
      <c r="A11" s="16"/>
      <c r="B11" s="6" t="s">
        <v>729</v>
      </c>
      <c r="C11" s="6" t="s">
        <v>729</v>
      </c>
      <c r="D11" s="18" t="s">
        <v>1066</v>
      </c>
      <c r="E11" s="6" t="s">
        <v>729</v>
      </c>
      <c r="F11" s="11" t="s">
        <v>752</v>
      </c>
      <c r="G11" s="11" t="s">
        <v>729</v>
      </c>
      <c r="H11" s="11" t="s">
        <v>729</v>
      </c>
      <c r="I11" s="11" t="s">
        <v>729</v>
      </c>
      <c r="J11" s="11" t="s">
        <v>729</v>
      </c>
      <c r="K11" s="11" t="s">
        <v>729</v>
      </c>
      <c r="L11" s="11" t="s">
        <v>729</v>
      </c>
      <c r="M11" s="11" t="s">
        <v>729</v>
      </c>
      <c r="N11" s="11" t="s">
        <v>729</v>
      </c>
      <c r="O11" s="11" t="s">
        <v>729</v>
      </c>
      <c r="P11" s="11" t="s">
        <v>729</v>
      </c>
      <c r="Q11" s="11" t="s">
        <v>729</v>
      </c>
      <c r="R11" s="11" t="s">
        <v>729</v>
      </c>
      <c r="S11" s="11" t="s">
        <v>729</v>
      </c>
      <c r="T11" s="11" t="s">
        <v>729</v>
      </c>
      <c r="U11" s="11" t="s">
        <v>729</v>
      </c>
      <c r="V11" s="12" t="s">
        <v>729</v>
      </c>
    </row>
    <row r="12" ht="18" customHeight="1" spans="1:22">
      <c r="A12" s="19" t="s">
        <v>696</v>
      </c>
      <c r="B12" s="20" t="s">
        <v>765</v>
      </c>
      <c r="C12" s="20"/>
      <c r="D12" s="20"/>
      <c r="E12" s="6" t="s">
        <v>729</v>
      </c>
      <c r="F12" s="11" t="s">
        <v>63</v>
      </c>
      <c r="G12" s="11" t="s">
        <v>729</v>
      </c>
      <c r="H12" s="11" t="s">
        <v>729</v>
      </c>
      <c r="I12" s="11" t="s">
        <v>729</v>
      </c>
      <c r="J12" s="11" t="s">
        <v>729</v>
      </c>
      <c r="K12" s="11" t="s">
        <v>729</v>
      </c>
      <c r="L12" s="11" t="s">
        <v>729</v>
      </c>
      <c r="M12" s="11" t="s">
        <v>729</v>
      </c>
      <c r="N12" s="11" t="s">
        <v>729</v>
      </c>
      <c r="O12" s="11" t="s">
        <v>729</v>
      </c>
      <c r="P12" s="11" t="s">
        <v>729</v>
      </c>
      <c r="Q12" s="11" t="s">
        <v>729</v>
      </c>
      <c r="R12" s="11" t="s">
        <v>729</v>
      </c>
      <c r="S12" s="11" t="s">
        <v>729</v>
      </c>
      <c r="T12" s="11" t="s">
        <v>729</v>
      </c>
      <c r="U12" s="11" t="s">
        <v>729</v>
      </c>
      <c r="V12" s="12" t="s">
        <v>729</v>
      </c>
    </row>
    <row r="13" ht="18" customHeight="1" spans="1:22">
      <c r="A13" s="19"/>
      <c r="B13" s="20" t="s">
        <v>698</v>
      </c>
      <c r="C13" s="20"/>
      <c r="D13" s="20"/>
      <c r="E13" s="6" t="s">
        <v>729</v>
      </c>
      <c r="F13" s="11" t="s">
        <v>766</v>
      </c>
      <c r="G13" s="11" t="s">
        <v>729</v>
      </c>
      <c r="H13" s="11" t="s">
        <v>729</v>
      </c>
      <c r="I13" s="11" t="s">
        <v>729</v>
      </c>
      <c r="J13" s="11" t="s">
        <v>729</v>
      </c>
      <c r="K13" s="11" t="s">
        <v>729</v>
      </c>
      <c r="L13" s="11" t="s">
        <v>729</v>
      </c>
      <c r="M13" s="11" t="s">
        <v>729</v>
      </c>
      <c r="N13" s="11" t="s">
        <v>729</v>
      </c>
      <c r="O13" s="11" t="s">
        <v>729</v>
      </c>
      <c r="P13" s="11" t="s">
        <v>729</v>
      </c>
      <c r="Q13" s="11" t="s">
        <v>729</v>
      </c>
      <c r="R13" s="11" t="s">
        <v>729</v>
      </c>
      <c r="S13" s="11" t="s">
        <v>729</v>
      </c>
      <c r="T13" s="11" t="s">
        <v>729</v>
      </c>
      <c r="U13" s="11" t="s">
        <v>729</v>
      </c>
      <c r="V13" s="12" t="s">
        <v>729</v>
      </c>
    </row>
    <row r="14" ht="18" customHeight="1" spans="1:22">
      <c r="A14" s="19"/>
      <c r="B14" s="20" t="s">
        <v>699</v>
      </c>
      <c r="C14" s="20"/>
      <c r="D14" s="20"/>
      <c r="E14" s="6" t="s">
        <v>729</v>
      </c>
      <c r="F14" s="6" t="s">
        <v>729</v>
      </c>
      <c r="G14" s="6" t="s">
        <v>729</v>
      </c>
      <c r="H14" s="6" t="s">
        <v>729</v>
      </c>
      <c r="I14" s="6" t="s">
        <v>729</v>
      </c>
      <c r="J14" s="6" t="s">
        <v>729</v>
      </c>
      <c r="K14" s="6" t="s">
        <v>729</v>
      </c>
      <c r="L14" s="6" t="s">
        <v>729</v>
      </c>
      <c r="M14" s="6" t="s">
        <v>729</v>
      </c>
      <c r="N14" s="6" t="s">
        <v>729</v>
      </c>
      <c r="O14" s="6" t="s">
        <v>729</v>
      </c>
      <c r="P14" s="6" t="s">
        <v>729</v>
      </c>
      <c r="Q14" s="6" t="s">
        <v>729</v>
      </c>
      <c r="R14" s="6" t="s">
        <v>729</v>
      </c>
      <c r="S14" s="6" t="s">
        <v>729</v>
      </c>
      <c r="T14" s="6" t="s">
        <v>729</v>
      </c>
      <c r="U14" s="6" t="s">
        <v>729</v>
      </c>
      <c r="V14" s="8" t="s">
        <v>729</v>
      </c>
    </row>
    <row r="15" ht="18" customHeight="1" spans="1:22">
      <c r="A15" s="19"/>
      <c r="B15" s="21" t="s">
        <v>700</v>
      </c>
      <c r="C15" s="21"/>
      <c r="D15" s="21"/>
      <c r="E15" s="22" t="s">
        <v>729</v>
      </c>
      <c r="F15" s="22" t="s">
        <v>729</v>
      </c>
      <c r="G15" s="22" t="s">
        <v>729</v>
      </c>
      <c r="H15" s="22" t="s">
        <v>729</v>
      </c>
      <c r="I15" s="22" t="s">
        <v>729</v>
      </c>
      <c r="J15" s="22" t="s">
        <v>729</v>
      </c>
      <c r="K15" s="22" t="s">
        <v>729</v>
      </c>
      <c r="L15" s="22" t="s">
        <v>729</v>
      </c>
      <c r="M15" s="22" t="s">
        <v>729</v>
      </c>
      <c r="N15" s="22" t="s">
        <v>729</v>
      </c>
      <c r="O15" s="22" t="s">
        <v>729</v>
      </c>
      <c r="P15" s="22" t="s">
        <v>729</v>
      </c>
      <c r="Q15" s="22" t="s">
        <v>729</v>
      </c>
      <c r="R15" s="22" t="s">
        <v>729</v>
      </c>
      <c r="S15" s="22" t="s">
        <v>729</v>
      </c>
      <c r="T15" s="22" t="s">
        <v>729</v>
      </c>
      <c r="U15" s="22" t="s">
        <v>729</v>
      </c>
      <c r="V15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2:D12"/>
    <mergeCell ref="B13:D13"/>
    <mergeCell ref="B14:D14"/>
    <mergeCell ref="B15:D15"/>
    <mergeCell ref="A7:A8"/>
    <mergeCell ref="A9:A11"/>
    <mergeCell ref="A12:A15"/>
  </mergeCells>
  <dataValidations count="3">
    <dataValidation type="list" allowBlank="1" sqref="F8:V8 F10:V11">
      <formula1>"O,-"</formula1>
    </dataValidation>
    <dataValidation type="list" allowBlank="1" sqref="F12:V12">
      <formula1>"N,A,B"</formula1>
    </dataValidation>
    <dataValidation type="list" allowBlank="1" sqref="F13:V13">
      <formula1>"P,F"</formula1>
    </dataValidation>
  </dataValidations>
  <pageMargins left="0.7" right="0.7" top="0.75" bottom="0.75" header="0.3" footer="0.3"/>
  <pageSetup paperSize="1" orientation="portrait"/>
  <headerFooter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4"/>
  <sheetViews>
    <sheetView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257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273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1067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1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0</v>
      </c>
      <c r="M5" s="11">
        <v>1</v>
      </c>
      <c r="N5" s="11">
        <v>0</v>
      </c>
      <c r="O5" s="12">
        <v>1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729</v>
      </c>
      <c r="H6" s="14" t="s">
        <v>729</v>
      </c>
      <c r="I6" s="14" t="s">
        <v>729</v>
      </c>
      <c r="J6" s="14" t="s">
        <v>729</v>
      </c>
      <c r="K6" s="14" t="s">
        <v>729</v>
      </c>
      <c r="L6" s="14" t="s">
        <v>729</v>
      </c>
      <c r="M6" s="14" t="s">
        <v>729</v>
      </c>
      <c r="N6" s="14" t="s">
        <v>729</v>
      </c>
      <c r="O6" s="14" t="s">
        <v>729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15.5" customHeight="1" spans="1:22">
      <c r="A7" s="16" t="s">
        <v>690</v>
      </c>
      <c r="B7" s="17" t="s">
        <v>750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65.5" customHeight="1" spans="1:22">
      <c r="A8" s="16"/>
      <c r="B8" s="6" t="s">
        <v>729</v>
      </c>
      <c r="C8" s="6" t="s">
        <v>729</v>
      </c>
      <c r="D8" s="18" t="s">
        <v>277</v>
      </c>
      <c r="E8" s="6" t="s">
        <v>729</v>
      </c>
      <c r="F8" s="11" t="s">
        <v>752</v>
      </c>
      <c r="G8" s="11" t="s">
        <v>729</v>
      </c>
      <c r="H8" s="11" t="s">
        <v>729</v>
      </c>
      <c r="I8" s="11" t="s">
        <v>729</v>
      </c>
      <c r="J8" s="11" t="s">
        <v>729</v>
      </c>
      <c r="K8" s="11" t="s">
        <v>729</v>
      </c>
      <c r="L8" s="11" t="s">
        <v>729</v>
      </c>
      <c r="M8" s="11" t="s">
        <v>729</v>
      </c>
      <c r="N8" s="11" t="s">
        <v>729</v>
      </c>
      <c r="O8" s="11" t="s">
        <v>729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15.5" customHeight="1" spans="1:22">
      <c r="A9" s="16" t="s">
        <v>692</v>
      </c>
      <c r="B9" s="17" t="s">
        <v>693</v>
      </c>
      <c r="C9" s="6" t="s">
        <v>729</v>
      </c>
      <c r="D9" s="6" t="s">
        <v>729</v>
      </c>
      <c r="E9" s="6" t="s">
        <v>729</v>
      </c>
      <c r="F9" s="6" t="s">
        <v>729</v>
      </c>
      <c r="G9" s="6" t="s">
        <v>729</v>
      </c>
      <c r="H9" s="6" t="s">
        <v>729</v>
      </c>
      <c r="I9" s="6" t="s">
        <v>729</v>
      </c>
      <c r="J9" s="6" t="s">
        <v>729</v>
      </c>
      <c r="K9" s="6" t="s">
        <v>729</v>
      </c>
      <c r="L9" s="6" t="s">
        <v>729</v>
      </c>
      <c r="M9" s="6" t="s">
        <v>729</v>
      </c>
      <c r="N9" s="6" t="s">
        <v>729</v>
      </c>
      <c r="O9" s="6" t="s">
        <v>729</v>
      </c>
      <c r="P9" s="6" t="s">
        <v>729</v>
      </c>
      <c r="Q9" s="6" t="s">
        <v>729</v>
      </c>
      <c r="R9" s="6" t="s">
        <v>729</v>
      </c>
      <c r="S9" s="6" t="s">
        <v>729</v>
      </c>
      <c r="T9" s="6" t="s">
        <v>729</v>
      </c>
      <c r="U9" s="6" t="s">
        <v>729</v>
      </c>
      <c r="V9" s="8" t="s">
        <v>729</v>
      </c>
    </row>
    <row r="10" ht="78" customHeight="1" spans="1:22">
      <c r="A10" s="16"/>
      <c r="B10" s="6" t="s">
        <v>729</v>
      </c>
      <c r="C10" s="6" t="s">
        <v>729</v>
      </c>
      <c r="D10" s="18" t="s">
        <v>1068</v>
      </c>
      <c r="E10" s="6" t="s">
        <v>729</v>
      </c>
      <c r="F10" s="11" t="s">
        <v>752</v>
      </c>
      <c r="G10" s="11" t="s">
        <v>729</v>
      </c>
      <c r="H10" s="11" t="s">
        <v>729</v>
      </c>
      <c r="I10" s="11" t="s">
        <v>729</v>
      </c>
      <c r="J10" s="11" t="s">
        <v>729</v>
      </c>
      <c r="K10" s="11" t="s">
        <v>729</v>
      </c>
      <c r="L10" s="11" t="s">
        <v>729</v>
      </c>
      <c r="M10" s="11" t="s">
        <v>729</v>
      </c>
      <c r="N10" s="11" t="s">
        <v>729</v>
      </c>
      <c r="O10" s="11" t="s">
        <v>729</v>
      </c>
      <c r="P10" s="11" t="s">
        <v>729</v>
      </c>
      <c r="Q10" s="11" t="s">
        <v>729</v>
      </c>
      <c r="R10" s="11" t="s">
        <v>729</v>
      </c>
      <c r="S10" s="11" t="s">
        <v>729</v>
      </c>
      <c r="T10" s="11" t="s">
        <v>729</v>
      </c>
      <c r="U10" s="11" t="s">
        <v>729</v>
      </c>
      <c r="V10" s="12" t="s">
        <v>729</v>
      </c>
    </row>
    <row r="11" ht="18" customHeight="1" spans="1:22">
      <c r="A11" s="19" t="s">
        <v>696</v>
      </c>
      <c r="B11" s="20" t="s">
        <v>765</v>
      </c>
      <c r="C11" s="20"/>
      <c r="D11" s="20"/>
      <c r="E11" s="6" t="s">
        <v>729</v>
      </c>
      <c r="F11" s="11" t="s">
        <v>63</v>
      </c>
      <c r="G11" s="11" t="s">
        <v>729</v>
      </c>
      <c r="H11" s="11" t="s">
        <v>729</v>
      </c>
      <c r="I11" s="11" t="s">
        <v>729</v>
      </c>
      <c r="J11" s="11" t="s">
        <v>729</v>
      </c>
      <c r="K11" s="11" t="s">
        <v>729</v>
      </c>
      <c r="L11" s="11" t="s">
        <v>729</v>
      </c>
      <c r="M11" s="11" t="s">
        <v>729</v>
      </c>
      <c r="N11" s="11" t="s">
        <v>729</v>
      </c>
      <c r="O11" s="11" t="s">
        <v>729</v>
      </c>
      <c r="P11" s="11" t="s">
        <v>729</v>
      </c>
      <c r="Q11" s="11" t="s">
        <v>729</v>
      </c>
      <c r="R11" s="11" t="s">
        <v>729</v>
      </c>
      <c r="S11" s="11" t="s">
        <v>729</v>
      </c>
      <c r="T11" s="11" t="s">
        <v>729</v>
      </c>
      <c r="U11" s="11" t="s">
        <v>729</v>
      </c>
      <c r="V11" s="12" t="s">
        <v>729</v>
      </c>
    </row>
    <row r="12" ht="18" customHeight="1" spans="1:22">
      <c r="A12" s="19"/>
      <c r="B12" s="20" t="s">
        <v>698</v>
      </c>
      <c r="C12" s="20"/>
      <c r="D12" s="20"/>
      <c r="E12" s="6" t="s">
        <v>729</v>
      </c>
      <c r="F12" s="11" t="s">
        <v>766</v>
      </c>
      <c r="G12" s="11" t="s">
        <v>729</v>
      </c>
      <c r="H12" s="11" t="s">
        <v>729</v>
      </c>
      <c r="I12" s="11" t="s">
        <v>729</v>
      </c>
      <c r="J12" s="11" t="s">
        <v>729</v>
      </c>
      <c r="K12" s="11" t="s">
        <v>729</v>
      </c>
      <c r="L12" s="11" t="s">
        <v>729</v>
      </c>
      <c r="M12" s="11" t="s">
        <v>729</v>
      </c>
      <c r="N12" s="11" t="s">
        <v>729</v>
      </c>
      <c r="O12" s="11" t="s">
        <v>729</v>
      </c>
      <c r="P12" s="11" t="s">
        <v>729</v>
      </c>
      <c r="Q12" s="11" t="s">
        <v>729</v>
      </c>
      <c r="R12" s="11" t="s">
        <v>729</v>
      </c>
      <c r="S12" s="11" t="s">
        <v>729</v>
      </c>
      <c r="T12" s="11" t="s">
        <v>729</v>
      </c>
      <c r="U12" s="11" t="s">
        <v>729</v>
      </c>
      <c r="V12" s="12" t="s">
        <v>729</v>
      </c>
    </row>
    <row r="13" ht="18" customHeight="1" spans="1:22">
      <c r="A13" s="19"/>
      <c r="B13" s="20" t="s">
        <v>699</v>
      </c>
      <c r="C13" s="20"/>
      <c r="D13" s="20"/>
      <c r="E13" s="6" t="s">
        <v>729</v>
      </c>
      <c r="F13" s="6" t="s">
        <v>729</v>
      </c>
      <c r="G13" s="6" t="s">
        <v>729</v>
      </c>
      <c r="H13" s="6" t="s">
        <v>729</v>
      </c>
      <c r="I13" s="6" t="s">
        <v>729</v>
      </c>
      <c r="J13" s="6" t="s">
        <v>729</v>
      </c>
      <c r="K13" s="6" t="s">
        <v>729</v>
      </c>
      <c r="L13" s="6" t="s">
        <v>729</v>
      </c>
      <c r="M13" s="6" t="s">
        <v>729</v>
      </c>
      <c r="N13" s="6" t="s">
        <v>729</v>
      </c>
      <c r="O13" s="6" t="s">
        <v>729</v>
      </c>
      <c r="P13" s="6" t="s">
        <v>729</v>
      </c>
      <c r="Q13" s="6" t="s">
        <v>729</v>
      </c>
      <c r="R13" s="6" t="s">
        <v>729</v>
      </c>
      <c r="S13" s="6" t="s">
        <v>729</v>
      </c>
      <c r="T13" s="6" t="s">
        <v>729</v>
      </c>
      <c r="U13" s="6" t="s">
        <v>729</v>
      </c>
      <c r="V13" s="8" t="s">
        <v>729</v>
      </c>
    </row>
    <row r="14" ht="18" customHeight="1" spans="1:22">
      <c r="A14" s="19"/>
      <c r="B14" s="21" t="s">
        <v>700</v>
      </c>
      <c r="C14" s="21"/>
      <c r="D14" s="21"/>
      <c r="E14" s="22" t="s">
        <v>729</v>
      </c>
      <c r="F14" s="22" t="s">
        <v>729</v>
      </c>
      <c r="G14" s="22" t="s">
        <v>729</v>
      </c>
      <c r="H14" s="22" t="s">
        <v>729</v>
      </c>
      <c r="I14" s="22" t="s">
        <v>729</v>
      </c>
      <c r="J14" s="22" t="s">
        <v>729</v>
      </c>
      <c r="K14" s="22" t="s">
        <v>729</v>
      </c>
      <c r="L14" s="22" t="s">
        <v>729</v>
      </c>
      <c r="M14" s="22" t="s">
        <v>729</v>
      </c>
      <c r="N14" s="22" t="s">
        <v>729</v>
      </c>
      <c r="O14" s="22" t="s">
        <v>729</v>
      </c>
      <c r="P14" s="22" t="s">
        <v>729</v>
      </c>
      <c r="Q14" s="22" t="s">
        <v>729</v>
      </c>
      <c r="R14" s="22" t="s">
        <v>729</v>
      </c>
      <c r="S14" s="22" t="s">
        <v>729</v>
      </c>
      <c r="T14" s="22" t="s">
        <v>729</v>
      </c>
      <c r="U14" s="22" t="s">
        <v>729</v>
      </c>
      <c r="V14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1:D11"/>
    <mergeCell ref="B12:D12"/>
    <mergeCell ref="B13:D13"/>
    <mergeCell ref="B14:D14"/>
    <mergeCell ref="A7:A8"/>
    <mergeCell ref="A9:A10"/>
    <mergeCell ref="A11:A14"/>
  </mergeCells>
  <dataValidations count="3">
    <dataValidation type="list" allowBlank="1" sqref="F8:V8 F10:V10">
      <formula1>"O,-"</formula1>
    </dataValidation>
    <dataValidation type="list" allowBlank="1" sqref="F11:V11">
      <formula1>"N,A,B"</formula1>
    </dataValidation>
    <dataValidation type="list" allowBlank="1" sqref="F12:V12">
      <formula1>"P,F"</formula1>
    </dataValidation>
  </dataValidations>
  <pageMargins left="0.7" right="0.7" top="0.75" bottom="0.75" header="0.3" footer="0.3"/>
  <pageSetup paperSize="1" orientation="portrait"/>
  <headerFooter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4"/>
  <sheetViews>
    <sheetView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257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278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1069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1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0</v>
      </c>
      <c r="M5" s="11">
        <v>1</v>
      </c>
      <c r="N5" s="11">
        <v>0</v>
      </c>
      <c r="O5" s="12">
        <v>1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729</v>
      </c>
      <c r="H6" s="14" t="s">
        <v>729</v>
      </c>
      <c r="I6" s="14" t="s">
        <v>729</v>
      </c>
      <c r="J6" s="14" t="s">
        <v>729</v>
      </c>
      <c r="K6" s="14" t="s">
        <v>729</v>
      </c>
      <c r="L6" s="14" t="s">
        <v>729</v>
      </c>
      <c r="M6" s="14" t="s">
        <v>729</v>
      </c>
      <c r="N6" s="14" t="s">
        <v>729</v>
      </c>
      <c r="O6" s="14" t="s">
        <v>729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15.5" customHeight="1" spans="1:22">
      <c r="A7" s="16" t="s">
        <v>690</v>
      </c>
      <c r="B7" s="17" t="s">
        <v>750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78" customHeight="1" spans="1:22">
      <c r="A8" s="16"/>
      <c r="B8" s="6" t="s">
        <v>729</v>
      </c>
      <c r="C8" s="6" t="s">
        <v>729</v>
      </c>
      <c r="D8" s="18" t="s">
        <v>282</v>
      </c>
      <c r="E8" s="6" t="s">
        <v>729</v>
      </c>
      <c r="F8" s="11" t="s">
        <v>752</v>
      </c>
      <c r="G8" s="11" t="s">
        <v>729</v>
      </c>
      <c r="H8" s="11" t="s">
        <v>729</v>
      </c>
      <c r="I8" s="11" t="s">
        <v>729</v>
      </c>
      <c r="J8" s="11" t="s">
        <v>729</v>
      </c>
      <c r="K8" s="11" t="s">
        <v>729</v>
      </c>
      <c r="L8" s="11" t="s">
        <v>729</v>
      </c>
      <c r="M8" s="11" t="s">
        <v>729</v>
      </c>
      <c r="N8" s="11" t="s">
        <v>729</v>
      </c>
      <c r="O8" s="11" t="s">
        <v>729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15.5" customHeight="1" spans="1:22">
      <c r="A9" s="16" t="s">
        <v>692</v>
      </c>
      <c r="B9" s="17" t="s">
        <v>693</v>
      </c>
      <c r="C9" s="6" t="s">
        <v>729</v>
      </c>
      <c r="D9" s="6" t="s">
        <v>729</v>
      </c>
      <c r="E9" s="6" t="s">
        <v>729</v>
      </c>
      <c r="F9" s="6" t="s">
        <v>729</v>
      </c>
      <c r="G9" s="6" t="s">
        <v>729</v>
      </c>
      <c r="H9" s="6" t="s">
        <v>729</v>
      </c>
      <c r="I9" s="6" t="s">
        <v>729</v>
      </c>
      <c r="J9" s="6" t="s">
        <v>729</v>
      </c>
      <c r="K9" s="6" t="s">
        <v>729</v>
      </c>
      <c r="L9" s="6" t="s">
        <v>729</v>
      </c>
      <c r="M9" s="6" t="s">
        <v>729</v>
      </c>
      <c r="N9" s="6" t="s">
        <v>729</v>
      </c>
      <c r="O9" s="6" t="s">
        <v>729</v>
      </c>
      <c r="P9" s="6" t="s">
        <v>729</v>
      </c>
      <c r="Q9" s="6" t="s">
        <v>729</v>
      </c>
      <c r="R9" s="6" t="s">
        <v>729</v>
      </c>
      <c r="S9" s="6" t="s">
        <v>729</v>
      </c>
      <c r="T9" s="6" t="s">
        <v>729</v>
      </c>
      <c r="U9" s="6" t="s">
        <v>729</v>
      </c>
      <c r="V9" s="8" t="s">
        <v>729</v>
      </c>
    </row>
    <row r="10" ht="78" customHeight="1" spans="1:22">
      <c r="A10" s="16"/>
      <c r="B10" s="6" t="s">
        <v>729</v>
      </c>
      <c r="C10" s="6" t="s">
        <v>729</v>
      </c>
      <c r="D10" s="18" t="s">
        <v>1070</v>
      </c>
      <c r="E10" s="6" t="s">
        <v>729</v>
      </c>
      <c r="F10" s="11" t="s">
        <v>752</v>
      </c>
      <c r="G10" s="11" t="s">
        <v>729</v>
      </c>
      <c r="H10" s="11" t="s">
        <v>729</v>
      </c>
      <c r="I10" s="11" t="s">
        <v>729</v>
      </c>
      <c r="J10" s="11" t="s">
        <v>729</v>
      </c>
      <c r="K10" s="11" t="s">
        <v>729</v>
      </c>
      <c r="L10" s="11" t="s">
        <v>729</v>
      </c>
      <c r="M10" s="11" t="s">
        <v>729</v>
      </c>
      <c r="N10" s="11" t="s">
        <v>729</v>
      </c>
      <c r="O10" s="11" t="s">
        <v>729</v>
      </c>
      <c r="P10" s="11" t="s">
        <v>729</v>
      </c>
      <c r="Q10" s="11" t="s">
        <v>729</v>
      </c>
      <c r="R10" s="11" t="s">
        <v>729</v>
      </c>
      <c r="S10" s="11" t="s">
        <v>729</v>
      </c>
      <c r="T10" s="11" t="s">
        <v>729</v>
      </c>
      <c r="U10" s="11" t="s">
        <v>729</v>
      </c>
      <c r="V10" s="12" t="s">
        <v>729</v>
      </c>
    </row>
    <row r="11" ht="18" customHeight="1" spans="1:22">
      <c r="A11" s="19" t="s">
        <v>696</v>
      </c>
      <c r="B11" s="20" t="s">
        <v>765</v>
      </c>
      <c r="C11" s="20"/>
      <c r="D11" s="20"/>
      <c r="E11" s="6" t="s">
        <v>729</v>
      </c>
      <c r="F11" s="11" t="s">
        <v>63</v>
      </c>
      <c r="G11" s="11" t="s">
        <v>729</v>
      </c>
      <c r="H11" s="11" t="s">
        <v>729</v>
      </c>
      <c r="I11" s="11" t="s">
        <v>729</v>
      </c>
      <c r="J11" s="11" t="s">
        <v>729</v>
      </c>
      <c r="K11" s="11" t="s">
        <v>729</v>
      </c>
      <c r="L11" s="11" t="s">
        <v>729</v>
      </c>
      <c r="M11" s="11" t="s">
        <v>729</v>
      </c>
      <c r="N11" s="11" t="s">
        <v>729</v>
      </c>
      <c r="O11" s="11" t="s">
        <v>729</v>
      </c>
      <c r="P11" s="11" t="s">
        <v>729</v>
      </c>
      <c r="Q11" s="11" t="s">
        <v>729</v>
      </c>
      <c r="R11" s="11" t="s">
        <v>729</v>
      </c>
      <c r="S11" s="11" t="s">
        <v>729</v>
      </c>
      <c r="T11" s="11" t="s">
        <v>729</v>
      </c>
      <c r="U11" s="11" t="s">
        <v>729</v>
      </c>
      <c r="V11" s="12" t="s">
        <v>729</v>
      </c>
    </row>
    <row r="12" ht="18" customHeight="1" spans="1:22">
      <c r="A12" s="19"/>
      <c r="B12" s="20" t="s">
        <v>698</v>
      </c>
      <c r="C12" s="20"/>
      <c r="D12" s="20"/>
      <c r="E12" s="6" t="s">
        <v>729</v>
      </c>
      <c r="F12" s="11" t="s">
        <v>766</v>
      </c>
      <c r="G12" s="11" t="s">
        <v>729</v>
      </c>
      <c r="H12" s="11" t="s">
        <v>729</v>
      </c>
      <c r="I12" s="11" t="s">
        <v>729</v>
      </c>
      <c r="J12" s="11" t="s">
        <v>729</v>
      </c>
      <c r="K12" s="11" t="s">
        <v>729</v>
      </c>
      <c r="L12" s="11" t="s">
        <v>729</v>
      </c>
      <c r="M12" s="11" t="s">
        <v>729</v>
      </c>
      <c r="N12" s="11" t="s">
        <v>729</v>
      </c>
      <c r="O12" s="11" t="s">
        <v>729</v>
      </c>
      <c r="P12" s="11" t="s">
        <v>729</v>
      </c>
      <c r="Q12" s="11" t="s">
        <v>729</v>
      </c>
      <c r="R12" s="11" t="s">
        <v>729</v>
      </c>
      <c r="S12" s="11" t="s">
        <v>729</v>
      </c>
      <c r="T12" s="11" t="s">
        <v>729</v>
      </c>
      <c r="U12" s="11" t="s">
        <v>729</v>
      </c>
      <c r="V12" s="12" t="s">
        <v>729</v>
      </c>
    </row>
    <row r="13" ht="18" customHeight="1" spans="1:22">
      <c r="A13" s="19"/>
      <c r="B13" s="20" t="s">
        <v>699</v>
      </c>
      <c r="C13" s="20"/>
      <c r="D13" s="20"/>
      <c r="E13" s="6" t="s">
        <v>729</v>
      </c>
      <c r="F13" s="6" t="s">
        <v>729</v>
      </c>
      <c r="G13" s="6" t="s">
        <v>729</v>
      </c>
      <c r="H13" s="6" t="s">
        <v>729</v>
      </c>
      <c r="I13" s="6" t="s">
        <v>729</v>
      </c>
      <c r="J13" s="6" t="s">
        <v>729</v>
      </c>
      <c r="K13" s="6" t="s">
        <v>729</v>
      </c>
      <c r="L13" s="6" t="s">
        <v>729</v>
      </c>
      <c r="M13" s="6" t="s">
        <v>729</v>
      </c>
      <c r="N13" s="6" t="s">
        <v>729</v>
      </c>
      <c r="O13" s="6" t="s">
        <v>729</v>
      </c>
      <c r="P13" s="6" t="s">
        <v>729</v>
      </c>
      <c r="Q13" s="6" t="s">
        <v>729</v>
      </c>
      <c r="R13" s="6" t="s">
        <v>729</v>
      </c>
      <c r="S13" s="6" t="s">
        <v>729</v>
      </c>
      <c r="T13" s="6" t="s">
        <v>729</v>
      </c>
      <c r="U13" s="6" t="s">
        <v>729</v>
      </c>
      <c r="V13" s="8" t="s">
        <v>729</v>
      </c>
    </row>
    <row r="14" ht="18" customHeight="1" spans="1:22">
      <c r="A14" s="19"/>
      <c r="B14" s="21" t="s">
        <v>700</v>
      </c>
      <c r="C14" s="21"/>
      <c r="D14" s="21"/>
      <c r="E14" s="22" t="s">
        <v>729</v>
      </c>
      <c r="F14" s="22" t="s">
        <v>729</v>
      </c>
      <c r="G14" s="22" t="s">
        <v>729</v>
      </c>
      <c r="H14" s="22" t="s">
        <v>729</v>
      </c>
      <c r="I14" s="22" t="s">
        <v>729</v>
      </c>
      <c r="J14" s="22" t="s">
        <v>729</v>
      </c>
      <c r="K14" s="22" t="s">
        <v>729</v>
      </c>
      <c r="L14" s="22" t="s">
        <v>729</v>
      </c>
      <c r="M14" s="22" t="s">
        <v>729</v>
      </c>
      <c r="N14" s="22" t="s">
        <v>729</v>
      </c>
      <c r="O14" s="22" t="s">
        <v>729</v>
      </c>
      <c r="P14" s="22" t="s">
        <v>729</v>
      </c>
      <c r="Q14" s="22" t="s">
        <v>729</v>
      </c>
      <c r="R14" s="22" t="s">
        <v>729</v>
      </c>
      <c r="S14" s="22" t="s">
        <v>729</v>
      </c>
      <c r="T14" s="22" t="s">
        <v>729</v>
      </c>
      <c r="U14" s="22" t="s">
        <v>729</v>
      </c>
      <c r="V14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1:D11"/>
    <mergeCell ref="B12:D12"/>
    <mergeCell ref="B13:D13"/>
    <mergeCell ref="B14:D14"/>
    <mergeCell ref="A7:A8"/>
    <mergeCell ref="A9:A10"/>
    <mergeCell ref="A11:A14"/>
  </mergeCells>
  <dataValidations count="3">
    <dataValidation type="list" allowBlank="1" sqref="F8:V8 F10:V10">
      <formula1>"O,-"</formula1>
    </dataValidation>
    <dataValidation type="list" allowBlank="1" sqref="F11:V11">
      <formula1>"N,A,B"</formula1>
    </dataValidation>
    <dataValidation type="list" allowBlank="1" sqref="F12:V12">
      <formula1>"P,F"</formula1>
    </dataValidation>
  </dataValidations>
  <pageMargins left="0.7" right="0.7" top="0.75" bottom="0.75" header="0.3" footer="0.3"/>
  <pageSetup paperSize="1" orientation="portrait"/>
  <headerFooter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7"/>
  <sheetViews>
    <sheetView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257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283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28" customHeight="1" spans="1:22">
      <c r="A3" s="5" t="s">
        <v>684</v>
      </c>
      <c r="B3" s="8" t="s">
        <v>1071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3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3</v>
      </c>
      <c r="M5" s="11">
        <v>0</v>
      </c>
      <c r="N5" s="11">
        <v>0</v>
      </c>
      <c r="O5" s="12">
        <v>3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687</v>
      </c>
      <c r="H6" s="14" t="s">
        <v>688</v>
      </c>
      <c r="I6" s="14" t="s">
        <v>729</v>
      </c>
      <c r="J6" s="14" t="s">
        <v>729</v>
      </c>
      <c r="K6" s="14" t="s">
        <v>729</v>
      </c>
      <c r="L6" s="14" t="s">
        <v>729</v>
      </c>
      <c r="M6" s="14" t="s">
        <v>729</v>
      </c>
      <c r="N6" s="14" t="s">
        <v>729</v>
      </c>
      <c r="O6" s="14" t="s">
        <v>729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15.5" customHeight="1" spans="1:22">
      <c r="A7" s="16" t="s">
        <v>690</v>
      </c>
      <c r="B7" s="17" t="s">
        <v>1072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53" customHeight="1" spans="1:22">
      <c r="A8" s="16"/>
      <c r="B8" s="6" t="s">
        <v>729</v>
      </c>
      <c r="C8" s="6" t="s">
        <v>729</v>
      </c>
      <c r="D8" s="18" t="s">
        <v>1073</v>
      </c>
      <c r="E8" s="6" t="s">
        <v>729</v>
      </c>
      <c r="F8" s="11" t="s">
        <v>752</v>
      </c>
      <c r="G8" s="11" t="s">
        <v>756</v>
      </c>
      <c r="H8" s="11" t="s">
        <v>756</v>
      </c>
      <c r="I8" s="11" t="s">
        <v>729</v>
      </c>
      <c r="J8" s="11" t="s">
        <v>729</v>
      </c>
      <c r="K8" s="11" t="s">
        <v>729</v>
      </c>
      <c r="L8" s="11" t="s">
        <v>729</v>
      </c>
      <c r="M8" s="11" t="s">
        <v>729</v>
      </c>
      <c r="N8" s="11" t="s">
        <v>729</v>
      </c>
      <c r="O8" s="11" t="s">
        <v>729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40.5" customHeight="1" spans="1:22">
      <c r="A9" s="16"/>
      <c r="B9" s="6" t="s">
        <v>729</v>
      </c>
      <c r="C9" s="6" t="s">
        <v>729</v>
      </c>
      <c r="D9" s="18" t="s">
        <v>1074</v>
      </c>
      <c r="E9" s="6" t="s">
        <v>729</v>
      </c>
      <c r="F9" s="11" t="s">
        <v>756</v>
      </c>
      <c r="G9" s="11" t="s">
        <v>752</v>
      </c>
      <c r="H9" s="11" t="s">
        <v>756</v>
      </c>
      <c r="I9" s="11" t="s">
        <v>729</v>
      </c>
      <c r="J9" s="11" t="s">
        <v>729</v>
      </c>
      <c r="K9" s="11" t="s">
        <v>729</v>
      </c>
      <c r="L9" s="11" t="s">
        <v>729</v>
      </c>
      <c r="M9" s="11" t="s">
        <v>729</v>
      </c>
      <c r="N9" s="11" t="s">
        <v>729</v>
      </c>
      <c r="O9" s="11" t="s">
        <v>729</v>
      </c>
      <c r="P9" s="11" t="s">
        <v>729</v>
      </c>
      <c r="Q9" s="11" t="s">
        <v>729</v>
      </c>
      <c r="R9" s="11" t="s">
        <v>729</v>
      </c>
      <c r="S9" s="11" t="s">
        <v>729</v>
      </c>
      <c r="T9" s="11" t="s">
        <v>729</v>
      </c>
      <c r="U9" s="11" t="s">
        <v>729</v>
      </c>
      <c r="V9" s="12" t="s">
        <v>729</v>
      </c>
    </row>
    <row r="10" ht="53" customHeight="1" spans="1:22">
      <c r="A10" s="16"/>
      <c r="B10" s="6" t="s">
        <v>729</v>
      </c>
      <c r="C10" s="6" t="s">
        <v>729</v>
      </c>
      <c r="D10" s="18" t="s">
        <v>1075</v>
      </c>
      <c r="E10" s="6" t="s">
        <v>729</v>
      </c>
      <c r="F10" s="11" t="s">
        <v>756</v>
      </c>
      <c r="G10" s="11" t="s">
        <v>756</v>
      </c>
      <c r="H10" s="11" t="s">
        <v>752</v>
      </c>
      <c r="I10" s="11" t="s">
        <v>729</v>
      </c>
      <c r="J10" s="11" t="s">
        <v>729</v>
      </c>
      <c r="K10" s="11" t="s">
        <v>729</v>
      </c>
      <c r="L10" s="11" t="s">
        <v>729</v>
      </c>
      <c r="M10" s="11" t="s">
        <v>729</v>
      </c>
      <c r="N10" s="11" t="s">
        <v>729</v>
      </c>
      <c r="O10" s="11" t="s">
        <v>729</v>
      </c>
      <c r="P10" s="11" t="s">
        <v>729</v>
      </c>
      <c r="Q10" s="11" t="s">
        <v>729</v>
      </c>
      <c r="R10" s="11" t="s">
        <v>729</v>
      </c>
      <c r="S10" s="11" t="s">
        <v>729</v>
      </c>
      <c r="T10" s="11" t="s">
        <v>729</v>
      </c>
      <c r="U10" s="11" t="s">
        <v>729</v>
      </c>
      <c r="V10" s="12" t="s">
        <v>729</v>
      </c>
    </row>
    <row r="11" ht="15.5" customHeight="1" spans="1:22">
      <c r="A11" s="16" t="s">
        <v>692</v>
      </c>
      <c r="B11" s="17" t="s">
        <v>693</v>
      </c>
      <c r="C11" s="6" t="s">
        <v>729</v>
      </c>
      <c r="D11" s="6" t="s">
        <v>729</v>
      </c>
      <c r="E11" s="6" t="s">
        <v>729</v>
      </c>
      <c r="F11" s="6" t="s">
        <v>729</v>
      </c>
      <c r="G11" s="6" t="s">
        <v>729</v>
      </c>
      <c r="H11" s="6" t="s">
        <v>729</v>
      </c>
      <c r="I11" s="6" t="s">
        <v>729</v>
      </c>
      <c r="J11" s="6" t="s">
        <v>729</v>
      </c>
      <c r="K11" s="6" t="s">
        <v>729</v>
      </c>
      <c r="L11" s="6" t="s">
        <v>729</v>
      </c>
      <c r="M11" s="6" t="s">
        <v>729</v>
      </c>
      <c r="N11" s="6" t="s">
        <v>729</v>
      </c>
      <c r="O11" s="6" t="s">
        <v>729</v>
      </c>
      <c r="P11" s="6" t="s">
        <v>729</v>
      </c>
      <c r="Q11" s="6" t="s">
        <v>729</v>
      </c>
      <c r="R11" s="6" t="s">
        <v>729</v>
      </c>
      <c r="S11" s="6" t="s">
        <v>729</v>
      </c>
      <c r="T11" s="6" t="s">
        <v>729</v>
      </c>
      <c r="U11" s="6" t="s">
        <v>729</v>
      </c>
      <c r="V11" s="8" t="s">
        <v>729</v>
      </c>
    </row>
    <row r="12" ht="65.5" customHeight="1" spans="1:22">
      <c r="A12" s="16"/>
      <c r="B12" s="6" t="s">
        <v>729</v>
      </c>
      <c r="C12" s="6" t="s">
        <v>729</v>
      </c>
      <c r="D12" s="18" t="s">
        <v>1076</v>
      </c>
      <c r="E12" s="6" t="s">
        <v>729</v>
      </c>
      <c r="F12" s="11" t="s">
        <v>752</v>
      </c>
      <c r="G12" s="11" t="s">
        <v>752</v>
      </c>
      <c r="H12" s="11" t="s">
        <v>752</v>
      </c>
      <c r="I12" s="11" t="s">
        <v>729</v>
      </c>
      <c r="J12" s="11" t="s">
        <v>729</v>
      </c>
      <c r="K12" s="11" t="s">
        <v>729</v>
      </c>
      <c r="L12" s="11" t="s">
        <v>729</v>
      </c>
      <c r="M12" s="11" t="s">
        <v>729</v>
      </c>
      <c r="N12" s="11" t="s">
        <v>729</v>
      </c>
      <c r="O12" s="11" t="s">
        <v>729</v>
      </c>
      <c r="P12" s="11" t="s">
        <v>729</v>
      </c>
      <c r="Q12" s="11" t="s">
        <v>729</v>
      </c>
      <c r="R12" s="11" t="s">
        <v>729</v>
      </c>
      <c r="S12" s="11" t="s">
        <v>729</v>
      </c>
      <c r="T12" s="11" t="s">
        <v>729</v>
      </c>
      <c r="U12" s="11" t="s">
        <v>729</v>
      </c>
      <c r="V12" s="12" t="s">
        <v>729</v>
      </c>
    </row>
    <row r="13" ht="78" customHeight="1" spans="1:22">
      <c r="A13" s="16"/>
      <c r="B13" s="6" t="s">
        <v>729</v>
      </c>
      <c r="C13" s="6" t="s">
        <v>729</v>
      </c>
      <c r="D13" s="18" t="s">
        <v>1077</v>
      </c>
      <c r="E13" s="6" t="s">
        <v>729</v>
      </c>
      <c r="F13" s="11" t="s">
        <v>752</v>
      </c>
      <c r="G13" s="11" t="s">
        <v>752</v>
      </c>
      <c r="H13" s="11" t="s">
        <v>752</v>
      </c>
      <c r="I13" s="11" t="s">
        <v>729</v>
      </c>
      <c r="J13" s="11" t="s">
        <v>729</v>
      </c>
      <c r="K13" s="11" t="s">
        <v>729</v>
      </c>
      <c r="L13" s="11" t="s">
        <v>729</v>
      </c>
      <c r="M13" s="11" t="s">
        <v>729</v>
      </c>
      <c r="N13" s="11" t="s">
        <v>729</v>
      </c>
      <c r="O13" s="11" t="s">
        <v>729</v>
      </c>
      <c r="P13" s="11" t="s">
        <v>729</v>
      </c>
      <c r="Q13" s="11" t="s">
        <v>729</v>
      </c>
      <c r="R13" s="11" t="s">
        <v>729</v>
      </c>
      <c r="S13" s="11" t="s">
        <v>729</v>
      </c>
      <c r="T13" s="11" t="s">
        <v>729</v>
      </c>
      <c r="U13" s="11" t="s">
        <v>729</v>
      </c>
      <c r="V13" s="12" t="s">
        <v>729</v>
      </c>
    </row>
    <row r="14" ht="18" customHeight="1" spans="1:22">
      <c r="A14" s="19" t="s">
        <v>696</v>
      </c>
      <c r="B14" s="20" t="s">
        <v>765</v>
      </c>
      <c r="C14" s="20"/>
      <c r="D14" s="20"/>
      <c r="E14" s="6" t="s">
        <v>729</v>
      </c>
      <c r="F14" s="11" t="s">
        <v>670</v>
      </c>
      <c r="G14" s="11" t="s">
        <v>670</v>
      </c>
      <c r="H14" s="11" t="s">
        <v>670</v>
      </c>
      <c r="I14" s="11" t="s">
        <v>729</v>
      </c>
      <c r="J14" s="11" t="s">
        <v>729</v>
      </c>
      <c r="K14" s="11" t="s">
        <v>729</v>
      </c>
      <c r="L14" s="11" t="s">
        <v>729</v>
      </c>
      <c r="M14" s="11" t="s">
        <v>729</v>
      </c>
      <c r="N14" s="11" t="s">
        <v>729</v>
      </c>
      <c r="O14" s="11" t="s">
        <v>729</v>
      </c>
      <c r="P14" s="11" t="s">
        <v>729</v>
      </c>
      <c r="Q14" s="11" t="s">
        <v>729</v>
      </c>
      <c r="R14" s="11" t="s">
        <v>729</v>
      </c>
      <c r="S14" s="11" t="s">
        <v>729</v>
      </c>
      <c r="T14" s="11" t="s">
        <v>729</v>
      </c>
      <c r="U14" s="11" t="s">
        <v>729</v>
      </c>
      <c r="V14" s="12" t="s">
        <v>729</v>
      </c>
    </row>
    <row r="15" ht="18" customHeight="1" spans="1:22">
      <c r="A15" s="19"/>
      <c r="B15" s="20" t="s">
        <v>698</v>
      </c>
      <c r="C15" s="20"/>
      <c r="D15" s="20"/>
      <c r="E15" s="6" t="s">
        <v>729</v>
      </c>
      <c r="F15" s="11" t="s">
        <v>766</v>
      </c>
      <c r="G15" s="11" t="s">
        <v>766</v>
      </c>
      <c r="H15" s="11" t="s">
        <v>766</v>
      </c>
      <c r="I15" s="11" t="s">
        <v>729</v>
      </c>
      <c r="J15" s="11" t="s">
        <v>729</v>
      </c>
      <c r="K15" s="11" t="s">
        <v>729</v>
      </c>
      <c r="L15" s="11" t="s">
        <v>729</v>
      </c>
      <c r="M15" s="11" t="s">
        <v>729</v>
      </c>
      <c r="N15" s="11" t="s">
        <v>729</v>
      </c>
      <c r="O15" s="11" t="s">
        <v>729</v>
      </c>
      <c r="P15" s="11" t="s">
        <v>729</v>
      </c>
      <c r="Q15" s="11" t="s">
        <v>729</v>
      </c>
      <c r="R15" s="11" t="s">
        <v>729</v>
      </c>
      <c r="S15" s="11" t="s">
        <v>729</v>
      </c>
      <c r="T15" s="11" t="s">
        <v>729</v>
      </c>
      <c r="U15" s="11" t="s">
        <v>729</v>
      </c>
      <c r="V15" s="12" t="s">
        <v>729</v>
      </c>
    </row>
    <row r="16" ht="18" customHeight="1" spans="1:22">
      <c r="A16" s="19"/>
      <c r="B16" s="20" t="s">
        <v>699</v>
      </c>
      <c r="C16" s="20"/>
      <c r="D16" s="20"/>
      <c r="E16" s="6" t="s">
        <v>729</v>
      </c>
      <c r="F16" s="6" t="s">
        <v>729</v>
      </c>
      <c r="G16" s="6" t="s">
        <v>729</v>
      </c>
      <c r="H16" s="6" t="s">
        <v>729</v>
      </c>
      <c r="I16" s="6" t="s">
        <v>729</v>
      </c>
      <c r="J16" s="6" t="s">
        <v>729</v>
      </c>
      <c r="K16" s="6" t="s">
        <v>729</v>
      </c>
      <c r="L16" s="6" t="s">
        <v>729</v>
      </c>
      <c r="M16" s="6" t="s">
        <v>729</v>
      </c>
      <c r="N16" s="6" t="s">
        <v>729</v>
      </c>
      <c r="O16" s="6" t="s">
        <v>729</v>
      </c>
      <c r="P16" s="6" t="s">
        <v>729</v>
      </c>
      <c r="Q16" s="6" t="s">
        <v>729</v>
      </c>
      <c r="R16" s="6" t="s">
        <v>729</v>
      </c>
      <c r="S16" s="6" t="s">
        <v>729</v>
      </c>
      <c r="T16" s="6" t="s">
        <v>729</v>
      </c>
      <c r="U16" s="6" t="s">
        <v>729</v>
      </c>
      <c r="V16" s="8" t="s">
        <v>729</v>
      </c>
    </row>
    <row r="17" ht="18" customHeight="1" spans="1:22">
      <c r="A17" s="19"/>
      <c r="B17" s="21" t="s">
        <v>700</v>
      </c>
      <c r="C17" s="21"/>
      <c r="D17" s="21"/>
      <c r="E17" s="22" t="s">
        <v>729</v>
      </c>
      <c r="F17" s="22" t="s">
        <v>729</v>
      </c>
      <c r="G17" s="22" t="s">
        <v>729</v>
      </c>
      <c r="H17" s="22" t="s">
        <v>729</v>
      </c>
      <c r="I17" s="22" t="s">
        <v>729</v>
      </c>
      <c r="J17" s="22" t="s">
        <v>729</v>
      </c>
      <c r="K17" s="22" t="s">
        <v>729</v>
      </c>
      <c r="L17" s="22" t="s">
        <v>729</v>
      </c>
      <c r="M17" s="22" t="s">
        <v>729</v>
      </c>
      <c r="N17" s="22" t="s">
        <v>729</v>
      </c>
      <c r="O17" s="22" t="s">
        <v>729</v>
      </c>
      <c r="P17" s="22" t="s">
        <v>729</v>
      </c>
      <c r="Q17" s="22" t="s">
        <v>729</v>
      </c>
      <c r="R17" s="22" t="s">
        <v>729</v>
      </c>
      <c r="S17" s="22" t="s">
        <v>729</v>
      </c>
      <c r="T17" s="22" t="s">
        <v>729</v>
      </c>
      <c r="U17" s="22" t="s">
        <v>729</v>
      </c>
      <c r="V17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4:D14"/>
    <mergeCell ref="B15:D15"/>
    <mergeCell ref="B16:D16"/>
    <mergeCell ref="B17:D17"/>
    <mergeCell ref="A7:A10"/>
    <mergeCell ref="A11:A13"/>
    <mergeCell ref="A14:A17"/>
  </mergeCells>
  <dataValidations count="3">
    <dataValidation type="list" allowBlank="1" sqref="F10:V10 F8:V9 F12:V13">
      <formula1>"O,-"</formula1>
    </dataValidation>
    <dataValidation type="list" allowBlank="1" sqref="F14:V14">
      <formula1>"N,A,B"</formula1>
    </dataValidation>
    <dataValidation type="list" allowBlank="1" sqref="F15:V15">
      <formula1>"P,F"</formula1>
    </dataValidation>
  </dataValidations>
  <pageMargins left="0.7" right="0.7" top="0.75" bottom="0.75" header="0.3" footer="0.3"/>
  <pageSetup paperSize="1" orientation="portrait"/>
  <headerFooter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8"/>
  <sheetViews>
    <sheetView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257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288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28" customHeight="1" spans="1:22">
      <c r="A3" s="5" t="s">
        <v>684</v>
      </c>
      <c r="B3" s="8" t="s">
        <v>1078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3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1</v>
      </c>
      <c r="M5" s="11">
        <v>2</v>
      </c>
      <c r="N5" s="11">
        <v>0</v>
      </c>
      <c r="O5" s="12">
        <v>3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687</v>
      </c>
      <c r="H6" s="14" t="s">
        <v>688</v>
      </c>
      <c r="I6" s="14" t="s">
        <v>729</v>
      </c>
      <c r="J6" s="14" t="s">
        <v>729</v>
      </c>
      <c r="K6" s="14" t="s">
        <v>729</v>
      </c>
      <c r="L6" s="14" t="s">
        <v>729</v>
      </c>
      <c r="M6" s="14" t="s">
        <v>729</v>
      </c>
      <c r="N6" s="14" t="s">
        <v>729</v>
      </c>
      <c r="O6" s="14" t="s">
        <v>729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28" customHeight="1" spans="1:22">
      <c r="A7" s="16" t="s">
        <v>690</v>
      </c>
      <c r="B7" s="17" t="s">
        <v>1079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65.5" customHeight="1" spans="1:22">
      <c r="A8" s="16"/>
      <c r="B8" s="6" t="s">
        <v>729</v>
      </c>
      <c r="C8" s="6" t="s">
        <v>729</v>
      </c>
      <c r="D8" s="18" t="s">
        <v>1080</v>
      </c>
      <c r="E8" s="6" t="s">
        <v>729</v>
      </c>
      <c r="F8" s="11" t="s">
        <v>752</v>
      </c>
      <c r="G8" s="11" t="s">
        <v>756</v>
      </c>
      <c r="H8" s="11" t="s">
        <v>756</v>
      </c>
      <c r="I8" s="11" t="s">
        <v>729</v>
      </c>
      <c r="J8" s="11" t="s">
        <v>729</v>
      </c>
      <c r="K8" s="11" t="s">
        <v>729</v>
      </c>
      <c r="L8" s="11" t="s">
        <v>729</v>
      </c>
      <c r="M8" s="11" t="s">
        <v>729</v>
      </c>
      <c r="N8" s="11" t="s">
        <v>729</v>
      </c>
      <c r="O8" s="11" t="s">
        <v>729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40.5" customHeight="1" spans="1:22">
      <c r="A9" s="16"/>
      <c r="B9" s="6" t="s">
        <v>729</v>
      </c>
      <c r="C9" s="6" t="s">
        <v>729</v>
      </c>
      <c r="D9" s="18" t="s">
        <v>1081</v>
      </c>
      <c r="E9" s="6" t="s">
        <v>729</v>
      </c>
      <c r="F9" s="11" t="s">
        <v>756</v>
      </c>
      <c r="G9" s="11" t="s">
        <v>752</v>
      </c>
      <c r="H9" s="11" t="s">
        <v>756</v>
      </c>
      <c r="I9" s="11" t="s">
        <v>729</v>
      </c>
      <c r="J9" s="11" t="s">
        <v>729</v>
      </c>
      <c r="K9" s="11" t="s">
        <v>729</v>
      </c>
      <c r="L9" s="11" t="s">
        <v>729</v>
      </c>
      <c r="M9" s="11" t="s">
        <v>729</v>
      </c>
      <c r="N9" s="11" t="s">
        <v>729</v>
      </c>
      <c r="O9" s="11" t="s">
        <v>729</v>
      </c>
      <c r="P9" s="11" t="s">
        <v>729</v>
      </c>
      <c r="Q9" s="11" t="s">
        <v>729</v>
      </c>
      <c r="R9" s="11" t="s">
        <v>729</v>
      </c>
      <c r="S9" s="11" t="s">
        <v>729</v>
      </c>
      <c r="T9" s="11" t="s">
        <v>729</v>
      </c>
      <c r="U9" s="11" t="s">
        <v>729</v>
      </c>
      <c r="V9" s="12" t="s">
        <v>729</v>
      </c>
    </row>
    <row r="10" ht="90.5" customHeight="1" spans="1:22">
      <c r="A10" s="16"/>
      <c r="B10" s="6" t="s">
        <v>729</v>
      </c>
      <c r="C10" s="6" t="s">
        <v>729</v>
      </c>
      <c r="D10" s="18" t="s">
        <v>1082</v>
      </c>
      <c r="E10" s="6" t="s">
        <v>729</v>
      </c>
      <c r="F10" s="11" t="s">
        <v>756</v>
      </c>
      <c r="G10" s="11" t="s">
        <v>756</v>
      </c>
      <c r="H10" s="11" t="s">
        <v>752</v>
      </c>
      <c r="I10" s="11" t="s">
        <v>729</v>
      </c>
      <c r="J10" s="11" t="s">
        <v>729</v>
      </c>
      <c r="K10" s="11" t="s">
        <v>729</v>
      </c>
      <c r="L10" s="11" t="s">
        <v>729</v>
      </c>
      <c r="M10" s="11" t="s">
        <v>729</v>
      </c>
      <c r="N10" s="11" t="s">
        <v>729</v>
      </c>
      <c r="O10" s="11" t="s">
        <v>729</v>
      </c>
      <c r="P10" s="11" t="s">
        <v>729</v>
      </c>
      <c r="Q10" s="11" t="s">
        <v>729</v>
      </c>
      <c r="R10" s="11" t="s">
        <v>729</v>
      </c>
      <c r="S10" s="11" t="s">
        <v>729</v>
      </c>
      <c r="T10" s="11" t="s">
        <v>729</v>
      </c>
      <c r="U10" s="11" t="s">
        <v>729</v>
      </c>
      <c r="V10" s="12" t="s">
        <v>729</v>
      </c>
    </row>
    <row r="11" ht="15.5" customHeight="1" spans="1:22">
      <c r="A11" s="16" t="s">
        <v>692</v>
      </c>
      <c r="B11" s="17" t="s">
        <v>693</v>
      </c>
      <c r="C11" s="6" t="s">
        <v>729</v>
      </c>
      <c r="D11" s="6" t="s">
        <v>729</v>
      </c>
      <c r="E11" s="6" t="s">
        <v>729</v>
      </c>
      <c r="F11" s="6" t="s">
        <v>729</v>
      </c>
      <c r="G11" s="6" t="s">
        <v>729</v>
      </c>
      <c r="H11" s="6" t="s">
        <v>729</v>
      </c>
      <c r="I11" s="6" t="s">
        <v>729</v>
      </c>
      <c r="J11" s="6" t="s">
        <v>729</v>
      </c>
      <c r="K11" s="6" t="s">
        <v>729</v>
      </c>
      <c r="L11" s="6" t="s">
        <v>729</v>
      </c>
      <c r="M11" s="6" t="s">
        <v>729</v>
      </c>
      <c r="N11" s="6" t="s">
        <v>729</v>
      </c>
      <c r="O11" s="6" t="s">
        <v>729</v>
      </c>
      <c r="P11" s="6" t="s">
        <v>729</v>
      </c>
      <c r="Q11" s="6" t="s">
        <v>729</v>
      </c>
      <c r="R11" s="6" t="s">
        <v>729</v>
      </c>
      <c r="S11" s="6" t="s">
        <v>729</v>
      </c>
      <c r="T11" s="6" t="s">
        <v>729</v>
      </c>
      <c r="U11" s="6" t="s">
        <v>729</v>
      </c>
      <c r="V11" s="8" t="s">
        <v>729</v>
      </c>
    </row>
    <row r="12" ht="65.5" customHeight="1" spans="1:22">
      <c r="A12" s="16"/>
      <c r="B12" s="6" t="s">
        <v>729</v>
      </c>
      <c r="C12" s="6" t="s">
        <v>729</v>
      </c>
      <c r="D12" s="18" t="s">
        <v>1083</v>
      </c>
      <c r="E12" s="6" t="s">
        <v>729</v>
      </c>
      <c r="F12" s="11" t="s">
        <v>752</v>
      </c>
      <c r="G12" s="11" t="s">
        <v>756</v>
      </c>
      <c r="H12" s="11" t="s">
        <v>756</v>
      </c>
      <c r="I12" s="11" t="s">
        <v>729</v>
      </c>
      <c r="J12" s="11" t="s">
        <v>729</v>
      </c>
      <c r="K12" s="11" t="s">
        <v>729</v>
      </c>
      <c r="L12" s="11" t="s">
        <v>729</v>
      </c>
      <c r="M12" s="11" t="s">
        <v>729</v>
      </c>
      <c r="N12" s="11" t="s">
        <v>729</v>
      </c>
      <c r="O12" s="11" t="s">
        <v>729</v>
      </c>
      <c r="P12" s="11" t="s">
        <v>729</v>
      </c>
      <c r="Q12" s="11" t="s">
        <v>729</v>
      </c>
      <c r="R12" s="11" t="s">
        <v>729</v>
      </c>
      <c r="S12" s="11" t="s">
        <v>729</v>
      </c>
      <c r="T12" s="11" t="s">
        <v>729</v>
      </c>
      <c r="U12" s="11" t="s">
        <v>729</v>
      </c>
      <c r="V12" s="12" t="s">
        <v>729</v>
      </c>
    </row>
    <row r="13" ht="65.5" customHeight="1" spans="1:22">
      <c r="A13" s="16"/>
      <c r="B13" s="6" t="s">
        <v>729</v>
      </c>
      <c r="C13" s="6" t="s">
        <v>729</v>
      </c>
      <c r="D13" s="18" t="s">
        <v>1084</v>
      </c>
      <c r="E13" s="6" t="s">
        <v>729</v>
      </c>
      <c r="F13" s="11" t="s">
        <v>756</v>
      </c>
      <c r="G13" s="11" t="s">
        <v>752</v>
      </c>
      <c r="H13" s="11" t="s">
        <v>756</v>
      </c>
      <c r="I13" s="11" t="s">
        <v>729</v>
      </c>
      <c r="J13" s="11" t="s">
        <v>729</v>
      </c>
      <c r="K13" s="11" t="s">
        <v>729</v>
      </c>
      <c r="L13" s="11" t="s">
        <v>729</v>
      </c>
      <c r="M13" s="11" t="s">
        <v>729</v>
      </c>
      <c r="N13" s="11" t="s">
        <v>729</v>
      </c>
      <c r="O13" s="11" t="s">
        <v>729</v>
      </c>
      <c r="P13" s="11" t="s">
        <v>729</v>
      </c>
      <c r="Q13" s="11" t="s">
        <v>729</v>
      </c>
      <c r="R13" s="11" t="s">
        <v>729</v>
      </c>
      <c r="S13" s="11" t="s">
        <v>729</v>
      </c>
      <c r="T13" s="11" t="s">
        <v>729</v>
      </c>
      <c r="U13" s="11" t="s">
        <v>729</v>
      </c>
      <c r="V13" s="12" t="s">
        <v>729</v>
      </c>
    </row>
    <row r="14" ht="78" customHeight="1" spans="1:22">
      <c r="A14" s="16"/>
      <c r="B14" s="6" t="s">
        <v>729</v>
      </c>
      <c r="C14" s="6" t="s">
        <v>729</v>
      </c>
      <c r="D14" s="18" t="s">
        <v>1085</v>
      </c>
      <c r="E14" s="6" t="s">
        <v>729</v>
      </c>
      <c r="F14" s="11" t="s">
        <v>756</v>
      </c>
      <c r="G14" s="11" t="s">
        <v>756</v>
      </c>
      <c r="H14" s="11" t="s">
        <v>752</v>
      </c>
      <c r="I14" s="11" t="s">
        <v>729</v>
      </c>
      <c r="J14" s="11" t="s">
        <v>729</v>
      </c>
      <c r="K14" s="11" t="s">
        <v>729</v>
      </c>
      <c r="L14" s="11" t="s">
        <v>729</v>
      </c>
      <c r="M14" s="11" t="s">
        <v>729</v>
      </c>
      <c r="N14" s="11" t="s">
        <v>729</v>
      </c>
      <c r="O14" s="11" t="s">
        <v>729</v>
      </c>
      <c r="P14" s="11" t="s">
        <v>729</v>
      </c>
      <c r="Q14" s="11" t="s">
        <v>729</v>
      </c>
      <c r="R14" s="11" t="s">
        <v>729</v>
      </c>
      <c r="S14" s="11" t="s">
        <v>729</v>
      </c>
      <c r="T14" s="11" t="s">
        <v>729</v>
      </c>
      <c r="U14" s="11" t="s">
        <v>729</v>
      </c>
      <c r="V14" s="12" t="s">
        <v>729</v>
      </c>
    </row>
    <row r="15" ht="18" customHeight="1" spans="1:22">
      <c r="A15" s="19" t="s">
        <v>696</v>
      </c>
      <c r="B15" s="20" t="s">
        <v>765</v>
      </c>
      <c r="C15" s="20"/>
      <c r="D15" s="20"/>
      <c r="E15" s="6" t="s">
        <v>729</v>
      </c>
      <c r="F15" s="11" t="s">
        <v>670</v>
      </c>
      <c r="G15" s="11" t="s">
        <v>63</v>
      </c>
      <c r="H15" s="11" t="s">
        <v>63</v>
      </c>
      <c r="I15" s="11" t="s">
        <v>729</v>
      </c>
      <c r="J15" s="11" t="s">
        <v>729</v>
      </c>
      <c r="K15" s="11" t="s">
        <v>729</v>
      </c>
      <c r="L15" s="11" t="s">
        <v>729</v>
      </c>
      <c r="M15" s="11" t="s">
        <v>729</v>
      </c>
      <c r="N15" s="11" t="s">
        <v>729</v>
      </c>
      <c r="O15" s="11" t="s">
        <v>729</v>
      </c>
      <c r="P15" s="11" t="s">
        <v>729</v>
      </c>
      <c r="Q15" s="11" t="s">
        <v>729</v>
      </c>
      <c r="R15" s="11" t="s">
        <v>729</v>
      </c>
      <c r="S15" s="11" t="s">
        <v>729</v>
      </c>
      <c r="T15" s="11" t="s">
        <v>729</v>
      </c>
      <c r="U15" s="11" t="s">
        <v>729</v>
      </c>
      <c r="V15" s="12" t="s">
        <v>729</v>
      </c>
    </row>
    <row r="16" ht="18" customHeight="1" spans="1:22">
      <c r="A16" s="19"/>
      <c r="B16" s="20" t="s">
        <v>698</v>
      </c>
      <c r="C16" s="20"/>
      <c r="D16" s="20"/>
      <c r="E16" s="6" t="s">
        <v>729</v>
      </c>
      <c r="F16" s="11" t="s">
        <v>766</v>
      </c>
      <c r="G16" s="11" t="s">
        <v>766</v>
      </c>
      <c r="H16" s="11" t="s">
        <v>766</v>
      </c>
      <c r="I16" s="11" t="s">
        <v>729</v>
      </c>
      <c r="J16" s="11" t="s">
        <v>729</v>
      </c>
      <c r="K16" s="11" t="s">
        <v>729</v>
      </c>
      <c r="L16" s="11" t="s">
        <v>729</v>
      </c>
      <c r="M16" s="11" t="s">
        <v>729</v>
      </c>
      <c r="N16" s="11" t="s">
        <v>729</v>
      </c>
      <c r="O16" s="11" t="s">
        <v>729</v>
      </c>
      <c r="P16" s="11" t="s">
        <v>729</v>
      </c>
      <c r="Q16" s="11" t="s">
        <v>729</v>
      </c>
      <c r="R16" s="11" t="s">
        <v>729</v>
      </c>
      <c r="S16" s="11" t="s">
        <v>729</v>
      </c>
      <c r="T16" s="11" t="s">
        <v>729</v>
      </c>
      <c r="U16" s="11" t="s">
        <v>729</v>
      </c>
      <c r="V16" s="12" t="s">
        <v>729</v>
      </c>
    </row>
    <row r="17" ht="18" customHeight="1" spans="1:22">
      <c r="A17" s="19"/>
      <c r="B17" s="20" t="s">
        <v>699</v>
      </c>
      <c r="C17" s="20"/>
      <c r="D17" s="20"/>
      <c r="E17" s="6" t="s">
        <v>729</v>
      </c>
      <c r="F17" s="6" t="s">
        <v>729</v>
      </c>
      <c r="G17" s="6" t="s">
        <v>729</v>
      </c>
      <c r="H17" s="6" t="s">
        <v>729</v>
      </c>
      <c r="I17" s="6" t="s">
        <v>729</v>
      </c>
      <c r="J17" s="6" t="s">
        <v>729</v>
      </c>
      <c r="K17" s="6" t="s">
        <v>729</v>
      </c>
      <c r="L17" s="6" t="s">
        <v>729</v>
      </c>
      <c r="M17" s="6" t="s">
        <v>729</v>
      </c>
      <c r="N17" s="6" t="s">
        <v>729</v>
      </c>
      <c r="O17" s="6" t="s">
        <v>729</v>
      </c>
      <c r="P17" s="6" t="s">
        <v>729</v>
      </c>
      <c r="Q17" s="6" t="s">
        <v>729</v>
      </c>
      <c r="R17" s="6" t="s">
        <v>729</v>
      </c>
      <c r="S17" s="6" t="s">
        <v>729</v>
      </c>
      <c r="T17" s="6" t="s">
        <v>729</v>
      </c>
      <c r="U17" s="6" t="s">
        <v>729</v>
      </c>
      <c r="V17" s="8" t="s">
        <v>729</v>
      </c>
    </row>
    <row r="18" ht="18" customHeight="1" spans="1:22">
      <c r="A18" s="19"/>
      <c r="B18" s="21" t="s">
        <v>700</v>
      </c>
      <c r="C18" s="21"/>
      <c r="D18" s="21"/>
      <c r="E18" s="22" t="s">
        <v>729</v>
      </c>
      <c r="F18" s="22" t="s">
        <v>729</v>
      </c>
      <c r="G18" s="22" t="s">
        <v>729</v>
      </c>
      <c r="H18" s="22" t="s">
        <v>729</v>
      </c>
      <c r="I18" s="22" t="s">
        <v>729</v>
      </c>
      <c r="J18" s="22" t="s">
        <v>729</v>
      </c>
      <c r="K18" s="22" t="s">
        <v>729</v>
      </c>
      <c r="L18" s="22" t="s">
        <v>729</v>
      </c>
      <c r="M18" s="22" t="s">
        <v>729</v>
      </c>
      <c r="N18" s="22" t="s">
        <v>729</v>
      </c>
      <c r="O18" s="22" t="s">
        <v>729</v>
      </c>
      <c r="P18" s="22" t="s">
        <v>729</v>
      </c>
      <c r="Q18" s="22" t="s">
        <v>729</v>
      </c>
      <c r="R18" s="22" t="s">
        <v>729</v>
      </c>
      <c r="S18" s="22" t="s">
        <v>729</v>
      </c>
      <c r="T18" s="22" t="s">
        <v>729</v>
      </c>
      <c r="U18" s="22" t="s">
        <v>729</v>
      </c>
      <c r="V18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5:D15"/>
    <mergeCell ref="B16:D16"/>
    <mergeCell ref="B17:D17"/>
    <mergeCell ref="B18:D18"/>
    <mergeCell ref="A7:A10"/>
    <mergeCell ref="A11:A14"/>
    <mergeCell ref="A15:A18"/>
  </mergeCells>
  <dataValidations count="3">
    <dataValidation type="list" allowBlank="1" sqref="F10:V10 F12:V14 F8:V9">
      <formula1>"O,-"</formula1>
    </dataValidation>
    <dataValidation type="list" allowBlank="1" sqref="F15:V15">
      <formula1>"N,A,B"</formula1>
    </dataValidation>
    <dataValidation type="list" allowBlank="1" sqref="F16:V16">
      <formula1>"P,F"</formula1>
    </dataValidation>
  </dataValidations>
  <pageMargins left="0.7" right="0.7" top="0.75" bottom="0.75" header="0.3" footer="0.3"/>
  <pageSetup paperSize="1" orientation="portrait"/>
  <headerFooter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7"/>
  <sheetViews>
    <sheetView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257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293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1086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3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0</v>
      </c>
      <c r="M5" s="11">
        <v>3</v>
      </c>
      <c r="N5" s="11">
        <v>0</v>
      </c>
      <c r="O5" s="12">
        <v>3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687</v>
      </c>
      <c r="H6" s="14" t="s">
        <v>688</v>
      </c>
      <c r="I6" s="14" t="s">
        <v>729</v>
      </c>
      <c r="J6" s="14" t="s">
        <v>729</v>
      </c>
      <c r="K6" s="14" t="s">
        <v>729</v>
      </c>
      <c r="L6" s="14" t="s">
        <v>729</v>
      </c>
      <c r="M6" s="14" t="s">
        <v>729</v>
      </c>
      <c r="N6" s="14" t="s">
        <v>729</v>
      </c>
      <c r="O6" s="14" t="s">
        <v>729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28" customHeight="1" spans="1:22">
      <c r="A7" s="16" t="s">
        <v>690</v>
      </c>
      <c r="B7" s="17" t="s">
        <v>1087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53" customHeight="1" spans="1:22">
      <c r="A8" s="16"/>
      <c r="B8" s="6" t="s">
        <v>729</v>
      </c>
      <c r="C8" s="6" t="s">
        <v>729</v>
      </c>
      <c r="D8" s="18" t="s">
        <v>1088</v>
      </c>
      <c r="E8" s="6" t="s">
        <v>729</v>
      </c>
      <c r="F8" s="11" t="s">
        <v>752</v>
      </c>
      <c r="G8" s="11" t="s">
        <v>756</v>
      </c>
      <c r="H8" s="11" t="s">
        <v>756</v>
      </c>
      <c r="I8" s="11" t="s">
        <v>729</v>
      </c>
      <c r="J8" s="11" t="s">
        <v>729</v>
      </c>
      <c r="K8" s="11" t="s">
        <v>729</v>
      </c>
      <c r="L8" s="11" t="s">
        <v>729</v>
      </c>
      <c r="M8" s="11" t="s">
        <v>729</v>
      </c>
      <c r="N8" s="11" t="s">
        <v>729</v>
      </c>
      <c r="O8" s="11" t="s">
        <v>729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65.5" customHeight="1" spans="1:22">
      <c r="A9" s="16"/>
      <c r="B9" s="6" t="s">
        <v>729</v>
      </c>
      <c r="C9" s="6" t="s">
        <v>729</v>
      </c>
      <c r="D9" s="18" t="s">
        <v>1089</v>
      </c>
      <c r="E9" s="6" t="s">
        <v>729</v>
      </c>
      <c r="F9" s="11" t="s">
        <v>756</v>
      </c>
      <c r="G9" s="11" t="s">
        <v>752</v>
      </c>
      <c r="H9" s="11" t="s">
        <v>756</v>
      </c>
      <c r="I9" s="11" t="s">
        <v>729</v>
      </c>
      <c r="J9" s="11" t="s">
        <v>729</v>
      </c>
      <c r="K9" s="11" t="s">
        <v>729</v>
      </c>
      <c r="L9" s="11" t="s">
        <v>729</v>
      </c>
      <c r="M9" s="11" t="s">
        <v>729</v>
      </c>
      <c r="N9" s="11" t="s">
        <v>729</v>
      </c>
      <c r="O9" s="11" t="s">
        <v>729</v>
      </c>
      <c r="P9" s="11" t="s">
        <v>729</v>
      </c>
      <c r="Q9" s="11" t="s">
        <v>729</v>
      </c>
      <c r="R9" s="11" t="s">
        <v>729</v>
      </c>
      <c r="S9" s="11" t="s">
        <v>729</v>
      </c>
      <c r="T9" s="11" t="s">
        <v>729</v>
      </c>
      <c r="U9" s="11" t="s">
        <v>729</v>
      </c>
      <c r="V9" s="12" t="s">
        <v>729</v>
      </c>
    </row>
    <row r="10" ht="53" customHeight="1" spans="1:22">
      <c r="A10" s="16"/>
      <c r="B10" s="6" t="s">
        <v>729</v>
      </c>
      <c r="C10" s="6" t="s">
        <v>729</v>
      </c>
      <c r="D10" s="18" t="s">
        <v>1090</v>
      </c>
      <c r="E10" s="6" t="s">
        <v>729</v>
      </c>
      <c r="F10" s="11" t="s">
        <v>756</v>
      </c>
      <c r="G10" s="11" t="s">
        <v>756</v>
      </c>
      <c r="H10" s="11" t="s">
        <v>752</v>
      </c>
      <c r="I10" s="11" t="s">
        <v>729</v>
      </c>
      <c r="J10" s="11" t="s">
        <v>729</v>
      </c>
      <c r="K10" s="11" t="s">
        <v>729</v>
      </c>
      <c r="L10" s="11" t="s">
        <v>729</v>
      </c>
      <c r="M10" s="11" t="s">
        <v>729</v>
      </c>
      <c r="N10" s="11" t="s">
        <v>729</v>
      </c>
      <c r="O10" s="11" t="s">
        <v>729</v>
      </c>
      <c r="P10" s="11" t="s">
        <v>729</v>
      </c>
      <c r="Q10" s="11" t="s">
        <v>729</v>
      </c>
      <c r="R10" s="11" t="s">
        <v>729</v>
      </c>
      <c r="S10" s="11" t="s">
        <v>729</v>
      </c>
      <c r="T10" s="11" t="s">
        <v>729</v>
      </c>
      <c r="U10" s="11" t="s">
        <v>729</v>
      </c>
      <c r="V10" s="12" t="s">
        <v>729</v>
      </c>
    </row>
    <row r="11" ht="15.5" customHeight="1" spans="1:22">
      <c r="A11" s="16" t="s">
        <v>692</v>
      </c>
      <c r="B11" s="17" t="s">
        <v>693</v>
      </c>
      <c r="C11" s="6" t="s">
        <v>729</v>
      </c>
      <c r="D11" s="6" t="s">
        <v>729</v>
      </c>
      <c r="E11" s="6" t="s">
        <v>729</v>
      </c>
      <c r="F11" s="6" t="s">
        <v>729</v>
      </c>
      <c r="G11" s="6" t="s">
        <v>729</v>
      </c>
      <c r="H11" s="6" t="s">
        <v>729</v>
      </c>
      <c r="I11" s="6" t="s">
        <v>729</v>
      </c>
      <c r="J11" s="6" t="s">
        <v>729</v>
      </c>
      <c r="K11" s="6" t="s">
        <v>729</v>
      </c>
      <c r="L11" s="6" t="s">
        <v>729</v>
      </c>
      <c r="M11" s="6" t="s">
        <v>729</v>
      </c>
      <c r="N11" s="6" t="s">
        <v>729</v>
      </c>
      <c r="O11" s="6" t="s">
        <v>729</v>
      </c>
      <c r="P11" s="6" t="s">
        <v>729</v>
      </c>
      <c r="Q11" s="6" t="s">
        <v>729</v>
      </c>
      <c r="R11" s="6" t="s">
        <v>729</v>
      </c>
      <c r="S11" s="6" t="s">
        <v>729</v>
      </c>
      <c r="T11" s="6" t="s">
        <v>729</v>
      </c>
      <c r="U11" s="6" t="s">
        <v>729</v>
      </c>
      <c r="V11" s="8" t="s">
        <v>729</v>
      </c>
    </row>
    <row r="12" ht="90.5" customHeight="1" spans="1:22">
      <c r="A12" s="16"/>
      <c r="B12" s="6" t="s">
        <v>729</v>
      </c>
      <c r="C12" s="6" t="s">
        <v>729</v>
      </c>
      <c r="D12" s="18" t="s">
        <v>1091</v>
      </c>
      <c r="E12" s="6" t="s">
        <v>729</v>
      </c>
      <c r="F12" s="11" t="s">
        <v>752</v>
      </c>
      <c r="G12" s="11" t="s">
        <v>752</v>
      </c>
      <c r="H12" s="11" t="s">
        <v>752</v>
      </c>
      <c r="I12" s="11" t="s">
        <v>729</v>
      </c>
      <c r="J12" s="11" t="s">
        <v>729</v>
      </c>
      <c r="K12" s="11" t="s">
        <v>729</v>
      </c>
      <c r="L12" s="11" t="s">
        <v>729</v>
      </c>
      <c r="M12" s="11" t="s">
        <v>729</v>
      </c>
      <c r="N12" s="11" t="s">
        <v>729</v>
      </c>
      <c r="O12" s="11" t="s">
        <v>729</v>
      </c>
      <c r="P12" s="11" t="s">
        <v>729</v>
      </c>
      <c r="Q12" s="11" t="s">
        <v>729</v>
      </c>
      <c r="R12" s="11" t="s">
        <v>729</v>
      </c>
      <c r="S12" s="11" t="s">
        <v>729</v>
      </c>
      <c r="T12" s="11" t="s">
        <v>729</v>
      </c>
      <c r="U12" s="11" t="s">
        <v>729</v>
      </c>
      <c r="V12" s="12" t="s">
        <v>729</v>
      </c>
    </row>
    <row r="13" ht="65.5" customHeight="1" spans="1:22">
      <c r="A13" s="16"/>
      <c r="B13" s="6" t="s">
        <v>729</v>
      </c>
      <c r="C13" s="6" t="s">
        <v>729</v>
      </c>
      <c r="D13" s="18" t="s">
        <v>1092</v>
      </c>
      <c r="E13" s="6" t="s">
        <v>729</v>
      </c>
      <c r="F13" s="11" t="s">
        <v>752</v>
      </c>
      <c r="G13" s="11" t="s">
        <v>752</v>
      </c>
      <c r="H13" s="11" t="s">
        <v>752</v>
      </c>
      <c r="I13" s="11" t="s">
        <v>729</v>
      </c>
      <c r="J13" s="11" t="s">
        <v>729</v>
      </c>
      <c r="K13" s="11" t="s">
        <v>729</v>
      </c>
      <c r="L13" s="11" t="s">
        <v>729</v>
      </c>
      <c r="M13" s="11" t="s">
        <v>729</v>
      </c>
      <c r="N13" s="11" t="s">
        <v>729</v>
      </c>
      <c r="O13" s="11" t="s">
        <v>729</v>
      </c>
      <c r="P13" s="11" t="s">
        <v>729</v>
      </c>
      <c r="Q13" s="11" t="s">
        <v>729</v>
      </c>
      <c r="R13" s="11" t="s">
        <v>729</v>
      </c>
      <c r="S13" s="11" t="s">
        <v>729</v>
      </c>
      <c r="T13" s="11" t="s">
        <v>729</v>
      </c>
      <c r="U13" s="11" t="s">
        <v>729</v>
      </c>
      <c r="V13" s="12" t="s">
        <v>729</v>
      </c>
    </row>
    <row r="14" ht="18" customHeight="1" spans="1:22">
      <c r="A14" s="19" t="s">
        <v>696</v>
      </c>
      <c r="B14" s="20" t="s">
        <v>765</v>
      </c>
      <c r="C14" s="20"/>
      <c r="D14" s="20"/>
      <c r="E14" s="6" t="s">
        <v>729</v>
      </c>
      <c r="F14" s="11" t="s">
        <v>63</v>
      </c>
      <c r="G14" s="11" t="s">
        <v>63</v>
      </c>
      <c r="H14" s="11" t="s">
        <v>63</v>
      </c>
      <c r="I14" s="11" t="s">
        <v>729</v>
      </c>
      <c r="J14" s="11" t="s">
        <v>729</v>
      </c>
      <c r="K14" s="11" t="s">
        <v>729</v>
      </c>
      <c r="L14" s="11" t="s">
        <v>729</v>
      </c>
      <c r="M14" s="11" t="s">
        <v>729</v>
      </c>
      <c r="N14" s="11" t="s">
        <v>729</v>
      </c>
      <c r="O14" s="11" t="s">
        <v>729</v>
      </c>
      <c r="P14" s="11" t="s">
        <v>729</v>
      </c>
      <c r="Q14" s="11" t="s">
        <v>729</v>
      </c>
      <c r="R14" s="11" t="s">
        <v>729</v>
      </c>
      <c r="S14" s="11" t="s">
        <v>729</v>
      </c>
      <c r="T14" s="11" t="s">
        <v>729</v>
      </c>
      <c r="U14" s="11" t="s">
        <v>729</v>
      </c>
      <c r="V14" s="12" t="s">
        <v>729</v>
      </c>
    </row>
    <row r="15" ht="18" customHeight="1" spans="1:22">
      <c r="A15" s="19"/>
      <c r="B15" s="20" t="s">
        <v>698</v>
      </c>
      <c r="C15" s="20"/>
      <c r="D15" s="20"/>
      <c r="E15" s="6" t="s">
        <v>729</v>
      </c>
      <c r="F15" s="11" t="s">
        <v>766</v>
      </c>
      <c r="G15" s="11" t="s">
        <v>766</v>
      </c>
      <c r="H15" s="11" t="s">
        <v>766</v>
      </c>
      <c r="I15" s="11" t="s">
        <v>729</v>
      </c>
      <c r="J15" s="11" t="s">
        <v>729</v>
      </c>
      <c r="K15" s="11" t="s">
        <v>729</v>
      </c>
      <c r="L15" s="11" t="s">
        <v>729</v>
      </c>
      <c r="M15" s="11" t="s">
        <v>729</v>
      </c>
      <c r="N15" s="11" t="s">
        <v>729</v>
      </c>
      <c r="O15" s="11" t="s">
        <v>729</v>
      </c>
      <c r="P15" s="11" t="s">
        <v>729</v>
      </c>
      <c r="Q15" s="11" t="s">
        <v>729</v>
      </c>
      <c r="R15" s="11" t="s">
        <v>729</v>
      </c>
      <c r="S15" s="11" t="s">
        <v>729</v>
      </c>
      <c r="T15" s="11" t="s">
        <v>729</v>
      </c>
      <c r="U15" s="11" t="s">
        <v>729</v>
      </c>
      <c r="V15" s="12" t="s">
        <v>729</v>
      </c>
    </row>
    <row r="16" ht="18" customHeight="1" spans="1:22">
      <c r="A16" s="19"/>
      <c r="B16" s="20" t="s">
        <v>699</v>
      </c>
      <c r="C16" s="20"/>
      <c r="D16" s="20"/>
      <c r="E16" s="6" t="s">
        <v>729</v>
      </c>
      <c r="F16" s="6" t="s">
        <v>729</v>
      </c>
      <c r="G16" s="6" t="s">
        <v>729</v>
      </c>
      <c r="H16" s="6" t="s">
        <v>729</v>
      </c>
      <c r="I16" s="6" t="s">
        <v>729</v>
      </c>
      <c r="J16" s="6" t="s">
        <v>729</v>
      </c>
      <c r="K16" s="6" t="s">
        <v>729</v>
      </c>
      <c r="L16" s="6" t="s">
        <v>729</v>
      </c>
      <c r="M16" s="6" t="s">
        <v>729</v>
      </c>
      <c r="N16" s="6" t="s">
        <v>729</v>
      </c>
      <c r="O16" s="6" t="s">
        <v>729</v>
      </c>
      <c r="P16" s="6" t="s">
        <v>729</v>
      </c>
      <c r="Q16" s="6" t="s">
        <v>729</v>
      </c>
      <c r="R16" s="6" t="s">
        <v>729</v>
      </c>
      <c r="S16" s="6" t="s">
        <v>729</v>
      </c>
      <c r="T16" s="6" t="s">
        <v>729</v>
      </c>
      <c r="U16" s="6" t="s">
        <v>729</v>
      </c>
      <c r="V16" s="8" t="s">
        <v>729</v>
      </c>
    </row>
    <row r="17" ht="18" customHeight="1" spans="1:22">
      <c r="A17" s="19"/>
      <c r="B17" s="21" t="s">
        <v>700</v>
      </c>
      <c r="C17" s="21"/>
      <c r="D17" s="21"/>
      <c r="E17" s="22" t="s">
        <v>729</v>
      </c>
      <c r="F17" s="22" t="s">
        <v>729</v>
      </c>
      <c r="G17" s="22" t="s">
        <v>729</v>
      </c>
      <c r="H17" s="22" t="s">
        <v>729</v>
      </c>
      <c r="I17" s="22" t="s">
        <v>729</v>
      </c>
      <c r="J17" s="22" t="s">
        <v>729</v>
      </c>
      <c r="K17" s="22" t="s">
        <v>729</v>
      </c>
      <c r="L17" s="22" t="s">
        <v>729</v>
      </c>
      <c r="M17" s="22" t="s">
        <v>729</v>
      </c>
      <c r="N17" s="22" t="s">
        <v>729</v>
      </c>
      <c r="O17" s="22" t="s">
        <v>729</v>
      </c>
      <c r="P17" s="22" t="s">
        <v>729</v>
      </c>
      <c r="Q17" s="22" t="s">
        <v>729</v>
      </c>
      <c r="R17" s="22" t="s">
        <v>729</v>
      </c>
      <c r="S17" s="22" t="s">
        <v>729</v>
      </c>
      <c r="T17" s="22" t="s">
        <v>729</v>
      </c>
      <c r="U17" s="22" t="s">
        <v>729</v>
      </c>
      <c r="V17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4:D14"/>
    <mergeCell ref="B15:D15"/>
    <mergeCell ref="B16:D16"/>
    <mergeCell ref="B17:D17"/>
    <mergeCell ref="A7:A10"/>
    <mergeCell ref="A11:A13"/>
    <mergeCell ref="A14:A17"/>
  </mergeCells>
  <dataValidations count="3">
    <dataValidation type="list" allowBlank="1" sqref="F10:V10 F8:V9 F12:V13">
      <formula1>"O,-"</formula1>
    </dataValidation>
    <dataValidation type="list" allowBlank="1" sqref="F14:V14">
      <formula1>"N,A,B"</formula1>
    </dataValidation>
    <dataValidation type="list" allowBlank="1" sqref="F15:V15">
      <formula1>"P,F"</formula1>
    </dataValidation>
  </dataValidations>
  <pageMargins left="0.7" right="0.7" top="0.75" bottom="0.75" header="0.3" footer="0.3"/>
  <pageSetup paperSize="1" orientation="portrait"/>
  <headerFooter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0"/>
  <sheetViews>
    <sheetView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257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298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1093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4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4</v>
      </c>
      <c r="M5" s="11">
        <v>0</v>
      </c>
      <c r="N5" s="11">
        <v>0</v>
      </c>
      <c r="O5" s="12">
        <v>4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687</v>
      </c>
      <c r="H6" s="14" t="s">
        <v>688</v>
      </c>
      <c r="I6" s="14" t="s">
        <v>689</v>
      </c>
      <c r="J6" s="14" t="s">
        <v>729</v>
      </c>
      <c r="K6" s="14" t="s">
        <v>729</v>
      </c>
      <c r="L6" s="14" t="s">
        <v>729</v>
      </c>
      <c r="M6" s="14" t="s">
        <v>729</v>
      </c>
      <c r="N6" s="14" t="s">
        <v>729</v>
      </c>
      <c r="O6" s="14" t="s">
        <v>729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15.5" customHeight="1" spans="1:22">
      <c r="A7" s="16" t="s">
        <v>690</v>
      </c>
      <c r="B7" s="17" t="s">
        <v>1094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15.5" customHeight="1" spans="1:22">
      <c r="A8" s="16"/>
      <c r="B8" s="6" t="s">
        <v>729</v>
      </c>
      <c r="C8" s="6" t="s">
        <v>729</v>
      </c>
      <c r="D8" s="18" t="s">
        <v>1095</v>
      </c>
      <c r="E8" s="6" t="s">
        <v>729</v>
      </c>
      <c r="F8" s="11" t="s">
        <v>752</v>
      </c>
      <c r="G8" s="11" t="s">
        <v>756</v>
      </c>
      <c r="H8" s="11" t="s">
        <v>756</v>
      </c>
      <c r="I8" s="11" t="s">
        <v>756</v>
      </c>
      <c r="J8" s="11" t="s">
        <v>729</v>
      </c>
      <c r="K8" s="11" t="s">
        <v>729</v>
      </c>
      <c r="L8" s="11" t="s">
        <v>729</v>
      </c>
      <c r="M8" s="11" t="s">
        <v>729</v>
      </c>
      <c r="N8" s="11" t="s">
        <v>729</v>
      </c>
      <c r="O8" s="11" t="s">
        <v>729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28" customHeight="1" spans="1:22">
      <c r="A9" s="16"/>
      <c r="B9" s="6" t="s">
        <v>729</v>
      </c>
      <c r="C9" s="6" t="s">
        <v>729</v>
      </c>
      <c r="D9" s="18" t="s">
        <v>1096</v>
      </c>
      <c r="E9" s="6" t="s">
        <v>729</v>
      </c>
      <c r="F9" s="11" t="s">
        <v>756</v>
      </c>
      <c r="G9" s="11" t="s">
        <v>752</v>
      </c>
      <c r="H9" s="11" t="s">
        <v>756</v>
      </c>
      <c r="I9" s="11" t="s">
        <v>756</v>
      </c>
      <c r="J9" s="11" t="s">
        <v>729</v>
      </c>
      <c r="K9" s="11" t="s">
        <v>729</v>
      </c>
      <c r="L9" s="11" t="s">
        <v>729</v>
      </c>
      <c r="M9" s="11" t="s">
        <v>729</v>
      </c>
      <c r="N9" s="11" t="s">
        <v>729</v>
      </c>
      <c r="O9" s="11" t="s">
        <v>729</v>
      </c>
      <c r="P9" s="11" t="s">
        <v>729</v>
      </c>
      <c r="Q9" s="11" t="s">
        <v>729</v>
      </c>
      <c r="R9" s="11" t="s">
        <v>729</v>
      </c>
      <c r="S9" s="11" t="s">
        <v>729</v>
      </c>
      <c r="T9" s="11" t="s">
        <v>729</v>
      </c>
      <c r="U9" s="11" t="s">
        <v>729</v>
      </c>
      <c r="V9" s="12" t="s">
        <v>729</v>
      </c>
    </row>
    <row r="10" ht="28" customHeight="1" spans="1:22">
      <c r="A10" s="16"/>
      <c r="B10" s="6" t="s">
        <v>729</v>
      </c>
      <c r="C10" s="6" t="s">
        <v>729</v>
      </c>
      <c r="D10" s="18" t="s">
        <v>1097</v>
      </c>
      <c r="E10" s="6" t="s">
        <v>729</v>
      </c>
      <c r="F10" s="11" t="s">
        <v>756</v>
      </c>
      <c r="G10" s="11" t="s">
        <v>756</v>
      </c>
      <c r="H10" s="11" t="s">
        <v>752</v>
      </c>
      <c r="I10" s="11" t="s">
        <v>756</v>
      </c>
      <c r="J10" s="11" t="s">
        <v>729</v>
      </c>
      <c r="K10" s="11" t="s">
        <v>729</v>
      </c>
      <c r="L10" s="11" t="s">
        <v>729</v>
      </c>
      <c r="M10" s="11" t="s">
        <v>729</v>
      </c>
      <c r="N10" s="11" t="s">
        <v>729</v>
      </c>
      <c r="O10" s="11" t="s">
        <v>729</v>
      </c>
      <c r="P10" s="11" t="s">
        <v>729</v>
      </c>
      <c r="Q10" s="11" t="s">
        <v>729</v>
      </c>
      <c r="R10" s="11" t="s">
        <v>729</v>
      </c>
      <c r="S10" s="11" t="s">
        <v>729</v>
      </c>
      <c r="T10" s="11" t="s">
        <v>729</v>
      </c>
      <c r="U10" s="11" t="s">
        <v>729</v>
      </c>
      <c r="V10" s="12" t="s">
        <v>729</v>
      </c>
    </row>
    <row r="11" ht="28" customHeight="1" spans="1:22">
      <c r="A11" s="16"/>
      <c r="B11" s="6" t="s">
        <v>729</v>
      </c>
      <c r="C11" s="6" t="s">
        <v>729</v>
      </c>
      <c r="D11" s="18" t="s">
        <v>1098</v>
      </c>
      <c r="E11" s="6" t="s">
        <v>729</v>
      </c>
      <c r="F11" s="11" t="s">
        <v>756</v>
      </c>
      <c r="G11" s="11" t="s">
        <v>756</v>
      </c>
      <c r="H11" s="11" t="s">
        <v>756</v>
      </c>
      <c r="I11" s="11" t="s">
        <v>752</v>
      </c>
      <c r="J11" s="11" t="s">
        <v>729</v>
      </c>
      <c r="K11" s="11" t="s">
        <v>729</v>
      </c>
      <c r="L11" s="11" t="s">
        <v>729</v>
      </c>
      <c r="M11" s="11" t="s">
        <v>729</v>
      </c>
      <c r="N11" s="11" t="s">
        <v>729</v>
      </c>
      <c r="O11" s="11" t="s">
        <v>729</v>
      </c>
      <c r="P11" s="11" t="s">
        <v>729</v>
      </c>
      <c r="Q11" s="11" t="s">
        <v>729</v>
      </c>
      <c r="R11" s="11" t="s">
        <v>729</v>
      </c>
      <c r="S11" s="11" t="s">
        <v>729</v>
      </c>
      <c r="T11" s="11" t="s">
        <v>729</v>
      </c>
      <c r="U11" s="11" t="s">
        <v>729</v>
      </c>
      <c r="V11" s="12" t="s">
        <v>729</v>
      </c>
    </row>
    <row r="12" ht="15.5" customHeight="1" spans="1:22">
      <c r="A12" s="16" t="s">
        <v>692</v>
      </c>
      <c r="B12" s="17" t="s">
        <v>693</v>
      </c>
      <c r="C12" s="6" t="s">
        <v>729</v>
      </c>
      <c r="D12" s="6" t="s">
        <v>729</v>
      </c>
      <c r="E12" s="6" t="s">
        <v>729</v>
      </c>
      <c r="F12" s="6" t="s">
        <v>729</v>
      </c>
      <c r="G12" s="6" t="s">
        <v>729</v>
      </c>
      <c r="H12" s="6" t="s">
        <v>729</v>
      </c>
      <c r="I12" s="6" t="s">
        <v>729</v>
      </c>
      <c r="J12" s="6" t="s">
        <v>729</v>
      </c>
      <c r="K12" s="6" t="s">
        <v>729</v>
      </c>
      <c r="L12" s="6" t="s">
        <v>729</v>
      </c>
      <c r="M12" s="6" t="s">
        <v>729</v>
      </c>
      <c r="N12" s="6" t="s">
        <v>729</v>
      </c>
      <c r="O12" s="6" t="s">
        <v>729</v>
      </c>
      <c r="P12" s="6" t="s">
        <v>729</v>
      </c>
      <c r="Q12" s="6" t="s">
        <v>729</v>
      </c>
      <c r="R12" s="6" t="s">
        <v>729</v>
      </c>
      <c r="S12" s="6" t="s">
        <v>729</v>
      </c>
      <c r="T12" s="6" t="s">
        <v>729</v>
      </c>
      <c r="U12" s="6" t="s">
        <v>729</v>
      </c>
      <c r="V12" s="8" t="s">
        <v>729</v>
      </c>
    </row>
    <row r="13" ht="90.5" customHeight="1" spans="1:22">
      <c r="A13" s="16"/>
      <c r="B13" s="6" t="s">
        <v>729</v>
      </c>
      <c r="C13" s="6" t="s">
        <v>729</v>
      </c>
      <c r="D13" s="18" t="s">
        <v>1099</v>
      </c>
      <c r="E13" s="6" t="s">
        <v>729</v>
      </c>
      <c r="F13" s="11" t="s">
        <v>752</v>
      </c>
      <c r="G13" s="11" t="s">
        <v>756</v>
      </c>
      <c r="H13" s="11" t="s">
        <v>756</v>
      </c>
      <c r="I13" s="11" t="s">
        <v>756</v>
      </c>
      <c r="J13" s="11" t="s">
        <v>729</v>
      </c>
      <c r="K13" s="11" t="s">
        <v>729</v>
      </c>
      <c r="L13" s="11" t="s">
        <v>729</v>
      </c>
      <c r="M13" s="11" t="s">
        <v>729</v>
      </c>
      <c r="N13" s="11" t="s">
        <v>729</v>
      </c>
      <c r="O13" s="11" t="s">
        <v>729</v>
      </c>
      <c r="P13" s="11" t="s">
        <v>729</v>
      </c>
      <c r="Q13" s="11" t="s">
        <v>729</v>
      </c>
      <c r="R13" s="11" t="s">
        <v>729</v>
      </c>
      <c r="S13" s="11" t="s">
        <v>729</v>
      </c>
      <c r="T13" s="11" t="s">
        <v>729</v>
      </c>
      <c r="U13" s="11" t="s">
        <v>729</v>
      </c>
      <c r="V13" s="12" t="s">
        <v>729</v>
      </c>
    </row>
    <row r="14" ht="78" customHeight="1" spans="1:22">
      <c r="A14" s="16"/>
      <c r="B14" s="6" t="s">
        <v>729</v>
      </c>
      <c r="C14" s="6" t="s">
        <v>729</v>
      </c>
      <c r="D14" s="18" t="s">
        <v>1100</v>
      </c>
      <c r="E14" s="6" t="s">
        <v>729</v>
      </c>
      <c r="F14" s="11" t="s">
        <v>756</v>
      </c>
      <c r="G14" s="11" t="s">
        <v>752</v>
      </c>
      <c r="H14" s="11" t="s">
        <v>756</v>
      </c>
      <c r="I14" s="11" t="s">
        <v>756</v>
      </c>
      <c r="J14" s="11" t="s">
        <v>729</v>
      </c>
      <c r="K14" s="11" t="s">
        <v>729</v>
      </c>
      <c r="L14" s="11" t="s">
        <v>729</v>
      </c>
      <c r="M14" s="11" t="s">
        <v>729</v>
      </c>
      <c r="N14" s="11" t="s">
        <v>729</v>
      </c>
      <c r="O14" s="11" t="s">
        <v>729</v>
      </c>
      <c r="P14" s="11" t="s">
        <v>729</v>
      </c>
      <c r="Q14" s="11" t="s">
        <v>729</v>
      </c>
      <c r="R14" s="11" t="s">
        <v>729</v>
      </c>
      <c r="S14" s="11" t="s">
        <v>729</v>
      </c>
      <c r="T14" s="11" t="s">
        <v>729</v>
      </c>
      <c r="U14" s="11" t="s">
        <v>729</v>
      </c>
      <c r="V14" s="12" t="s">
        <v>729</v>
      </c>
    </row>
    <row r="15" ht="40.5" customHeight="1" spans="1:22">
      <c r="A15" s="16"/>
      <c r="B15" s="6" t="s">
        <v>729</v>
      </c>
      <c r="C15" s="6" t="s">
        <v>729</v>
      </c>
      <c r="D15" s="18" t="s">
        <v>1101</v>
      </c>
      <c r="E15" s="6" t="s">
        <v>729</v>
      </c>
      <c r="F15" s="11" t="s">
        <v>756</v>
      </c>
      <c r="G15" s="11" t="s">
        <v>756</v>
      </c>
      <c r="H15" s="11" t="s">
        <v>752</v>
      </c>
      <c r="I15" s="11" t="s">
        <v>756</v>
      </c>
      <c r="J15" s="11" t="s">
        <v>729</v>
      </c>
      <c r="K15" s="11" t="s">
        <v>729</v>
      </c>
      <c r="L15" s="11" t="s">
        <v>729</v>
      </c>
      <c r="M15" s="11" t="s">
        <v>729</v>
      </c>
      <c r="N15" s="11" t="s">
        <v>729</v>
      </c>
      <c r="O15" s="11" t="s">
        <v>729</v>
      </c>
      <c r="P15" s="11" t="s">
        <v>729</v>
      </c>
      <c r="Q15" s="11" t="s">
        <v>729</v>
      </c>
      <c r="R15" s="11" t="s">
        <v>729</v>
      </c>
      <c r="S15" s="11" t="s">
        <v>729</v>
      </c>
      <c r="T15" s="11" t="s">
        <v>729</v>
      </c>
      <c r="U15" s="11" t="s">
        <v>729</v>
      </c>
      <c r="V15" s="12" t="s">
        <v>729</v>
      </c>
    </row>
    <row r="16" ht="65.5" customHeight="1" spans="1:22">
      <c r="A16" s="16"/>
      <c r="B16" s="6" t="s">
        <v>729</v>
      </c>
      <c r="C16" s="6" t="s">
        <v>729</v>
      </c>
      <c r="D16" s="18" t="s">
        <v>1102</v>
      </c>
      <c r="E16" s="6" t="s">
        <v>729</v>
      </c>
      <c r="F16" s="11" t="s">
        <v>756</v>
      </c>
      <c r="G16" s="11" t="s">
        <v>756</v>
      </c>
      <c r="H16" s="11" t="s">
        <v>756</v>
      </c>
      <c r="I16" s="11" t="s">
        <v>752</v>
      </c>
      <c r="J16" s="11" t="s">
        <v>729</v>
      </c>
      <c r="K16" s="11" t="s">
        <v>729</v>
      </c>
      <c r="L16" s="11" t="s">
        <v>729</v>
      </c>
      <c r="M16" s="11" t="s">
        <v>729</v>
      </c>
      <c r="N16" s="11" t="s">
        <v>729</v>
      </c>
      <c r="O16" s="11" t="s">
        <v>729</v>
      </c>
      <c r="P16" s="11" t="s">
        <v>729</v>
      </c>
      <c r="Q16" s="11" t="s">
        <v>729</v>
      </c>
      <c r="R16" s="11" t="s">
        <v>729</v>
      </c>
      <c r="S16" s="11" t="s">
        <v>729</v>
      </c>
      <c r="T16" s="11" t="s">
        <v>729</v>
      </c>
      <c r="U16" s="11" t="s">
        <v>729</v>
      </c>
      <c r="V16" s="12" t="s">
        <v>729</v>
      </c>
    </row>
    <row r="17" ht="18" customHeight="1" spans="1:22">
      <c r="A17" s="19" t="s">
        <v>696</v>
      </c>
      <c r="B17" s="20" t="s">
        <v>765</v>
      </c>
      <c r="C17" s="20"/>
      <c r="D17" s="20"/>
      <c r="E17" s="6" t="s">
        <v>729</v>
      </c>
      <c r="F17" s="11" t="s">
        <v>670</v>
      </c>
      <c r="G17" s="11" t="s">
        <v>670</v>
      </c>
      <c r="H17" s="11" t="s">
        <v>670</v>
      </c>
      <c r="I17" s="11" t="s">
        <v>670</v>
      </c>
      <c r="J17" s="11" t="s">
        <v>729</v>
      </c>
      <c r="K17" s="11" t="s">
        <v>729</v>
      </c>
      <c r="L17" s="11" t="s">
        <v>729</v>
      </c>
      <c r="M17" s="11" t="s">
        <v>729</v>
      </c>
      <c r="N17" s="11" t="s">
        <v>729</v>
      </c>
      <c r="O17" s="11" t="s">
        <v>729</v>
      </c>
      <c r="P17" s="11" t="s">
        <v>729</v>
      </c>
      <c r="Q17" s="11" t="s">
        <v>729</v>
      </c>
      <c r="R17" s="11" t="s">
        <v>729</v>
      </c>
      <c r="S17" s="11" t="s">
        <v>729</v>
      </c>
      <c r="T17" s="11" t="s">
        <v>729</v>
      </c>
      <c r="U17" s="11" t="s">
        <v>729</v>
      </c>
      <c r="V17" s="12" t="s">
        <v>729</v>
      </c>
    </row>
    <row r="18" ht="18" customHeight="1" spans="1:22">
      <c r="A18" s="19"/>
      <c r="B18" s="20" t="s">
        <v>698</v>
      </c>
      <c r="C18" s="20"/>
      <c r="D18" s="20"/>
      <c r="E18" s="6" t="s">
        <v>729</v>
      </c>
      <c r="F18" s="11" t="s">
        <v>766</v>
      </c>
      <c r="G18" s="11" t="s">
        <v>766</v>
      </c>
      <c r="H18" s="11" t="s">
        <v>766</v>
      </c>
      <c r="I18" s="11" t="s">
        <v>766</v>
      </c>
      <c r="J18" s="11" t="s">
        <v>729</v>
      </c>
      <c r="K18" s="11" t="s">
        <v>729</v>
      </c>
      <c r="L18" s="11" t="s">
        <v>729</v>
      </c>
      <c r="M18" s="11" t="s">
        <v>729</v>
      </c>
      <c r="N18" s="11" t="s">
        <v>729</v>
      </c>
      <c r="O18" s="11" t="s">
        <v>729</v>
      </c>
      <c r="P18" s="11" t="s">
        <v>729</v>
      </c>
      <c r="Q18" s="11" t="s">
        <v>729</v>
      </c>
      <c r="R18" s="11" t="s">
        <v>729</v>
      </c>
      <c r="S18" s="11" t="s">
        <v>729</v>
      </c>
      <c r="T18" s="11" t="s">
        <v>729</v>
      </c>
      <c r="U18" s="11" t="s">
        <v>729</v>
      </c>
      <c r="V18" s="12" t="s">
        <v>729</v>
      </c>
    </row>
    <row r="19" ht="18" customHeight="1" spans="1:22">
      <c r="A19" s="19"/>
      <c r="B19" s="20" t="s">
        <v>699</v>
      </c>
      <c r="C19" s="20"/>
      <c r="D19" s="20"/>
      <c r="E19" s="6" t="s">
        <v>729</v>
      </c>
      <c r="F19" s="6" t="s">
        <v>729</v>
      </c>
      <c r="G19" s="6" t="s">
        <v>729</v>
      </c>
      <c r="H19" s="6" t="s">
        <v>729</v>
      </c>
      <c r="I19" s="6" t="s">
        <v>729</v>
      </c>
      <c r="J19" s="6" t="s">
        <v>729</v>
      </c>
      <c r="K19" s="6" t="s">
        <v>729</v>
      </c>
      <c r="L19" s="6" t="s">
        <v>729</v>
      </c>
      <c r="M19" s="6" t="s">
        <v>729</v>
      </c>
      <c r="N19" s="6" t="s">
        <v>729</v>
      </c>
      <c r="O19" s="6" t="s">
        <v>729</v>
      </c>
      <c r="P19" s="6" t="s">
        <v>729</v>
      </c>
      <c r="Q19" s="6" t="s">
        <v>729</v>
      </c>
      <c r="R19" s="6" t="s">
        <v>729</v>
      </c>
      <c r="S19" s="6" t="s">
        <v>729</v>
      </c>
      <c r="T19" s="6" t="s">
        <v>729</v>
      </c>
      <c r="U19" s="6" t="s">
        <v>729</v>
      </c>
      <c r="V19" s="8" t="s">
        <v>729</v>
      </c>
    </row>
    <row r="20" ht="18" customHeight="1" spans="1:22">
      <c r="A20" s="19"/>
      <c r="B20" s="21" t="s">
        <v>700</v>
      </c>
      <c r="C20" s="21"/>
      <c r="D20" s="21"/>
      <c r="E20" s="22" t="s">
        <v>729</v>
      </c>
      <c r="F20" s="22" t="s">
        <v>729</v>
      </c>
      <c r="G20" s="22" t="s">
        <v>729</v>
      </c>
      <c r="H20" s="22" t="s">
        <v>729</v>
      </c>
      <c r="I20" s="22" t="s">
        <v>729</v>
      </c>
      <c r="J20" s="22" t="s">
        <v>729</v>
      </c>
      <c r="K20" s="22" t="s">
        <v>729</v>
      </c>
      <c r="L20" s="22" t="s">
        <v>729</v>
      </c>
      <c r="M20" s="22" t="s">
        <v>729</v>
      </c>
      <c r="N20" s="22" t="s">
        <v>729</v>
      </c>
      <c r="O20" s="22" t="s">
        <v>729</v>
      </c>
      <c r="P20" s="22" t="s">
        <v>729</v>
      </c>
      <c r="Q20" s="22" t="s">
        <v>729</v>
      </c>
      <c r="R20" s="22" t="s">
        <v>729</v>
      </c>
      <c r="S20" s="22" t="s">
        <v>729</v>
      </c>
      <c r="T20" s="22" t="s">
        <v>729</v>
      </c>
      <c r="U20" s="22" t="s">
        <v>729</v>
      </c>
      <c r="V20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7:D17"/>
    <mergeCell ref="B18:D18"/>
    <mergeCell ref="B19:D19"/>
    <mergeCell ref="B20:D20"/>
    <mergeCell ref="A7:A11"/>
    <mergeCell ref="A12:A16"/>
    <mergeCell ref="A17:A20"/>
  </mergeCells>
  <dataValidations count="3">
    <dataValidation type="list" allowBlank="1" sqref="F17:V17">
      <formula1>"N,A,B"</formula1>
    </dataValidation>
    <dataValidation type="list" allowBlank="1" sqref="F18:V18">
      <formula1>"P,F"</formula1>
    </dataValidation>
    <dataValidation type="list" allowBlank="1" sqref="F8:V9 F10:V11 F13:V16">
      <formula1>"O,-"</formula1>
    </dataValidation>
  </dataValidations>
  <pageMargins left="0.7" right="0.7" top="0.75" bottom="0.75" header="0.3" footer="0.3"/>
  <pageSetup paperSize="1" orientation="portrait"/>
  <headerFooter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1"/>
  <sheetViews>
    <sheetView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257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303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1103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5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2</v>
      </c>
      <c r="M5" s="11">
        <v>3</v>
      </c>
      <c r="N5" s="11">
        <v>0</v>
      </c>
      <c r="O5" s="12">
        <v>5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687</v>
      </c>
      <c r="H6" s="14" t="s">
        <v>688</v>
      </c>
      <c r="I6" s="14" t="s">
        <v>689</v>
      </c>
      <c r="J6" s="14" t="s">
        <v>863</v>
      </c>
      <c r="K6" s="14" t="s">
        <v>729</v>
      </c>
      <c r="L6" s="14" t="s">
        <v>729</v>
      </c>
      <c r="M6" s="14" t="s">
        <v>729</v>
      </c>
      <c r="N6" s="14" t="s">
        <v>729</v>
      </c>
      <c r="O6" s="14" t="s">
        <v>729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28" customHeight="1" spans="1:22">
      <c r="A7" s="16" t="s">
        <v>690</v>
      </c>
      <c r="B7" s="17" t="s">
        <v>1104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53" customHeight="1" spans="1:22">
      <c r="A8" s="16"/>
      <c r="B8" s="6" t="s">
        <v>729</v>
      </c>
      <c r="C8" s="6" t="s">
        <v>729</v>
      </c>
      <c r="D8" s="18" t="s">
        <v>1105</v>
      </c>
      <c r="E8" s="6" t="s">
        <v>729</v>
      </c>
      <c r="F8" s="11" t="s">
        <v>752</v>
      </c>
      <c r="G8" s="11" t="s">
        <v>756</v>
      </c>
      <c r="H8" s="11" t="s">
        <v>756</v>
      </c>
      <c r="I8" s="11" t="s">
        <v>756</v>
      </c>
      <c r="J8" s="11" t="s">
        <v>756</v>
      </c>
      <c r="K8" s="11" t="s">
        <v>729</v>
      </c>
      <c r="L8" s="11" t="s">
        <v>729</v>
      </c>
      <c r="M8" s="11" t="s">
        <v>729</v>
      </c>
      <c r="N8" s="11" t="s">
        <v>729</v>
      </c>
      <c r="O8" s="11" t="s">
        <v>729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40.5" customHeight="1" spans="1:22">
      <c r="A9" s="16"/>
      <c r="B9" s="6" t="s">
        <v>729</v>
      </c>
      <c r="C9" s="6" t="s">
        <v>729</v>
      </c>
      <c r="D9" s="18" t="s">
        <v>1106</v>
      </c>
      <c r="E9" s="6" t="s">
        <v>729</v>
      </c>
      <c r="F9" s="11" t="s">
        <v>756</v>
      </c>
      <c r="G9" s="11" t="s">
        <v>752</v>
      </c>
      <c r="H9" s="11" t="s">
        <v>756</v>
      </c>
      <c r="I9" s="11" t="s">
        <v>756</v>
      </c>
      <c r="J9" s="11" t="s">
        <v>756</v>
      </c>
      <c r="K9" s="11" t="s">
        <v>729</v>
      </c>
      <c r="L9" s="11" t="s">
        <v>729</v>
      </c>
      <c r="M9" s="11" t="s">
        <v>729</v>
      </c>
      <c r="N9" s="11" t="s">
        <v>729</v>
      </c>
      <c r="O9" s="11" t="s">
        <v>729</v>
      </c>
      <c r="P9" s="11" t="s">
        <v>729</v>
      </c>
      <c r="Q9" s="11" t="s">
        <v>729</v>
      </c>
      <c r="R9" s="11" t="s">
        <v>729</v>
      </c>
      <c r="S9" s="11" t="s">
        <v>729</v>
      </c>
      <c r="T9" s="11" t="s">
        <v>729</v>
      </c>
      <c r="U9" s="11" t="s">
        <v>729</v>
      </c>
      <c r="V9" s="12" t="s">
        <v>729</v>
      </c>
    </row>
    <row r="10" ht="53" customHeight="1" spans="1:22">
      <c r="A10" s="16"/>
      <c r="B10" s="6" t="s">
        <v>729</v>
      </c>
      <c r="C10" s="6" t="s">
        <v>729</v>
      </c>
      <c r="D10" s="18" t="s">
        <v>1107</v>
      </c>
      <c r="E10" s="6" t="s">
        <v>729</v>
      </c>
      <c r="F10" s="11" t="s">
        <v>756</v>
      </c>
      <c r="G10" s="11" t="s">
        <v>756</v>
      </c>
      <c r="H10" s="11" t="s">
        <v>752</v>
      </c>
      <c r="I10" s="11" t="s">
        <v>756</v>
      </c>
      <c r="J10" s="11" t="s">
        <v>756</v>
      </c>
      <c r="K10" s="11" t="s">
        <v>729</v>
      </c>
      <c r="L10" s="11" t="s">
        <v>729</v>
      </c>
      <c r="M10" s="11" t="s">
        <v>729</v>
      </c>
      <c r="N10" s="11" t="s">
        <v>729</v>
      </c>
      <c r="O10" s="11" t="s">
        <v>729</v>
      </c>
      <c r="P10" s="11" t="s">
        <v>729</v>
      </c>
      <c r="Q10" s="11" t="s">
        <v>729</v>
      </c>
      <c r="R10" s="11" t="s">
        <v>729</v>
      </c>
      <c r="S10" s="11" t="s">
        <v>729</v>
      </c>
      <c r="T10" s="11" t="s">
        <v>729</v>
      </c>
      <c r="U10" s="11" t="s">
        <v>729</v>
      </c>
      <c r="V10" s="12" t="s">
        <v>729</v>
      </c>
    </row>
    <row r="11" ht="65.5" customHeight="1" spans="1:22">
      <c r="A11" s="16"/>
      <c r="B11" s="6" t="s">
        <v>729</v>
      </c>
      <c r="C11" s="6" t="s">
        <v>729</v>
      </c>
      <c r="D11" s="18" t="s">
        <v>1108</v>
      </c>
      <c r="E11" s="6" t="s">
        <v>729</v>
      </c>
      <c r="F11" s="11" t="s">
        <v>756</v>
      </c>
      <c r="G11" s="11" t="s">
        <v>756</v>
      </c>
      <c r="H11" s="11" t="s">
        <v>756</v>
      </c>
      <c r="I11" s="11" t="s">
        <v>752</v>
      </c>
      <c r="J11" s="11" t="s">
        <v>756</v>
      </c>
      <c r="K11" s="11" t="s">
        <v>729</v>
      </c>
      <c r="L11" s="11" t="s">
        <v>729</v>
      </c>
      <c r="M11" s="11" t="s">
        <v>729</v>
      </c>
      <c r="N11" s="11" t="s">
        <v>729</v>
      </c>
      <c r="O11" s="11" t="s">
        <v>729</v>
      </c>
      <c r="P11" s="11" t="s">
        <v>729</v>
      </c>
      <c r="Q11" s="11" t="s">
        <v>729</v>
      </c>
      <c r="R11" s="11" t="s">
        <v>729</v>
      </c>
      <c r="S11" s="11" t="s">
        <v>729</v>
      </c>
      <c r="T11" s="11" t="s">
        <v>729</v>
      </c>
      <c r="U11" s="11" t="s">
        <v>729</v>
      </c>
      <c r="V11" s="12" t="s">
        <v>729</v>
      </c>
    </row>
    <row r="12" ht="53" customHeight="1" spans="1:22">
      <c r="A12" s="16"/>
      <c r="B12" s="6" t="s">
        <v>729</v>
      </c>
      <c r="C12" s="6" t="s">
        <v>729</v>
      </c>
      <c r="D12" s="18" t="s">
        <v>1109</v>
      </c>
      <c r="E12" s="6" t="s">
        <v>729</v>
      </c>
      <c r="F12" s="11" t="s">
        <v>756</v>
      </c>
      <c r="G12" s="11" t="s">
        <v>756</v>
      </c>
      <c r="H12" s="11" t="s">
        <v>756</v>
      </c>
      <c r="I12" s="11" t="s">
        <v>756</v>
      </c>
      <c r="J12" s="11" t="s">
        <v>752</v>
      </c>
      <c r="K12" s="11" t="s">
        <v>729</v>
      </c>
      <c r="L12" s="11" t="s">
        <v>729</v>
      </c>
      <c r="M12" s="11" t="s">
        <v>729</v>
      </c>
      <c r="N12" s="11" t="s">
        <v>729</v>
      </c>
      <c r="O12" s="11" t="s">
        <v>729</v>
      </c>
      <c r="P12" s="11" t="s">
        <v>729</v>
      </c>
      <c r="Q12" s="11" t="s">
        <v>729</v>
      </c>
      <c r="R12" s="11" t="s">
        <v>729</v>
      </c>
      <c r="S12" s="11" t="s">
        <v>729</v>
      </c>
      <c r="T12" s="11" t="s">
        <v>729</v>
      </c>
      <c r="U12" s="11" t="s">
        <v>729</v>
      </c>
      <c r="V12" s="12" t="s">
        <v>729</v>
      </c>
    </row>
    <row r="13" ht="15.5" customHeight="1" spans="1:22">
      <c r="A13" s="16" t="s">
        <v>692</v>
      </c>
      <c r="B13" s="17" t="s">
        <v>693</v>
      </c>
      <c r="C13" s="6" t="s">
        <v>729</v>
      </c>
      <c r="D13" s="6" t="s">
        <v>729</v>
      </c>
      <c r="E13" s="6" t="s">
        <v>729</v>
      </c>
      <c r="F13" s="6" t="s">
        <v>729</v>
      </c>
      <c r="G13" s="6" t="s">
        <v>729</v>
      </c>
      <c r="H13" s="6" t="s">
        <v>729</v>
      </c>
      <c r="I13" s="6" t="s">
        <v>729</v>
      </c>
      <c r="J13" s="6" t="s">
        <v>729</v>
      </c>
      <c r="K13" s="6" t="s">
        <v>729</v>
      </c>
      <c r="L13" s="6" t="s">
        <v>729</v>
      </c>
      <c r="M13" s="6" t="s">
        <v>729</v>
      </c>
      <c r="N13" s="6" t="s">
        <v>729</v>
      </c>
      <c r="O13" s="6" t="s">
        <v>729</v>
      </c>
      <c r="P13" s="6" t="s">
        <v>729</v>
      </c>
      <c r="Q13" s="6" t="s">
        <v>729</v>
      </c>
      <c r="R13" s="6" t="s">
        <v>729</v>
      </c>
      <c r="S13" s="6" t="s">
        <v>729</v>
      </c>
      <c r="T13" s="6" t="s">
        <v>729</v>
      </c>
      <c r="U13" s="6" t="s">
        <v>729</v>
      </c>
      <c r="V13" s="8" t="s">
        <v>729</v>
      </c>
    </row>
    <row r="14" ht="78" customHeight="1" spans="1:22">
      <c r="A14" s="16"/>
      <c r="B14" s="6" t="s">
        <v>729</v>
      </c>
      <c r="C14" s="6" t="s">
        <v>729</v>
      </c>
      <c r="D14" s="18" t="s">
        <v>1110</v>
      </c>
      <c r="E14" s="6" t="s">
        <v>729</v>
      </c>
      <c r="F14" s="11" t="s">
        <v>752</v>
      </c>
      <c r="G14" s="11" t="s">
        <v>756</v>
      </c>
      <c r="H14" s="11" t="s">
        <v>756</v>
      </c>
      <c r="I14" s="11" t="s">
        <v>756</v>
      </c>
      <c r="J14" s="11" t="s">
        <v>756</v>
      </c>
      <c r="K14" s="11" t="s">
        <v>729</v>
      </c>
      <c r="L14" s="11" t="s">
        <v>729</v>
      </c>
      <c r="M14" s="11" t="s">
        <v>729</v>
      </c>
      <c r="N14" s="11" t="s">
        <v>729</v>
      </c>
      <c r="O14" s="11" t="s">
        <v>729</v>
      </c>
      <c r="P14" s="11" t="s">
        <v>729</v>
      </c>
      <c r="Q14" s="11" t="s">
        <v>729</v>
      </c>
      <c r="R14" s="11" t="s">
        <v>729</v>
      </c>
      <c r="S14" s="11" t="s">
        <v>729</v>
      </c>
      <c r="T14" s="11" t="s">
        <v>729</v>
      </c>
      <c r="U14" s="11" t="s">
        <v>729</v>
      </c>
      <c r="V14" s="12" t="s">
        <v>729</v>
      </c>
    </row>
    <row r="15" ht="53" customHeight="1" spans="1:22">
      <c r="A15" s="16"/>
      <c r="B15" s="6" t="s">
        <v>729</v>
      </c>
      <c r="C15" s="6" t="s">
        <v>729</v>
      </c>
      <c r="D15" s="18" t="s">
        <v>1111</v>
      </c>
      <c r="E15" s="6" t="s">
        <v>729</v>
      </c>
      <c r="F15" s="11" t="s">
        <v>756</v>
      </c>
      <c r="G15" s="11" t="s">
        <v>752</v>
      </c>
      <c r="H15" s="11" t="s">
        <v>752</v>
      </c>
      <c r="I15" s="11" t="s">
        <v>756</v>
      </c>
      <c r="J15" s="11" t="s">
        <v>756</v>
      </c>
      <c r="K15" s="11" t="s">
        <v>729</v>
      </c>
      <c r="L15" s="11" t="s">
        <v>729</v>
      </c>
      <c r="M15" s="11" t="s">
        <v>729</v>
      </c>
      <c r="N15" s="11" t="s">
        <v>729</v>
      </c>
      <c r="O15" s="11" t="s">
        <v>729</v>
      </c>
      <c r="P15" s="11" t="s">
        <v>729</v>
      </c>
      <c r="Q15" s="11" t="s">
        <v>729</v>
      </c>
      <c r="R15" s="11" t="s">
        <v>729</v>
      </c>
      <c r="S15" s="11" t="s">
        <v>729</v>
      </c>
      <c r="T15" s="11" t="s">
        <v>729</v>
      </c>
      <c r="U15" s="11" t="s">
        <v>729</v>
      </c>
      <c r="V15" s="12" t="s">
        <v>729</v>
      </c>
    </row>
    <row r="16" ht="65.5" customHeight="1" spans="1:22">
      <c r="A16" s="16"/>
      <c r="B16" s="6" t="s">
        <v>729</v>
      </c>
      <c r="C16" s="6" t="s">
        <v>729</v>
      </c>
      <c r="D16" s="18" t="s">
        <v>1112</v>
      </c>
      <c r="E16" s="6" t="s">
        <v>729</v>
      </c>
      <c r="F16" s="11" t="s">
        <v>756</v>
      </c>
      <c r="G16" s="11" t="s">
        <v>756</v>
      </c>
      <c r="H16" s="11" t="s">
        <v>756</v>
      </c>
      <c r="I16" s="11" t="s">
        <v>752</v>
      </c>
      <c r="J16" s="11" t="s">
        <v>756</v>
      </c>
      <c r="K16" s="11" t="s">
        <v>729</v>
      </c>
      <c r="L16" s="11" t="s">
        <v>729</v>
      </c>
      <c r="M16" s="11" t="s">
        <v>729</v>
      </c>
      <c r="N16" s="11" t="s">
        <v>729</v>
      </c>
      <c r="O16" s="11" t="s">
        <v>729</v>
      </c>
      <c r="P16" s="11" t="s">
        <v>729</v>
      </c>
      <c r="Q16" s="11" t="s">
        <v>729</v>
      </c>
      <c r="R16" s="11" t="s">
        <v>729</v>
      </c>
      <c r="S16" s="11" t="s">
        <v>729</v>
      </c>
      <c r="T16" s="11" t="s">
        <v>729</v>
      </c>
      <c r="U16" s="11" t="s">
        <v>729</v>
      </c>
      <c r="V16" s="12" t="s">
        <v>729</v>
      </c>
    </row>
    <row r="17" ht="78" customHeight="1" spans="1:22">
      <c r="A17" s="16"/>
      <c r="B17" s="6" t="s">
        <v>729</v>
      </c>
      <c r="C17" s="6" t="s">
        <v>729</v>
      </c>
      <c r="D17" s="18" t="s">
        <v>1113</v>
      </c>
      <c r="E17" s="6" t="s">
        <v>729</v>
      </c>
      <c r="F17" s="11" t="s">
        <v>756</v>
      </c>
      <c r="G17" s="11" t="s">
        <v>756</v>
      </c>
      <c r="H17" s="11" t="s">
        <v>756</v>
      </c>
      <c r="I17" s="11" t="s">
        <v>756</v>
      </c>
      <c r="J17" s="11" t="s">
        <v>752</v>
      </c>
      <c r="K17" s="11" t="s">
        <v>729</v>
      </c>
      <c r="L17" s="11" t="s">
        <v>729</v>
      </c>
      <c r="M17" s="11" t="s">
        <v>729</v>
      </c>
      <c r="N17" s="11" t="s">
        <v>729</v>
      </c>
      <c r="O17" s="11" t="s">
        <v>729</v>
      </c>
      <c r="P17" s="11" t="s">
        <v>729</v>
      </c>
      <c r="Q17" s="11" t="s">
        <v>729</v>
      </c>
      <c r="R17" s="11" t="s">
        <v>729</v>
      </c>
      <c r="S17" s="11" t="s">
        <v>729</v>
      </c>
      <c r="T17" s="11" t="s">
        <v>729</v>
      </c>
      <c r="U17" s="11" t="s">
        <v>729</v>
      </c>
      <c r="V17" s="12" t="s">
        <v>729</v>
      </c>
    </row>
    <row r="18" ht="18" customHeight="1" spans="1:22">
      <c r="A18" s="19" t="s">
        <v>696</v>
      </c>
      <c r="B18" s="20" t="s">
        <v>765</v>
      </c>
      <c r="C18" s="20"/>
      <c r="D18" s="20"/>
      <c r="E18" s="6" t="s">
        <v>729</v>
      </c>
      <c r="F18" s="11" t="s">
        <v>63</v>
      </c>
      <c r="G18" s="11" t="s">
        <v>670</v>
      </c>
      <c r="H18" s="11" t="s">
        <v>670</v>
      </c>
      <c r="I18" s="11" t="s">
        <v>63</v>
      </c>
      <c r="J18" s="11" t="s">
        <v>63</v>
      </c>
      <c r="K18" s="11" t="s">
        <v>729</v>
      </c>
      <c r="L18" s="11" t="s">
        <v>729</v>
      </c>
      <c r="M18" s="11" t="s">
        <v>729</v>
      </c>
      <c r="N18" s="11" t="s">
        <v>729</v>
      </c>
      <c r="O18" s="11" t="s">
        <v>729</v>
      </c>
      <c r="P18" s="11" t="s">
        <v>729</v>
      </c>
      <c r="Q18" s="11" t="s">
        <v>729</v>
      </c>
      <c r="R18" s="11" t="s">
        <v>729</v>
      </c>
      <c r="S18" s="11" t="s">
        <v>729</v>
      </c>
      <c r="T18" s="11" t="s">
        <v>729</v>
      </c>
      <c r="U18" s="11" t="s">
        <v>729</v>
      </c>
      <c r="V18" s="12" t="s">
        <v>729</v>
      </c>
    </row>
    <row r="19" ht="18" customHeight="1" spans="1:22">
      <c r="A19" s="19"/>
      <c r="B19" s="20" t="s">
        <v>698</v>
      </c>
      <c r="C19" s="20"/>
      <c r="D19" s="20"/>
      <c r="E19" s="6" t="s">
        <v>729</v>
      </c>
      <c r="F19" s="11" t="s">
        <v>766</v>
      </c>
      <c r="G19" s="11" t="s">
        <v>766</v>
      </c>
      <c r="H19" s="11" t="s">
        <v>766</v>
      </c>
      <c r="I19" s="11" t="s">
        <v>766</v>
      </c>
      <c r="J19" s="11" t="s">
        <v>766</v>
      </c>
      <c r="K19" s="11" t="s">
        <v>729</v>
      </c>
      <c r="L19" s="11" t="s">
        <v>729</v>
      </c>
      <c r="M19" s="11" t="s">
        <v>729</v>
      </c>
      <c r="N19" s="11" t="s">
        <v>729</v>
      </c>
      <c r="O19" s="11" t="s">
        <v>729</v>
      </c>
      <c r="P19" s="11" t="s">
        <v>729</v>
      </c>
      <c r="Q19" s="11" t="s">
        <v>729</v>
      </c>
      <c r="R19" s="11" t="s">
        <v>729</v>
      </c>
      <c r="S19" s="11" t="s">
        <v>729</v>
      </c>
      <c r="T19" s="11" t="s">
        <v>729</v>
      </c>
      <c r="U19" s="11" t="s">
        <v>729</v>
      </c>
      <c r="V19" s="12" t="s">
        <v>729</v>
      </c>
    </row>
    <row r="20" ht="18" customHeight="1" spans="1:22">
      <c r="A20" s="19"/>
      <c r="B20" s="20" t="s">
        <v>699</v>
      </c>
      <c r="C20" s="20"/>
      <c r="D20" s="20"/>
      <c r="E20" s="6" t="s">
        <v>729</v>
      </c>
      <c r="F20" s="6" t="s">
        <v>729</v>
      </c>
      <c r="G20" s="6" t="s">
        <v>729</v>
      </c>
      <c r="H20" s="6" t="s">
        <v>729</v>
      </c>
      <c r="I20" s="6" t="s">
        <v>729</v>
      </c>
      <c r="J20" s="6" t="s">
        <v>729</v>
      </c>
      <c r="K20" s="6" t="s">
        <v>729</v>
      </c>
      <c r="L20" s="6" t="s">
        <v>729</v>
      </c>
      <c r="M20" s="6" t="s">
        <v>729</v>
      </c>
      <c r="N20" s="6" t="s">
        <v>729</v>
      </c>
      <c r="O20" s="6" t="s">
        <v>729</v>
      </c>
      <c r="P20" s="6" t="s">
        <v>729</v>
      </c>
      <c r="Q20" s="6" t="s">
        <v>729</v>
      </c>
      <c r="R20" s="6" t="s">
        <v>729</v>
      </c>
      <c r="S20" s="6" t="s">
        <v>729</v>
      </c>
      <c r="T20" s="6" t="s">
        <v>729</v>
      </c>
      <c r="U20" s="6" t="s">
        <v>729</v>
      </c>
      <c r="V20" s="8" t="s">
        <v>729</v>
      </c>
    </row>
    <row r="21" ht="18" customHeight="1" spans="1:22">
      <c r="A21" s="19"/>
      <c r="B21" s="21" t="s">
        <v>700</v>
      </c>
      <c r="C21" s="21"/>
      <c r="D21" s="21"/>
      <c r="E21" s="22" t="s">
        <v>729</v>
      </c>
      <c r="F21" s="22" t="s">
        <v>729</v>
      </c>
      <c r="G21" s="22" t="s">
        <v>729</v>
      </c>
      <c r="H21" s="22" t="s">
        <v>729</v>
      </c>
      <c r="I21" s="22" t="s">
        <v>729</v>
      </c>
      <c r="J21" s="22" t="s">
        <v>729</v>
      </c>
      <c r="K21" s="22" t="s">
        <v>729</v>
      </c>
      <c r="L21" s="22" t="s">
        <v>729</v>
      </c>
      <c r="M21" s="22" t="s">
        <v>729</v>
      </c>
      <c r="N21" s="22" t="s">
        <v>729</v>
      </c>
      <c r="O21" s="22" t="s">
        <v>729</v>
      </c>
      <c r="P21" s="22" t="s">
        <v>729</v>
      </c>
      <c r="Q21" s="22" t="s">
        <v>729</v>
      </c>
      <c r="R21" s="22" t="s">
        <v>729</v>
      </c>
      <c r="S21" s="22" t="s">
        <v>729</v>
      </c>
      <c r="T21" s="22" t="s">
        <v>729</v>
      </c>
      <c r="U21" s="22" t="s">
        <v>729</v>
      </c>
      <c r="V21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8:D18"/>
    <mergeCell ref="B19:D19"/>
    <mergeCell ref="B20:D20"/>
    <mergeCell ref="B21:D21"/>
    <mergeCell ref="A7:A12"/>
    <mergeCell ref="A13:A17"/>
    <mergeCell ref="A18:A21"/>
  </mergeCells>
  <dataValidations count="3">
    <dataValidation type="list" allowBlank="1" sqref="F18:V18">
      <formula1>"N,A,B"</formula1>
    </dataValidation>
    <dataValidation type="list" allowBlank="1" sqref="F19:V19">
      <formula1>"P,F"</formula1>
    </dataValidation>
    <dataValidation type="list" allowBlank="1" sqref="F10:V12 F14:V17 F8:V9">
      <formula1>"O,-"</formula1>
    </dataValidation>
  </dataValidations>
  <pageMargins left="0.7" right="0.7" top="0.75" bottom="0.75" header="0.3" footer="0.3"/>
  <pageSetup paperSize="1" orientation="portrait"/>
  <headerFooter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0"/>
  <sheetViews>
    <sheetView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257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308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1114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4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0</v>
      </c>
      <c r="M5" s="11">
        <v>2</v>
      </c>
      <c r="N5" s="11">
        <v>2</v>
      </c>
      <c r="O5" s="12">
        <v>4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687</v>
      </c>
      <c r="H6" s="14" t="s">
        <v>688</v>
      </c>
      <c r="I6" s="14" t="s">
        <v>689</v>
      </c>
      <c r="J6" s="14" t="s">
        <v>729</v>
      </c>
      <c r="K6" s="14" t="s">
        <v>729</v>
      </c>
      <c r="L6" s="14" t="s">
        <v>729</v>
      </c>
      <c r="M6" s="14" t="s">
        <v>729</v>
      </c>
      <c r="N6" s="14" t="s">
        <v>729</v>
      </c>
      <c r="O6" s="14" t="s">
        <v>729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15.5" customHeight="1" spans="1:22">
      <c r="A7" s="16" t="s">
        <v>690</v>
      </c>
      <c r="B7" s="17" t="s">
        <v>1115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53" customHeight="1" spans="1:22">
      <c r="A8" s="16"/>
      <c r="B8" s="6" t="s">
        <v>729</v>
      </c>
      <c r="C8" s="6" t="s">
        <v>729</v>
      </c>
      <c r="D8" s="18" t="s">
        <v>1116</v>
      </c>
      <c r="E8" s="6" t="s">
        <v>729</v>
      </c>
      <c r="F8" s="11" t="s">
        <v>752</v>
      </c>
      <c r="G8" s="11" t="s">
        <v>756</v>
      </c>
      <c r="H8" s="11" t="s">
        <v>756</v>
      </c>
      <c r="I8" s="11" t="s">
        <v>756</v>
      </c>
      <c r="J8" s="11" t="s">
        <v>729</v>
      </c>
      <c r="K8" s="11" t="s">
        <v>729</v>
      </c>
      <c r="L8" s="11" t="s">
        <v>729</v>
      </c>
      <c r="M8" s="11" t="s">
        <v>729</v>
      </c>
      <c r="N8" s="11" t="s">
        <v>729</v>
      </c>
      <c r="O8" s="11" t="s">
        <v>729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53" customHeight="1" spans="1:22">
      <c r="A9" s="16"/>
      <c r="B9" s="6" t="s">
        <v>729</v>
      </c>
      <c r="C9" s="6" t="s">
        <v>729</v>
      </c>
      <c r="D9" s="18" t="s">
        <v>1117</v>
      </c>
      <c r="E9" s="6" t="s">
        <v>729</v>
      </c>
      <c r="F9" s="11" t="s">
        <v>756</v>
      </c>
      <c r="G9" s="11" t="s">
        <v>752</v>
      </c>
      <c r="H9" s="11" t="s">
        <v>756</v>
      </c>
      <c r="I9" s="11" t="s">
        <v>756</v>
      </c>
      <c r="J9" s="11" t="s">
        <v>729</v>
      </c>
      <c r="K9" s="11" t="s">
        <v>729</v>
      </c>
      <c r="L9" s="11" t="s">
        <v>729</v>
      </c>
      <c r="M9" s="11" t="s">
        <v>729</v>
      </c>
      <c r="N9" s="11" t="s">
        <v>729</v>
      </c>
      <c r="O9" s="11" t="s">
        <v>729</v>
      </c>
      <c r="P9" s="11" t="s">
        <v>729</v>
      </c>
      <c r="Q9" s="11" t="s">
        <v>729</v>
      </c>
      <c r="R9" s="11" t="s">
        <v>729</v>
      </c>
      <c r="S9" s="11" t="s">
        <v>729</v>
      </c>
      <c r="T9" s="11" t="s">
        <v>729</v>
      </c>
      <c r="U9" s="11" t="s">
        <v>729</v>
      </c>
      <c r="V9" s="12" t="s">
        <v>729</v>
      </c>
    </row>
    <row r="10" ht="53" customHeight="1" spans="1:22">
      <c r="A10" s="16"/>
      <c r="B10" s="6" t="s">
        <v>729</v>
      </c>
      <c r="C10" s="6" t="s">
        <v>729</v>
      </c>
      <c r="D10" s="18" t="s">
        <v>1118</v>
      </c>
      <c r="E10" s="6" t="s">
        <v>729</v>
      </c>
      <c r="F10" s="11" t="s">
        <v>756</v>
      </c>
      <c r="G10" s="11" t="s">
        <v>756</v>
      </c>
      <c r="H10" s="11" t="s">
        <v>752</v>
      </c>
      <c r="I10" s="11" t="s">
        <v>756</v>
      </c>
      <c r="J10" s="11" t="s">
        <v>729</v>
      </c>
      <c r="K10" s="11" t="s">
        <v>729</v>
      </c>
      <c r="L10" s="11" t="s">
        <v>729</v>
      </c>
      <c r="M10" s="11" t="s">
        <v>729</v>
      </c>
      <c r="N10" s="11" t="s">
        <v>729</v>
      </c>
      <c r="O10" s="11" t="s">
        <v>729</v>
      </c>
      <c r="P10" s="11" t="s">
        <v>729</v>
      </c>
      <c r="Q10" s="11" t="s">
        <v>729</v>
      </c>
      <c r="R10" s="11" t="s">
        <v>729</v>
      </c>
      <c r="S10" s="11" t="s">
        <v>729</v>
      </c>
      <c r="T10" s="11" t="s">
        <v>729</v>
      </c>
      <c r="U10" s="11" t="s">
        <v>729</v>
      </c>
      <c r="V10" s="12" t="s">
        <v>729</v>
      </c>
    </row>
    <row r="11" ht="53" customHeight="1" spans="1:22">
      <c r="A11" s="16"/>
      <c r="B11" s="6" t="s">
        <v>729</v>
      </c>
      <c r="C11" s="6" t="s">
        <v>729</v>
      </c>
      <c r="D11" s="18" t="s">
        <v>1119</v>
      </c>
      <c r="E11" s="6" t="s">
        <v>729</v>
      </c>
      <c r="F11" s="11" t="s">
        <v>756</v>
      </c>
      <c r="G11" s="11" t="s">
        <v>756</v>
      </c>
      <c r="H11" s="11" t="s">
        <v>756</v>
      </c>
      <c r="I11" s="11" t="s">
        <v>752</v>
      </c>
      <c r="J11" s="11" t="s">
        <v>729</v>
      </c>
      <c r="K11" s="11" t="s">
        <v>729</v>
      </c>
      <c r="L11" s="11" t="s">
        <v>729</v>
      </c>
      <c r="M11" s="11" t="s">
        <v>729</v>
      </c>
      <c r="N11" s="11" t="s">
        <v>729</v>
      </c>
      <c r="O11" s="11" t="s">
        <v>729</v>
      </c>
      <c r="P11" s="11" t="s">
        <v>729</v>
      </c>
      <c r="Q11" s="11" t="s">
        <v>729</v>
      </c>
      <c r="R11" s="11" t="s">
        <v>729</v>
      </c>
      <c r="S11" s="11" t="s">
        <v>729</v>
      </c>
      <c r="T11" s="11" t="s">
        <v>729</v>
      </c>
      <c r="U11" s="11" t="s">
        <v>729</v>
      </c>
      <c r="V11" s="12" t="s">
        <v>729</v>
      </c>
    </row>
    <row r="12" ht="15.5" customHeight="1" spans="1:22">
      <c r="A12" s="16" t="s">
        <v>692</v>
      </c>
      <c r="B12" s="17" t="s">
        <v>693</v>
      </c>
      <c r="C12" s="6" t="s">
        <v>729</v>
      </c>
      <c r="D12" s="6" t="s">
        <v>729</v>
      </c>
      <c r="E12" s="6" t="s">
        <v>729</v>
      </c>
      <c r="F12" s="6" t="s">
        <v>729</v>
      </c>
      <c r="G12" s="6" t="s">
        <v>729</v>
      </c>
      <c r="H12" s="6" t="s">
        <v>729</v>
      </c>
      <c r="I12" s="6" t="s">
        <v>729</v>
      </c>
      <c r="J12" s="6" t="s">
        <v>729</v>
      </c>
      <c r="K12" s="6" t="s">
        <v>729</v>
      </c>
      <c r="L12" s="6" t="s">
        <v>729</v>
      </c>
      <c r="M12" s="6" t="s">
        <v>729</v>
      </c>
      <c r="N12" s="6" t="s">
        <v>729</v>
      </c>
      <c r="O12" s="6" t="s">
        <v>729</v>
      </c>
      <c r="P12" s="6" t="s">
        <v>729</v>
      </c>
      <c r="Q12" s="6" t="s">
        <v>729</v>
      </c>
      <c r="R12" s="6" t="s">
        <v>729</v>
      </c>
      <c r="S12" s="6" t="s">
        <v>729</v>
      </c>
      <c r="T12" s="6" t="s">
        <v>729</v>
      </c>
      <c r="U12" s="6" t="s">
        <v>729</v>
      </c>
      <c r="V12" s="8" t="s">
        <v>729</v>
      </c>
    </row>
    <row r="13" ht="90.5" customHeight="1" spans="1:22">
      <c r="A13" s="16"/>
      <c r="B13" s="6" t="s">
        <v>729</v>
      </c>
      <c r="C13" s="6" t="s">
        <v>729</v>
      </c>
      <c r="D13" s="18" t="s">
        <v>1120</v>
      </c>
      <c r="E13" s="6" t="s">
        <v>729</v>
      </c>
      <c r="F13" s="11" t="s">
        <v>752</v>
      </c>
      <c r="G13" s="11" t="s">
        <v>756</v>
      </c>
      <c r="H13" s="11" t="s">
        <v>756</v>
      </c>
      <c r="I13" s="11" t="s">
        <v>756</v>
      </c>
      <c r="J13" s="11" t="s">
        <v>729</v>
      </c>
      <c r="K13" s="11" t="s">
        <v>729</v>
      </c>
      <c r="L13" s="11" t="s">
        <v>729</v>
      </c>
      <c r="M13" s="11" t="s">
        <v>729</v>
      </c>
      <c r="N13" s="11" t="s">
        <v>729</v>
      </c>
      <c r="O13" s="11" t="s">
        <v>729</v>
      </c>
      <c r="P13" s="11" t="s">
        <v>729</v>
      </c>
      <c r="Q13" s="11" t="s">
        <v>729</v>
      </c>
      <c r="R13" s="11" t="s">
        <v>729</v>
      </c>
      <c r="S13" s="11" t="s">
        <v>729</v>
      </c>
      <c r="T13" s="11" t="s">
        <v>729</v>
      </c>
      <c r="U13" s="11" t="s">
        <v>729</v>
      </c>
      <c r="V13" s="12" t="s">
        <v>729</v>
      </c>
    </row>
    <row r="14" ht="65.5" customHeight="1" spans="1:22">
      <c r="A14" s="16"/>
      <c r="B14" s="6" t="s">
        <v>729</v>
      </c>
      <c r="C14" s="6" t="s">
        <v>729</v>
      </c>
      <c r="D14" s="18" t="s">
        <v>1121</v>
      </c>
      <c r="E14" s="6" t="s">
        <v>729</v>
      </c>
      <c r="F14" s="11" t="s">
        <v>756</v>
      </c>
      <c r="G14" s="11" t="s">
        <v>752</v>
      </c>
      <c r="H14" s="11" t="s">
        <v>756</v>
      </c>
      <c r="I14" s="11" t="s">
        <v>756</v>
      </c>
      <c r="J14" s="11" t="s">
        <v>729</v>
      </c>
      <c r="K14" s="11" t="s">
        <v>729</v>
      </c>
      <c r="L14" s="11" t="s">
        <v>729</v>
      </c>
      <c r="M14" s="11" t="s">
        <v>729</v>
      </c>
      <c r="N14" s="11" t="s">
        <v>729</v>
      </c>
      <c r="O14" s="11" t="s">
        <v>729</v>
      </c>
      <c r="P14" s="11" t="s">
        <v>729</v>
      </c>
      <c r="Q14" s="11" t="s">
        <v>729</v>
      </c>
      <c r="R14" s="11" t="s">
        <v>729</v>
      </c>
      <c r="S14" s="11" t="s">
        <v>729</v>
      </c>
      <c r="T14" s="11" t="s">
        <v>729</v>
      </c>
      <c r="U14" s="11" t="s">
        <v>729</v>
      </c>
      <c r="V14" s="12" t="s">
        <v>729</v>
      </c>
    </row>
    <row r="15" ht="78" customHeight="1" spans="1:22">
      <c r="A15" s="16"/>
      <c r="B15" s="6" t="s">
        <v>729</v>
      </c>
      <c r="C15" s="6" t="s">
        <v>729</v>
      </c>
      <c r="D15" s="18" t="s">
        <v>1122</v>
      </c>
      <c r="E15" s="6" t="s">
        <v>729</v>
      </c>
      <c r="F15" s="11" t="s">
        <v>756</v>
      </c>
      <c r="G15" s="11" t="s">
        <v>756</v>
      </c>
      <c r="H15" s="11" t="s">
        <v>752</v>
      </c>
      <c r="I15" s="11" t="s">
        <v>756</v>
      </c>
      <c r="J15" s="11" t="s">
        <v>729</v>
      </c>
      <c r="K15" s="11" t="s">
        <v>729</v>
      </c>
      <c r="L15" s="11" t="s">
        <v>729</v>
      </c>
      <c r="M15" s="11" t="s">
        <v>729</v>
      </c>
      <c r="N15" s="11" t="s">
        <v>729</v>
      </c>
      <c r="O15" s="11" t="s">
        <v>729</v>
      </c>
      <c r="P15" s="11" t="s">
        <v>729</v>
      </c>
      <c r="Q15" s="11" t="s">
        <v>729</v>
      </c>
      <c r="R15" s="11" t="s">
        <v>729</v>
      </c>
      <c r="S15" s="11" t="s">
        <v>729</v>
      </c>
      <c r="T15" s="11" t="s">
        <v>729</v>
      </c>
      <c r="U15" s="11" t="s">
        <v>729</v>
      </c>
      <c r="V15" s="12" t="s">
        <v>729</v>
      </c>
    </row>
    <row r="16" ht="90.5" customHeight="1" spans="1:22">
      <c r="A16" s="16"/>
      <c r="B16" s="6" t="s">
        <v>729</v>
      </c>
      <c r="C16" s="6" t="s">
        <v>729</v>
      </c>
      <c r="D16" s="18" t="s">
        <v>1123</v>
      </c>
      <c r="E16" s="6" t="s">
        <v>729</v>
      </c>
      <c r="F16" s="11" t="s">
        <v>756</v>
      </c>
      <c r="G16" s="11" t="s">
        <v>756</v>
      </c>
      <c r="H16" s="11" t="s">
        <v>756</v>
      </c>
      <c r="I16" s="11" t="s">
        <v>752</v>
      </c>
      <c r="J16" s="11" t="s">
        <v>729</v>
      </c>
      <c r="K16" s="11" t="s">
        <v>729</v>
      </c>
      <c r="L16" s="11" t="s">
        <v>729</v>
      </c>
      <c r="M16" s="11" t="s">
        <v>729</v>
      </c>
      <c r="N16" s="11" t="s">
        <v>729</v>
      </c>
      <c r="O16" s="11" t="s">
        <v>729</v>
      </c>
      <c r="P16" s="11" t="s">
        <v>729</v>
      </c>
      <c r="Q16" s="11" t="s">
        <v>729</v>
      </c>
      <c r="R16" s="11" t="s">
        <v>729</v>
      </c>
      <c r="S16" s="11" t="s">
        <v>729</v>
      </c>
      <c r="T16" s="11" t="s">
        <v>729</v>
      </c>
      <c r="U16" s="11" t="s">
        <v>729</v>
      </c>
      <c r="V16" s="12" t="s">
        <v>729</v>
      </c>
    </row>
    <row r="17" ht="18" customHeight="1" spans="1:22">
      <c r="A17" s="19" t="s">
        <v>696</v>
      </c>
      <c r="B17" s="20" t="s">
        <v>765</v>
      </c>
      <c r="C17" s="20"/>
      <c r="D17" s="20"/>
      <c r="E17" s="6" t="s">
        <v>729</v>
      </c>
      <c r="F17" s="11" t="s">
        <v>671</v>
      </c>
      <c r="G17" s="11" t="s">
        <v>671</v>
      </c>
      <c r="H17" s="11" t="s">
        <v>63</v>
      </c>
      <c r="I17" s="11" t="s">
        <v>63</v>
      </c>
      <c r="J17" s="11" t="s">
        <v>729</v>
      </c>
      <c r="K17" s="11" t="s">
        <v>729</v>
      </c>
      <c r="L17" s="11" t="s">
        <v>729</v>
      </c>
      <c r="M17" s="11" t="s">
        <v>729</v>
      </c>
      <c r="N17" s="11" t="s">
        <v>729</v>
      </c>
      <c r="O17" s="11" t="s">
        <v>729</v>
      </c>
      <c r="P17" s="11" t="s">
        <v>729</v>
      </c>
      <c r="Q17" s="11" t="s">
        <v>729</v>
      </c>
      <c r="R17" s="11" t="s">
        <v>729</v>
      </c>
      <c r="S17" s="11" t="s">
        <v>729</v>
      </c>
      <c r="T17" s="11" t="s">
        <v>729</v>
      </c>
      <c r="U17" s="11" t="s">
        <v>729</v>
      </c>
      <c r="V17" s="12" t="s">
        <v>729</v>
      </c>
    </row>
    <row r="18" ht="18" customHeight="1" spans="1:22">
      <c r="A18" s="19"/>
      <c r="B18" s="20" t="s">
        <v>698</v>
      </c>
      <c r="C18" s="20"/>
      <c r="D18" s="20"/>
      <c r="E18" s="6" t="s">
        <v>729</v>
      </c>
      <c r="F18" s="11" t="s">
        <v>766</v>
      </c>
      <c r="G18" s="11" t="s">
        <v>766</v>
      </c>
      <c r="H18" s="11" t="s">
        <v>766</v>
      </c>
      <c r="I18" s="11" t="s">
        <v>766</v>
      </c>
      <c r="J18" s="11" t="s">
        <v>729</v>
      </c>
      <c r="K18" s="11" t="s">
        <v>729</v>
      </c>
      <c r="L18" s="11" t="s">
        <v>729</v>
      </c>
      <c r="M18" s="11" t="s">
        <v>729</v>
      </c>
      <c r="N18" s="11" t="s">
        <v>729</v>
      </c>
      <c r="O18" s="11" t="s">
        <v>729</v>
      </c>
      <c r="P18" s="11" t="s">
        <v>729</v>
      </c>
      <c r="Q18" s="11" t="s">
        <v>729</v>
      </c>
      <c r="R18" s="11" t="s">
        <v>729</v>
      </c>
      <c r="S18" s="11" t="s">
        <v>729</v>
      </c>
      <c r="T18" s="11" t="s">
        <v>729</v>
      </c>
      <c r="U18" s="11" t="s">
        <v>729</v>
      </c>
      <c r="V18" s="12" t="s">
        <v>729</v>
      </c>
    </row>
    <row r="19" ht="18" customHeight="1" spans="1:22">
      <c r="A19" s="19"/>
      <c r="B19" s="20" t="s">
        <v>699</v>
      </c>
      <c r="C19" s="20"/>
      <c r="D19" s="20"/>
      <c r="E19" s="6" t="s">
        <v>729</v>
      </c>
      <c r="F19" s="6" t="s">
        <v>729</v>
      </c>
      <c r="G19" s="6" t="s">
        <v>729</v>
      </c>
      <c r="H19" s="6" t="s">
        <v>729</v>
      </c>
      <c r="I19" s="6" t="s">
        <v>729</v>
      </c>
      <c r="J19" s="6" t="s">
        <v>729</v>
      </c>
      <c r="K19" s="6" t="s">
        <v>729</v>
      </c>
      <c r="L19" s="6" t="s">
        <v>729</v>
      </c>
      <c r="M19" s="6" t="s">
        <v>729</v>
      </c>
      <c r="N19" s="6" t="s">
        <v>729</v>
      </c>
      <c r="O19" s="6" t="s">
        <v>729</v>
      </c>
      <c r="P19" s="6" t="s">
        <v>729</v>
      </c>
      <c r="Q19" s="6" t="s">
        <v>729</v>
      </c>
      <c r="R19" s="6" t="s">
        <v>729</v>
      </c>
      <c r="S19" s="6" t="s">
        <v>729</v>
      </c>
      <c r="T19" s="6" t="s">
        <v>729</v>
      </c>
      <c r="U19" s="6" t="s">
        <v>729</v>
      </c>
      <c r="V19" s="8" t="s">
        <v>729</v>
      </c>
    </row>
    <row r="20" ht="18" customHeight="1" spans="1:22">
      <c r="A20" s="19"/>
      <c r="B20" s="21" t="s">
        <v>700</v>
      </c>
      <c r="C20" s="21"/>
      <c r="D20" s="21"/>
      <c r="E20" s="22" t="s">
        <v>729</v>
      </c>
      <c r="F20" s="22" t="s">
        <v>729</v>
      </c>
      <c r="G20" s="22" t="s">
        <v>729</v>
      </c>
      <c r="H20" s="22" t="s">
        <v>729</v>
      </c>
      <c r="I20" s="22" t="s">
        <v>729</v>
      </c>
      <c r="J20" s="22" t="s">
        <v>729</v>
      </c>
      <c r="K20" s="22" t="s">
        <v>729</v>
      </c>
      <c r="L20" s="22" t="s">
        <v>729</v>
      </c>
      <c r="M20" s="22" t="s">
        <v>729</v>
      </c>
      <c r="N20" s="22" t="s">
        <v>729</v>
      </c>
      <c r="O20" s="22" t="s">
        <v>729</v>
      </c>
      <c r="P20" s="22" t="s">
        <v>729</v>
      </c>
      <c r="Q20" s="22" t="s">
        <v>729</v>
      </c>
      <c r="R20" s="22" t="s">
        <v>729</v>
      </c>
      <c r="S20" s="22" t="s">
        <v>729</v>
      </c>
      <c r="T20" s="22" t="s">
        <v>729</v>
      </c>
      <c r="U20" s="22" t="s">
        <v>729</v>
      </c>
      <c r="V20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7:D17"/>
    <mergeCell ref="B18:D18"/>
    <mergeCell ref="B19:D19"/>
    <mergeCell ref="B20:D20"/>
    <mergeCell ref="A7:A11"/>
    <mergeCell ref="A12:A16"/>
    <mergeCell ref="A17:A20"/>
  </mergeCells>
  <dataValidations count="3">
    <dataValidation type="list" allowBlank="1" sqref="F17:V17">
      <formula1>"N,A,B"</formula1>
    </dataValidation>
    <dataValidation type="list" allowBlank="1" sqref="F18:V18">
      <formula1>"P,F"</formula1>
    </dataValidation>
    <dataValidation type="list" allowBlank="1" sqref="F8:V9 F10:V11 F13:V16">
      <formula1>"O,-"</formula1>
    </dataValidation>
  </dataValidations>
  <pageMargins left="0.7" right="0.7" top="0.75" bottom="0.75" header="0.3" footer="0.3"/>
  <pageSetup paperSize="1" orientation="portrait"/>
  <headerFooter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8"/>
  <sheetViews>
    <sheetView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257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313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1124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2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1</v>
      </c>
      <c r="M5" s="11">
        <v>1</v>
      </c>
      <c r="N5" s="11">
        <v>0</v>
      </c>
      <c r="O5" s="12">
        <v>2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687</v>
      </c>
      <c r="H6" s="14" t="s">
        <v>729</v>
      </c>
      <c r="I6" s="14" t="s">
        <v>729</v>
      </c>
      <c r="J6" s="14" t="s">
        <v>729</v>
      </c>
      <c r="K6" s="14" t="s">
        <v>729</v>
      </c>
      <c r="L6" s="14" t="s">
        <v>729</v>
      </c>
      <c r="M6" s="14" t="s">
        <v>729</v>
      </c>
      <c r="N6" s="14" t="s">
        <v>729</v>
      </c>
      <c r="O6" s="14" t="s">
        <v>729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28" customHeight="1" spans="1:22">
      <c r="A7" s="16" t="s">
        <v>690</v>
      </c>
      <c r="B7" s="17" t="s">
        <v>1125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65.5" customHeight="1" spans="1:22">
      <c r="A8" s="16"/>
      <c r="B8" s="6" t="s">
        <v>729</v>
      </c>
      <c r="C8" s="6" t="s">
        <v>729</v>
      </c>
      <c r="D8" s="18" t="s">
        <v>1126</v>
      </c>
      <c r="E8" s="6" t="s">
        <v>729</v>
      </c>
      <c r="F8" s="11" t="s">
        <v>752</v>
      </c>
      <c r="G8" s="11" t="s">
        <v>756</v>
      </c>
      <c r="H8" s="11" t="s">
        <v>729</v>
      </c>
      <c r="I8" s="11" t="s">
        <v>729</v>
      </c>
      <c r="J8" s="11" t="s">
        <v>729</v>
      </c>
      <c r="K8" s="11" t="s">
        <v>729</v>
      </c>
      <c r="L8" s="11" t="s">
        <v>729</v>
      </c>
      <c r="M8" s="11" t="s">
        <v>729</v>
      </c>
      <c r="N8" s="11" t="s">
        <v>729</v>
      </c>
      <c r="O8" s="11" t="s">
        <v>729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78" customHeight="1" spans="1:22">
      <c r="A9" s="16"/>
      <c r="B9" s="6" t="s">
        <v>729</v>
      </c>
      <c r="C9" s="6" t="s">
        <v>729</v>
      </c>
      <c r="D9" s="18" t="s">
        <v>1127</v>
      </c>
      <c r="E9" s="6" t="s">
        <v>729</v>
      </c>
      <c r="F9" s="11" t="s">
        <v>756</v>
      </c>
      <c r="G9" s="11" t="s">
        <v>752</v>
      </c>
      <c r="H9" s="11" t="s">
        <v>729</v>
      </c>
      <c r="I9" s="11" t="s">
        <v>729</v>
      </c>
      <c r="J9" s="11" t="s">
        <v>729</v>
      </c>
      <c r="K9" s="11" t="s">
        <v>729</v>
      </c>
      <c r="L9" s="11" t="s">
        <v>729</v>
      </c>
      <c r="M9" s="11" t="s">
        <v>729</v>
      </c>
      <c r="N9" s="11" t="s">
        <v>729</v>
      </c>
      <c r="O9" s="11" t="s">
        <v>729</v>
      </c>
      <c r="P9" s="11" t="s">
        <v>729</v>
      </c>
      <c r="Q9" s="11" t="s">
        <v>729</v>
      </c>
      <c r="R9" s="11" t="s">
        <v>729</v>
      </c>
      <c r="S9" s="11" t="s">
        <v>729</v>
      </c>
      <c r="T9" s="11" t="s">
        <v>729</v>
      </c>
      <c r="U9" s="11" t="s">
        <v>729</v>
      </c>
      <c r="V9" s="12" t="s">
        <v>729</v>
      </c>
    </row>
    <row r="10" ht="15.5" customHeight="1" spans="1:22">
      <c r="A10" s="16" t="s">
        <v>692</v>
      </c>
      <c r="B10" s="17" t="s">
        <v>693</v>
      </c>
      <c r="C10" s="6" t="s">
        <v>729</v>
      </c>
      <c r="D10" s="6" t="s">
        <v>729</v>
      </c>
      <c r="E10" s="6" t="s">
        <v>729</v>
      </c>
      <c r="F10" s="6" t="s">
        <v>729</v>
      </c>
      <c r="G10" s="6" t="s">
        <v>729</v>
      </c>
      <c r="H10" s="6" t="s">
        <v>729</v>
      </c>
      <c r="I10" s="6" t="s">
        <v>729</v>
      </c>
      <c r="J10" s="6" t="s">
        <v>729</v>
      </c>
      <c r="K10" s="6" t="s">
        <v>729</v>
      </c>
      <c r="L10" s="6" t="s">
        <v>729</v>
      </c>
      <c r="M10" s="6" t="s">
        <v>729</v>
      </c>
      <c r="N10" s="6" t="s">
        <v>729</v>
      </c>
      <c r="O10" s="6" t="s">
        <v>729</v>
      </c>
      <c r="P10" s="6" t="s">
        <v>729</v>
      </c>
      <c r="Q10" s="6" t="s">
        <v>729</v>
      </c>
      <c r="R10" s="6" t="s">
        <v>729</v>
      </c>
      <c r="S10" s="6" t="s">
        <v>729</v>
      </c>
      <c r="T10" s="6" t="s">
        <v>729</v>
      </c>
      <c r="U10" s="6" t="s">
        <v>729</v>
      </c>
      <c r="V10" s="8" t="s">
        <v>729</v>
      </c>
    </row>
    <row r="11" ht="90.5" customHeight="1" spans="1:22">
      <c r="A11" s="16"/>
      <c r="B11" s="6" t="s">
        <v>729</v>
      </c>
      <c r="C11" s="6" t="s">
        <v>729</v>
      </c>
      <c r="D11" s="18" t="s">
        <v>1128</v>
      </c>
      <c r="E11" s="6" t="s">
        <v>729</v>
      </c>
      <c r="F11" s="11" t="s">
        <v>752</v>
      </c>
      <c r="G11" s="11" t="s">
        <v>756</v>
      </c>
      <c r="H11" s="11" t="s">
        <v>729</v>
      </c>
      <c r="I11" s="11" t="s">
        <v>729</v>
      </c>
      <c r="J11" s="11" t="s">
        <v>729</v>
      </c>
      <c r="K11" s="11" t="s">
        <v>729</v>
      </c>
      <c r="L11" s="11" t="s">
        <v>729</v>
      </c>
      <c r="M11" s="11" t="s">
        <v>729</v>
      </c>
      <c r="N11" s="11" t="s">
        <v>729</v>
      </c>
      <c r="O11" s="11" t="s">
        <v>729</v>
      </c>
      <c r="P11" s="11" t="s">
        <v>729</v>
      </c>
      <c r="Q11" s="11" t="s">
        <v>729</v>
      </c>
      <c r="R11" s="11" t="s">
        <v>729</v>
      </c>
      <c r="S11" s="11" t="s">
        <v>729</v>
      </c>
      <c r="T11" s="11" t="s">
        <v>729</v>
      </c>
      <c r="U11" s="11" t="s">
        <v>729</v>
      </c>
      <c r="V11" s="12" t="s">
        <v>729</v>
      </c>
    </row>
    <row r="12" ht="90.5" customHeight="1" spans="1:22">
      <c r="A12" s="16"/>
      <c r="B12" s="6" t="s">
        <v>729</v>
      </c>
      <c r="C12" s="6" t="s">
        <v>729</v>
      </c>
      <c r="D12" s="18" t="s">
        <v>1129</v>
      </c>
      <c r="E12" s="6" t="s">
        <v>729</v>
      </c>
      <c r="F12" s="11" t="s">
        <v>756</v>
      </c>
      <c r="G12" s="11" t="s">
        <v>752</v>
      </c>
      <c r="H12" s="11" t="s">
        <v>729</v>
      </c>
      <c r="I12" s="11" t="s">
        <v>729</v>
      </c>
      <c r="J12" s="11" t="s">
        <v>729</v>
      </c>
      <c r="K12" s="11" t="s">
        <v>729</v>
      </c>
      <c r="L12" s="11" t="s">
        <v>729</v>
      </c>
      <c r="M12" s="11" t="s">
        <v>729</v>
      </c>
      <c r="N12" s="11" t="s">
        <v>729</v>
      </c>
      <c r="O12" s="11" t="s">
        <v>729</v>
      </c>
      <c r="P12" s="11" t="s">
        <v>729</v>
      </c>
      <c r="Q12" s="11" t="s">
        <v>729</v>
      </c>
      <c r="R12" s="11" t="s">
        <v>729</v>
      </c>
      <c r="S12" s="11" t="s">
        <v>729</v>
      </c>
      <c r="T12" s="11" t="s">
        <v>729</v>
      </c>
      <c r="U12" s="11" t="s">
        <v>729</v>
      </c>
      <c r="V12" s="12" t="s">
        <v>729</v>
      </c>
    </row>
    <row r="13" ht="15.5" customHeight="1" spans="1:22">
      <c r="A13" s="16"/>
      <c r="B13" s="17" t="s">
        <v>694</v>
      </c>
      <c r="C13" s="6" t="s">
        <v>729</v>
      </c>
      <c r="D13" s="6" t="s">
        <v>729</v>
      </c>
      <c r="E13" s="6" t="s">
        <v>729</v>
      </c>
      <c r="F13" s="6" t="s">
        <v>729</v>
      </c>
      <c r="G13" s="6" t="s">
        <v>729</v>
      </c>
      <c r="H13" s="6" t="s">
        <v>729</v>
      </c>
      <c r="I13" s="6" t="s">
        <v>729</v>
      </c>
      <c r="J13" s="6" t="s">
        <v>729</v>
      </c>
      <c r="K13" s="6" t="s">
        <v>729</v>
      </c>
      <c r="L13" s="6" t="s">
        <v>729</v>
      </c>
      <c r="M13" s="6" t="s">
        <v>729</v>
      </c>
      <c r="N13" s="6" t="s">
        <v>729</v>
      </c>
      <c r="O13" s="6" t="s">
        <v>729</v>
      </c>
      <c r="P13" s="6" t="s">
        <v>729</v>
      </c>
      <c r="Q13" s="6" t="s">
        <v>729</v>
      </c>
      <c r="R13" s="6" t="s">
        <v>729</v>
      </c>
      <c r="S13" s="6" t="s">
        <v>729</v>
      </c>
      <c r="T13" s="6" t="s">
        <v>729</v>
      </c>
      <c r="U13" s="6" t="s">
        <v>729</v>
      </c>
      <c r="V13" s="8" t="s">
        <v>729</v>
      </c>
    </row>
    <row r="14" ht="103" customHeight="1" spans="1:22">
      <c r="A14" s="16"/>
      <c r="B14" s="6" t="s">
        <v>729</v>
      </c>
      <c r="C14" s="6" t="s">
        <v>729</v>
      </c>
      <c r="D14" s="18" t="s">
        <v>1130</v>
      </c>
      <c r="E14" s="6" t="s">
        <v>729</v>
      </c>
      <c r="F14" s="11" t="s">
        <v>756</v>
      </c>
      <c r="G14" s="11" t="s">
        <v>752</v>
      </c>
      <c r="H14" s="11" t="s">
        <v>729</v>
      </c>
      <c r="I14" s="11" t="s">
        <v>729</v>
      </c>
      <c r="J14" s="11" t="s">
        <v>729</v>
      </c>
      <c r="K14" s="11" t="s">
        <v>729</v>
      </c>
      <c r="L14" s="11" t="s">
        <v>729</v>
      </c>
      <c r="M14" s="11" t="s">
        <v>729</v>
      </c>
      <c r="N14" s="11" t="s">
        <v>729</v>
      </c>
      <c r="O14" s="11" t="s">
        <v>729</v>
      </c>
      <c r="P14" s="11" t="s">
        <v>729</v>
      </c>
      <c r="Q14" s="11" t="s">
        <v>729</v>
      </c>
      <c r="R14" s="11" t="s">
        <v>729</v>
      </c>
      <c r="S14" s="11" t="s">
        <v>729</v>
      </c>
      <c r="T14" s="11" t="s">
        <v>729</v>
      </c>
      <c r="U14" s="11" t="s">
        <v>729</v>
      </c>
      <c r="V14" s="12" t="s">
        <v>729</v>
      </c>
    </row>
    <row r="15" ht="18" customHeight="1" spans="1:22">
      <c r="A15" s="19" t="s">
        <v>696</v>
      </c>
      <c r="B15" s="20" t="s">
        <v>765</v>
      </c>
      <c r="C15" s="20"/>
      <c r="D15" s="20"/>
      <c r="E15" s="6" t="s">
        <v>729</v>
      </c>
      <c r="F15" s="11" t="s">
        <v>670</v>
      </c>
      <c r="G15" s="11" t="s">
        <v>63</v>
      </c>
      <c r="H15" s="11" t="s">
        <v>729</v>
      </c>
      <c r="I15" s="11" t="s">
        <v>729</v>
      </c>
      <c r="J15" s="11" t="s">
        <v>729</v>
      </c>
      <c r="K15" s="11" t="s">
        <v>729</v>
      </c>
      <c r="L15" s="11" t="s">
        <v>729</v>
      </c>
      <c r="M15" s="11" t="s">
        <v>729</v>
      </c>
      <c r="N15" s="11" t="s">
        <v>729</v>
      </c>
      <c r="O15" s="11" t="s">
        <v>729</v>
      </c>
      <c r="P15" s="11" t="s">
        <v>729</v>
      </c>
      <c r="Q15" s="11" t="s">
        <v>729</v>
      </c>
      <c r="R15" s="11" t="s">
        <v>729</v>
      </c>
      <c r="S15" s="11" t="s">
        <v>729</v>
      </c>
      <c r="T15" s="11" t="s">
        <v>729</v>
      </c>
      <c r="U15" s="11" t="s">
        <v>729</v>
      </c>
      <c r="V15" s="12" t="s">
        <v>729</v>
      </c>
    </row>
    <row r="16" ht="18" customHeight="1" spans="1:22">
      <c r="A16" s="19"/>
      <c r="B16" s="20" t="s">
        <v>698</v>
      </c>
      <c r="C16" s="20"/>
      <c r="D16" s="20"/>
      <c r="E16" s="6" t="s">
        <v>729</v>
      </c>
      <c r="F16" s="11" t="s">
        <v>766</v>
      </c>
      <c r="G16" s="11" t="s">
        <v>766</v>
      </c>
      <c r="H16" s="11" t="s">
        <v>729</v>
      </c>
      <c r="I16" s="11" t="s">
        <v>729</v>
      </c>
      <c r="J16" s="11" t="s">
        <v>729</v>
      </c>
      <c r="K16" s="11" t="s">
        <v>729</v>
      </c>
      <c r="L16" s="11" t="s">
        <v>729</v>
      </c>
      <c r="M16" s="11" t="s">
        <v>729</v>
      </c>
      <c r="N16" s="11" t="s">
        <v>729</v>
      </c>
      <c r="O16" s="11" t="s">
        <v>729</v>
      </c>
      <c r="P16" s="11" t="s">
        <v>729</v>
      </c>
      <c r="Q16" s="11" t="s">
        <v>729</v>
      </c>
      <c r="R16" s="11" t="s">
        <v>729</v>
      </c>
      <c r="S16" s="11" t="s">
        <v>729</v>
      </c>
      <c r="T16" s="11" t="s">
        <v>729</v>
      </c>
      <c r="U16" s="11" t="s">
        <v>729</v>
      </c>
      <c r="V16" s="12" t="s">
        <v>729</v>
      </c>
    </row>
    <row r="17" ht="18" customHeight="1" spans="1:22">
      <c r="A17" s="19"/>
      <c r="B17" s="20" t="s">
        <v>699</v>
      </c>
      <c r="C17" s="20"/>
      <c r="D17" s="20"/>
      <c r="E17" s="6" t="s">
        <v>729</v>
      </c>
      <c r="F17" s="6" t="s">
        <v>729</v>
      </c>
      <c r="G17" s="6" t="s">
        <v>729</v>
      </c>
      <c r="H17" s="6" t="s">
        <v>729</v>
      </c>
      <c r="I17" s="6" t="s">
        <v>729</v>
      </c>
      <c r="J17" s="6" t="s">
        <v>729</v>
      </c>
      <c r="K17" s="6" t="s">
        <v>729</v>
      </c>
      <c r="L17" s="6" t="s">
        <v>729</v>
      </c>
      <c r="M17" s="6" t="s">
        <v>729</v>
      </c>
      <c r="N17" s="6" t="s">
        <v>729</v>
      </c>
      <c r="O17" s="6" t="s">
        <v>729</v>
      </c>
      <c r="P17" s="6" t="s">
        <v>729</v>
      </c>
      <c r="Q17" s="6" t="s">
        <v>729</v>
      </c>
      <c r="R17" s="6" t="s">
        <v>729</v>
      </c>
      <c r="S17" s="6" t="s">
        <v>729</v>
      </c>
      <c r="T17" s="6" t="s">
        <v>729</v>
      </c>
      <c r="U17" s="6" t="s">
        <v>729</v>
      </c>
      <c r="V17" s="8" t="s">
        <v>729</v>
      </c>
    </row>
    <row r="18" ht="18" customHeight="1" spans="1:22">
      <c r="A18" s="19"/>
      <c r="B18" s="21" t="s">
        <v>700</v>
      </c>
      <c r="C18" s="21"/>
      <c r="D18" s="21"/>
      <c r="E18" s="22" t="s">
        <v>729</v>
      </c>
      <c r="F18" s="22" t="s">
        <v>729</v>
      </c>
      <c r="G18" s="22" t="s">
        <v>729</v>
      </c>
      <c r="H18" s="22" t="s">
        <v>729</v>
      </c>
      <c r="I18" s="22" t="s">
        <v>729</v>
      </c>
      <c r="J18" s="22" t="s">
        <v>729</v>
      </c>
      <c r="K18" s="22" t="s">
        <v>729</v>
      </c>
      <c r="L18" s="22" t="s">
        <v>729</v>
      </c>
      <c r="M18" s="22" t="s">
        <v>729</v>
      </c>
      <c r="N18" s="22" t="s">
        <v>729</v>
      </c>
      <c r="O18" s="22" t="s">
        <v>729</v>
      </c>
      <c r="P18" s="22" t="s">
        <v>729</v>
      </c>
      <c r="Q18" s="22" t="s">
        <v>729</v>
      </c>
      <c r="R18" s="22" t="s">
        <v>729</v>
      </c>
      <c r="S18" s="22" t="s">
        <v>729</v>
      </c>
      <c r="T18" s="22" t="s">
        <v>729</v>
      </c>
      <c r="U18" s="22" t="s">
        <v>729</v>
      </c>
      <c r="V18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5:D15"/>
    <mergeCell ref="B16:D16"/>
    <mergeCell ref="B17:D17"/>
    <mergeCell ref="B18:D18"/>
    <mergeCell ref="A7:A9"/>
    <mergeCell ref="A10:A14"/>
    <mergeCell ref="A15:A18"/>
  </mergeCells>
  <dataValidations count="3">
    <dataValidation type="list" allowBlank="1" sqref="F14:V14 F11:V12 F8:V9">
      <formula1>"O,-"</formula1>
    </dataValidation>
    <dataValidation type="list" allowBlank="1" sqref="F15:V15">
      <formula1>"N,A,B"</formula1>
    </dataValidation>
    <dataValidation type="list" allowBlank="1" sqref="F16:V16">
      <formula1>"P,F"</formula1>
    </dataValidation>
  </dataValidations>
  <pageMargins left="0.7" right="0.7" top="0.75" bottom="0.75" header="0.3" footer="0.3"/>
  <pageSetup paperSize="1" orientation="portrait"/>
  <headerFooter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6"/>
  <sheetViews>
    <sheetView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257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318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1131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2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2</v>
      </c>
      <c r="M5" s="11">
        <v>0</v>
      </c>
      <c r="N5" s="11">
        <v>0</v>
      </c>
      <c r="O5" s="12">
        <v>2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687</v>
      </c>
      <c r="H6" s="14" t="s">
        <v>729</v>
      </c>
      <c r="I6" s="14" t="s">
        <v>729</v>
      </c>
      <c r="J6" s="14" t="s">
        <v>729</v>
      </c>
      <c r="K6" s="14" t="s">
        <v>729</v>
      </c>
      <c r="L6" s="14" t="s">
        <v>729</v>
      </c>
      <c r="M6" s="14" t="s">
        <v>729</v>
      </c>
      <c r="N6" s="14" t="s">
        <v>729</v>
      </c>
      <c r="O6" s="14" t="s">
        <v>729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28" customHeight="1" spans="1:22">
      <c r="A7" s="16" t="s">
        <v>690</v>
      </c>
      <c r="B7" s="17" t="s">
        <v>1132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53" customHeight="1" spans="1:22">
      <c r="A8" s="16"/>
      <c r="B8" s="6" t="s">
        <v>729</v>
      </c>
      <c r="C8" s="6" t="s">
        <v>729</v>
      </c>
      <c r="D8" s="18" t="s">
        <v>1133</v>
      </c>
      <c r="E8" s="6" t="s">
        <v>729</v>
      </c>
      <c r="F8" s="11" t="s">
        <v>752</v>
      </c>
      <c r="G8" s="11" t="s">
        <v>756</v>
      </c>
      <c r="H8" s="11" t="s">
        <v>729</v>
      </c>
      <c r="I8" s="11" t="s">
        <v>729</v>
      </c>
      <c r="J8" s="11" t="s">
        <v>729</v>
      </c>
      <c r="K8" s="11" t="s">
        <v>729</v>
      </c>
      <c r="L8" s="11" t="s">
        <v>729</v>
      </c>
      <c r="M8" s="11" t="s">
        <v>729</v>
      </c>
      <c r="N8" s="11" t="s">
        <v>729</v>
      </c>
      <c r="O8" s="11" t="s">
        <v>729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53" customHeight="1" spans="1:22">
      <c r="A9" s="16"/>
      <c r="B9" s="6" t="s">
        <v>729</v>
      </c>
      <c r="C9" s="6" t="s">
        <v>729</v>
      </c>
      <c r="D9" s="18" t="s">
        <v>1134</v>
      </c>
      <c r="E9" s="6" t="s">
        <v>729</v>
      </c>
      <c r="F9" s="11" t="s">
        <v>756</v>
      </c>
      <c r="G9" s="11" t="s">
        <v>752</v>
      </c>
      <c r="H9" s="11" t="s">
        <v>729</v>
      </c>
      <c r="I9" s="11" t="s">
        <v>729</v>
      </c>
      <c r="J9" s="11" t="s">
        <v>729</v>
      </c>
      <c r="K9" s="11" t="s">
        <v>729</v>
      </c>
      <c r="L9" s="11" t="s">
        <v>729</v>
      </c>
      <c r="M9" s="11" t="s">
        <v>729</v>
      </c>
      <c r="N9" s="11" t="s">
        <v>729</v>
      </c>
      <c r="O9" s="11" t="s">
        <v>729</v>
      </c>
      <c r="P9" s="11" t="s">
        <v>729</v>
      </c>
      <c r="Q9" s="11" t="s">
        <v>729</v>
      </c>
      <c r="R9" s="11" t="s">
        <v>729</v>
      </c>
      <c r="S9" s="11" t="s">
        <v>729</v>
      </c>
      <c r="T9" s="11" t="s">
        <v>729</v>
      </c>
      <c r="U9" s="11" t="s">
        <v>729</v>
      </c>
      <c r="V9" s="12" t="s">
        <v>729</v>
      </c>
    </row>
    <row r="10" ht="15.5" customHeight="1" spans="1:22">
      <c r="A10" s="16" t="s">
        <v>692</v>
      </c>
      <c r="B10" s="17" t="s">
        <v>693</v>
      </c>
      <c r="C10" s="6" t="s">
        <v>729</v>
      </c>
      <c r="D10" s="6" t="s">
        <v>729</v>
      </c>
      <c r="E10" s="6" t="s">
        <v>729</v>
      </c>
      <c r="F10" s="6" t="s">
        <v>729</v>
      </c>
      <c r="G10" s="6" t="s">
        <v>729</v>
      </c>
      <c r="H10" s="6" t="s">
        <v>729</v>
      </c>
      <c r="I10" s="6" t="s">
        <v>729</v>
      </c>
      <c r="J10" s="6" t="s">
        <v>729</v>
      </c>
      <c r="K10" s="6" t="s">
        <v>729</v>
      </c>
      <c r="L10" s="6" t="s">
        <v>729</v>
      </c>
      <c r="M10" s="6" t="s">
        <v>729</v>
      </c>
      <c r="N10" s="6" t="s">
        <v>729</v>
      </c>
      <c r="O10" s="6" t="s">
        <v>729</v>
      </c>
      <c r="P10" s="6" t="s">
        <v>729</v>
      </c>
      <c r="Q10" s="6" t="s">
        <v>729</v>
      </c>
      <c r="R10" s="6" t="s">
        <v>729</v>
      </c>
      <c r="S10" s="6" t="s">
        <v>729</v>
      </c>
      <c r="T10" s="6" t="s">
        <v>729</v>
      </c>
      <c r="U10" s="6" t="s">
        <v>729</v>
      </c>
      <c r="V10" s="8" t="s">
        <v>729</v>
      </c>
    </row>
    <row r="11" ht="90.5" customHeight="1" spans="1:22">
      <c r="A11" s="16"/>
      <c r="B11" s="6" t="s">
        <v>729</v>
      </c>
      <c r="C11" s="6" t="s">
        <v>729</v>
      </c>
      <c r="D11" s="18" t="s">
        <v>1135</v>
      </c>
      <c r="E11" s="6" t="s">
        <v>729</v>
      </c>
      <c r="F11" s="11" t="s">
        <v>752</v>
      </c>
      <c r="G11" s="11" t="s">
        <v>752</v>
      </c>
      <c r="H11" s="11" t="s">
        <v>729</v>
      </c>
      <c r="I11" s="11" t="s">
        <v>729</v>
      </c>
      <c r="J11" s="11" t="s">
        <v>729</v>
      </c>
      <c r="K11" s="11" t="s">
        <v>729</v>
      </c>
      <c r="L11" s="11" t="s">
        <v>729</v>
      </c>
      <c r="M11" s="11" t="s">
        <v>729</v>
      </c>
      <c r="N11" s="11" t="s">
        <v>729</v>
      </c>
      <c r="O11" s="11" t="s">
        <v>729</v>
      </c>
      <c r="P11" s="11" t="s">
        <v>729</v>
      </c>
      <c r="Q11" s="11" t="s">
        <v>729</v>
      </c>
      <c r="R11" s="11" t="s">
        <v>729</v>
      </c>
      <c r="S11" s="11" t="s">
        <v>729</v>
      </c>
      <c r="T11" s="11" t="s">
        <v>729</v>
      </c>
      <c r="U11" s="11" t="s">
        <v>729</v>
      </c>
      <c r="V11" s="12" t="s">
        <v>729</v>
      </c>
    </row>
    <row r="12" ht="78" customHeight="1" spans="1:22">
      <c r="A12" s="16"/>
      <c r="B12" s="6" t="s">
        <v>729</v>
      </c>
      <c r="C12" s="6" t="s">
        <v>729</v>
      </c>
      <c r="D12" s="18" t="s">
        <v>1136</v>
      </c>
      <c r="E12" s="6" t="s">
        <v>729</v>
      </c>
      <c r="F12" s="11" t="s">
        <v>752</v>
      </c>
      <c r="G12" s="11" t="s">
        <v>752</v>
      </c>
      <c r="H12" s="11" t="s">
        <v>729</v>
      </c>
      <c r="I12" s="11" t="s">
        <v>729</v>
      </c>
      <c r="J12" s="11" t="s">
        <v>729</v>
      </c>
      <c r="K12" s="11" t="s">
        <v>729</v>
      </c>
      <c r="L12" s="11" t="s">
        <v>729</v>
      </c>
      <c r="M12" s="11" t="s">
        <v>729</v>
      </c>
      <c r="N12" s="11" t="s">
        <v>729</v>
      </c>
      <c r="O12" s="11" t="s">
        <v>729</v>
      </c>
      <c r="P12" s="11" t="s">
        <v>729</v>
      </c>
      <c r="Q12" s="11" t="s">
        <v>729</v>
      </c>
      <c r="R12" s="11" t="s">
        <v>729</v>
      </c>
      <c r="S12" s="11" t="s">
        <v>729</v>
      </c>
      <c r="T12" s="11" t="s">
        <v>729</v>
      </c>
      <c r="U12" s="11" t="s">
        <v>729</v>
      </c>
      <c r="V12" s="12" t="s">
        <v>729</v>
      </c>
    </row>
    <row r="13" ht="18" customHeight="1" spans="1:22">
      <c r="A13" s="19" t="s">
        <v>696</v>
      </c>
      <c r="B13" s="20" t="s">
        <v>765</v>
      </c>
      <c r="C13" s="20"/>
      <c r="D13" s="20"/>
      <c r="E13" s="6" t="s">
        <v>729</v>
      </c>
      <c r="F13" s="11" t="s">
        <v>670</v>
      </c>
      <c r="G13" s="11" t="s">
        <v>670</v>
      </c>
      <c r="H13" s="11" t="s">
        <v>729</v>
      </c>
      <c r="I13" s="11" t="s">
        <v>729</v>
      </c>
      <c r="J13" s="11" t="s">
        <v>729</v>
      </c>
      <c r="K13" s="11" t="s">
        <v>729</v>
      </c>
      <c r="L13" s="11" t="s">
        <v>729</v>
      </c>
      <c r="M13" s="11" t="s">
        <v>729</v>
      </c>
      <c r="N13" s="11" t="s">
        <v>729</v>
      </c>
      <c r="O13" s="11" t="s">
        <v>729</v>
      </c>
      <c r="P13" s="11" t="s">
        <v>729</v>
      </c>
      <c r="Q13" s="11" t="s">
        <v>729</v>
      </c>
      <c r="R13" s="11" t="s">
        <v>729</v>
      </c>
      <c r="S13" s="11" t="s">
        <v>729</v>
      </c>
      <c r="T13" s="11" t="s">
        <v>729</v>
      </c>
      <c r="U13" s="11" t="s">
        <v>729</v>
      </c>
      <c r="V13" s="12" t="s">
        <v>729</v>
      </c>
    </row>
    <row r="14" ht="18" customHeight="1" spans="1:22">
      <c r="A14" s="19"/>
      <c r="B14" s="20" t="s">
        <v>698</v>
      </c>
      <c r="C14" s="20"/>
      <c r="D14" s="20"/>
      <c r="E14" s="6" t="s">
        <v>729</v>
      </c>
      <c r="F14" s="11" t="s">
        <v>766</v>
      </c>
      <c r="G14" s="11" t="s">
        <v>766</v>
      </c>
      <c r="H14" s="11" t="s">
        <v>729</v>
      </c>
      <c r="I14" s="11" t="s">
        <v>729</v>
      </c>
      <c r="J14" s="11" t="s">
        <v>729</v>
      </c>
      <c r="K14" s="11" t="s">
        <v>729</v>
      </c>
      <c r="L14" s="11" t="s">
        <v>729</v>
      </c>
      <c r="M14" s="11" t="s">
        <v>729</v>
      </c>
      <c r="N14" s="11" t="s">
        <v>729</v>
      </c>
      <c r="O14" s="11" t="s">
        <v>729</v>
      </c>
      <c r="P14" s="11" t="s">
        <v>729</v>
      </c>
      <c r="Q14" s="11" t="s">
        <v>729</v>
      </c>
      <c r="R14" s="11" t="s">
        <v>729</v>
      </c>
      <c r="S14" s="11" t="s">
        <v>729</v>
      </c>
      <c r="T14" s="11" t="s">
        <v>729</v>
      </c>
      <c r="U14" s="11" t="s">
        <v>729</v>
      </c>
      <c r="V14" s="12" t="s">
        <v>729</v>
      </c>
    </row>
    <row r="15" ht="18" customHeight="1" spans="1:22">
      <c r="A15" s="19"/>
      <c r="B15" s="20" t="s">
        <v>699</v>
      </c>
      <c r="C15" s="20"/>
      <c r="D15" s="20"/>
      <c r="E15" s="6" t="s">
        <v>729</v>
      </c>
      <c r="F15" s="6" t="s">
        <v>729</v>
      </c>
      <c r="G15" s="6" t="s">
        <v>729</v>
      </c>
      <c r="H15" s="6" t="s">
        <v>729</v>
      </c>
      <c r="I15" s="6" t="s">
        <v>729</v>
      </c>
      <c r="J15" s="6" t="s">
        <v>729</v>
      </c>
      <c r="K15" s="6" t="s">
        <v>729</v>
      </c>
      <c r="L15" s="6" t="s">
        <v>729</v>
      </c>
      <c r="M15" s="6" t="s">
        <v>729</v>
      </c>
      <c r="N15" s="6" t="s">
        <v>729</v>
      </c>
      <c r="O15" s="6" t="s">
        <v>729</v>
      </c>
      <c r="P15" s="6" t="s">
        <v>729</v>
      </c>
      <c r="Q15" s="6" t="s">
        <v>729</v>
      </c>
      <c r="R15" s="6" t="s">
        <v>729</v>
      </c>
      <c r="S15" s="6" t="s">
        <v>729</v>
      </c>
      <c r="T15" s="6" t="s">
        <v>729</v>
      </c>
      <c r="U15" s="6" t="s">
        <v>729</v>
      </c>
      <c r="V15" s="8" t="s">
        <v>729</v>
      </c>
    </row>
    <row r="16" ht="18" customHeight="1" spans="1:22">
      <c r="A16" s="19"/>
      <c r="B16" s="21" t="s">
        <v>700</v>
      </c>
      <c r="C16" s="21"/>
      <c r="D16" s="21"/>
      <c r="E16" s="22" t="s">
        <v>729</v>
      </c>
      <c r="F16" s="22" t="s">
        <v>729</v>
      </c>
      <c r="G16" s="22" t="s">
        <v>729</v>
      </c>
      <c r="H16" s="22" t="s">
        <v>729</v>
      </c>
      <c r="I16" s="22" t="s">
        <v>729</v>
      </c>
      <c r="J16" s="22" t="s">
        <v>729</v>
      </c>
      <c r="K16" s="22" t="s">
        <v>729</v>
      </c>
      <c r="L16" s="22" t="s">
        <v>729</v>
      </c>
      <c r="M16" s="22" t="s">
        <v>729</v>
      </c>
      <c r="N16" s="22" t="s">
        <v>729</v>
      </c>
      <c r="O16" s="22" t="s">
        <v>729</v>
      </c>
      <c r="P16" s="22" t="s">
        <v>729</v>
      </c>
      <c r="Q16" s="22" t="s">
        <v>729</v>
      </c>
      <c r="R16" s="22" t="s">
        <v>729</v>
      </c>
      <c r="S16" s="22" t="s">
        <v>729</v>
      </c>
      <c r="T16" s="22" t="s">
        <v>729</v>
      </c>
      <c r="U16" s="22" t="s">
        <v>729</v>
      </c>
      <c r="V16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3:D13"/>
    <mergeCell ref="B14:D14"/>
    <mergeCell ref="B15:D15"/>
    <mergeCell ref="B16:D16"/>
    <mergeCell ref="A7:A9"/>
    <mergeCell ref="A10:A12"/>
    <mergeCell ref="A13:A16"/>
  </mergeCells>
  <dataValidations count="3">
    <dataValidation type="list" allowBlank="1" sqref="F13:V13">
      <formula1>"N,A,B"</formula1>
    </dataValidation>
    <dataValidation type="list" allowBlank="1" sqref="F14:V14">
      <formula1>"P,F"</formula1>
    </dataValidation>
    <dataValidation type="list" allowBlank="1" sqref="F11:V12 F8:V9">
      <formula1>"O,-"</formula1>
    </dataValidation>
  </dataValidations>
  <pageMargins left="0.7" right="0.7" top="0.75" bottom="0.75" header="0.3" footer="0.3"/>
  <pageSetup paperSize="1" orientation="portrait"/>
  <headerFooter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8"/>
  <sheetViews>
    <sheetView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257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323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28" customHeight="1" spans="1:22">
      <c r="A3" s="5" t="s">
        <v>684</v>
      </c>
      <c r="B3" s="8" t="s">
        <v>1137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2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0</v>
      </c>
      <c r="M5" s="11">
        <v>0</v>
      </c>
      <c r="N5" s="11">
        <v>2</v>
      </c>
      <c r="O5" s="12">
        <v>2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687</v>
      </c>
      <c r="H6" s="14" t="s">
        <v>729</v>
      </c>
      <c r="I6" s="14" t="s">
        <v>729</v>
      </c>
      <c r="J6" s="14" t="s">
        <v>729</v>
      </c>
      <c r="K6" s="14" t="s">
        <v>729</v>
      </c>
      <c r="L6" s="14" t="s">
        <v>729</v>
      </c>
      <c r="M6" s="14" t="s">
        <v>729</v>
      </c>
      <c r="N6" s="14" t="s">
        <v>729</v>
      </c>
      <c r="O6" s="14" t="s">
        <v>729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15.5" customHeight="1" spans="1:22">
      <c r="A7" s="16" t="s">
        <v>690</v>
      </c>
      <c r="B7" s="17" t="s">
        <v>1138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90.5" customHeight="1" spans="1:22">
      <c r="A8" s="16"/>
      <c r="B8" s="6" t="s">
        <v>729</v>
      </c>
      <c r="C8" s="6" t="s">
        <v>729</v>
      </c>
      <c r="D8" s="18" t="s">
        <v>1139</v>
      </c>
      <c r="E8" s="6" t="s">
        <v>729</v>
      </c>
      <c r="F8" s="11" t="s">
        <v>752</v>
      </c>
      <c r="G8" s="11" t="s">
        <v>756</v>
      </c>
      <c r="H8" s="11" t="s">
        <v>729</v>
      </c>
      <c r="I8" s="11" t="s">
        <v>729</v>
      </c>
      <c r="J8" s="11" t="s">
        <v>729</v>
      </c>
      <c r="K8" s="11" t="s">
        <v>729</v>
      </c>
      <c r="L8" s="11" t="s">
        <v>729</v>
      </c>
      <c r="M8" s="11" t="s">
        <v>729</v>
      </c>
      <c r="N8" s="11" t="s">
        <v>729</v>
      </c>
      <c r="O8" s="11" t="s">
        <v>729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103" customHeight="1" spans="1:22">
      <c r="A9" s="16"/>
      <c r="B9" s="6" t="s">
        <v>729</v>
      </c>
      <c r="C9" s="6" t="s">
        <v>729</v>
      </c>
      <c r="D9" s="18" t="s">
        <v>1140</v>
      </c>
      <c r="E9" s="6" t="s">
        <v>729</v>
      </c>
      <c r="F9" s="11" t="s">
        <v>756</v>
      </c>
      <c r="G9" s="11" t="s">
        <v>752</v>
      </c>
      <c r="H9" s="11" t="s">
        <v>729</v>
      </c>
      <c r="I9" s="11" t="s">
        <v>729</v>
      </c>
      <c r="J9" s="11" t="s">
        <v>729</v>
      </c>
      <c r="K9" s="11" t="s">
        <v>729</v>
      </c>
      <c r="L9" s="11" t="s">
        <v>729</v>
      </c>
      <c r="M9" s="11" t="s">
        <v>729</v>
      </c>
      <c r="N9" s="11" t="s">
        <v>729</v>
      </c>
      <c r="O9" s="11" t="s">
        <v>729</v>
      </c>
      <c r="P9" s="11" t="s">
        <v>729</v>
      </c>
      <c r="Q9" s="11" t="s">
        <v>729</v>
      </c>
      <c r="R9" s="11" t="s">
        <v>729</v>
      </c>
      <c r="S9" s="11" t="s">
        <v>729</v>
      </c>
      <c r="T9" s="11" t="s">
        <v>729</v>
      </c>
      <c r="U9" s="11" t="s">
        <v>729</v>
      </c>
      <c r="V9" s="12" t="s">
        <v>729</v>
      </c>
    </row>
    <row r="10" ht="15.5" customHeight="1" spans="1:22">
      <c r="A10" s="16" t="s">
        <v>692</v>
      </c>
      <c r="B10" s="17" t="s">
        <v>693</v>
      </c>
      <c r="C10" s="6" t="s">
        <v>729</v>
      </c>
      <c r="D10" s="6" t="s">
        <v>729</v>
      </c>
      <c r="E10" s="6" t="s">
        <v>729</v>
      </c>
      <c r="F10" s="6" t="s">
        <v>729</v>
      </c>
      <c r="G10" s="6" t="s">
        <v>729</v>
      </c>
      <c r="H10" s="6" t="s">
        <v>729</v>
      </c>
      <c r="I10" s="6" t="s">
        <v>729</v>
      </c>
      <c r="J10" s="6" t="s">
        <v>729</v>
      </c>
      <c r="K10" s="6" t="s">
        <v>729</v>
      </c>
      <c r="L10" s="6" t="s">
        <v>729</v>
      </c>
      <c r="M10" s="6" t="s">
        <v>729</v>
      </c>
      <c r="N10" s="6" t="s">
        <v>729</v>
      </c>
      <c r="O10" s="6" t="s">
        <v>729</v>
      </c>
      <c r="P10" s="6" t="s">
        <v>729</v>
      </c>
      <c r="Q10" s="6" t="s">
        <v>729</v>
      </c>
      <c r="R10" s="6" t="s">
        <v>729</v>
      </c>
      <c r="S10" s="6" t="s">
        <v>729</v>
      </c>
      <c r="T10" s="6" t="s">
        <v>729</v>
      </c>
      <c r="U10" s="6" t="s">
        <v>729</v>
      </c>
      <c r="V10" s="8" t="s">
        <v>729</v>
      </c>
    </row>
    <row r="11" ht="78" customHeight="1" spans="1:22">
      <c r="A11" s="16"/>
      <c r="B11" s="6" t="s">
        <v>729</v>
      </c>
      <c r="C11" s="6" t="s">
        <v>729</v>
      </c>
      <c r="D11" s="18" t="s">
        <v>1141</v>
      </c>
      <c r="E11" s="6" t="s">
        <v>729</v>
      </c>
      <c r="F11" s="11" t="s">
        <v>752</v>
      </c>
      <c r="G11" s="11" t="s">
        <v>756</v>
      </c>
      <c r="H11" s="11" t="s">
        <v>729</v>
      </c>
      <c r="I11" s="11" t="s">
        <v>729</v>
      </c>
      <c r="J11" s="11" t="s">
        <v>729</v>
      </c>
      <c r="K11" s="11" t="s">
        <v>729</v>
      </c>
      <c r="L11" s="11" t="s">
        <v>729</v>
      </c>
      <c r="M11" s="11" t="s">
        <v>729</v>
      </c>
      <c r="N11" s="11" t="s">
        <v>729</v>
      </c>
      <c r="O11" s="11" t="s">
        <v>729</v>
      </c>
      <c r="P11" s="11" t="s">
        <v>729</v>
      </c>
      <c r="Q11" s="11" t="s">
        <v>729</v>
      </c>
      <c r="R11" s="11" t="s">
        <v>729</v>
      </c>
      <c r="S11" s="11" t="s">
        <v>729</v>
      </c>
      <c r="T11" s="11" t="s">
        <v>729</v>
      </c>
      <c r="U11" s="11" t="s">
        <v>729</v>
      </c>
      <c r="V11" s="12" t="s">
        <v>729</v>
      </c>
    </row>
    <row r="12" ht="103" customHeight="1" spans="1:22">
      <c r="A12" s="16"/>
      <c r="B12" s="6" t="s">
        <v>729</v>
      </c>
      <c r="C12" s="6" t="s">
        <v>729</v>
      </c>
      <c r="D12" s="18" t="s">
        <v>1142</v>
      </c>
      <c r="E12" s="6" t="s">
        <v>729</v>
      </c>
      <c r="F12" s="11" t="s">
        <v>752</v>
      </c>
      <c r="G12" s="11" t="s">
        <v>752</v>
      </c>
      <c r="H12" s="11" t="s">
        <v>729</v>
      </c>
      <c r="I12" s="11" t="s">
        <v>729</v>
      </c>
      <c r="J12" s="11" t="s">
        <v>729</v>
      </c>
      <c r="K12" s="11" t="s">
        <v>729</v>
      </c>
      <c r="L12" s="11" t="s">
        <v>729</v>
      </c>
      <c r="M12" s="11" t="s">
        <v>729</v>
      </c>
      <c r="N12" s="11" t="s">
        <v>729</v>
      </c>
      <c r="O12" s="11" t="s">
        <v>729</v>
      </c>
      <c r="P12" s="11" t="s">
        <v>729</v>
      </c>
      <c r="Q12" s="11" t="s">
        <v>729</v>
      </c>
      <c r="R12" s="11" t="s">
        <v>729</v>
      </c>
      <c r="S12" s="11" t="s">
        <v>729</v>
      </c>
      <c r="T12" s="11" t="s">
        <v>729</v>
      </c>
      <c r="U12" s="11" t="s">
        <v>729</v>
      </c>
      <c r="V12" s="12" t="s">
        <v>729</v>
      </c>
    </row>
    <row r="13" ht="15.5" customHeight="1" spans="1:22">
      <c r="A13" s="16"/>
      <c r="B13" s="17" t="s">
        <v>694</v>
      </c>
      <c r="C13" s="6" t="s">
        <v>729</v>
      </c>
      <c r="D13" s="6" t="s">
        <v>729</v>
      </c>
      <c r="E13" s="6" t="s">
        <v>729</v>
      </c>
      <c r="F13" s="6" t="s">
        <v>729</v>
      </c>
      <c r="G13" s="6" t="s">
        <v>729</v>
      </c>
      <c r="H13" s="6" t="s">
        <v>729</v>
      </c>
      <c r="I13" s="6" t="s">
        <v>729</v>
      </c>
      <c r="J13" s="6" t="s">
        <v>729</v>
      </c>
      <c r="K13" s="6" t="s">
        <v>729</v>
      </c>
      <c r="L13" s="6" t="s">
        <v>729</v>
      </c>
      <c r="M13" s="6" t="s">
        <v>729</v>
      </c>
      <c r="N13" s="6" t="s">
        <v>729</v>
      </c>
      <c r="O13" s="6" t="s">
        <v>729</v>
      </c>
      <c r="P13" s="6" t="s">
        <v>729</v>
      </c>
      <c r="Q13" s="6" t="s">
        <v>729</v>
      </c>
      <c r="R13" s="6" t="s">
        <v>729</v>
      </c>
      <c r="S13" s="6" t="s">
        <v>729</v>
      </c>
      <c r="T13" s="6" t="s">
        <v>729</v>
      </c>
      <c r="U13" s="6" t="s">
        <v>729</v>
      </c>
      <c r="V13" s="8" t="s">
        <v>729</v>
      </c>
    </row>
    <row r="14" ht="90.5" customHeight="1" spans="1:22">
      <c r="A14" s="16"/>
      <c r="B14" s="6" t="s">
        <v>729</v>
      </c>
      <c r="C14" s="6" t="s">
        <v>729</v>
      </c>
      <c r="D14" s="18" t="s">
        <v>1143</v>
      </c>
      <c r="E14" s="6" t="s">
        <v>729</v>
      </c>
      <c r="F14" s="11" t="s">
        <v>752</v>
      </c>
      <c r="G14" s="11" t="s">
        <v>752</v>
      </c>
      <c r="H14" s="11" t="s">
        <v>729</v>
      </c>
      <c r="I14" s="11" t="s">
        <v>729</v>
      </c>
      <c r="J14" s="11" t="s">
        <v>729</v>
      </c>
      <c r="K14" s="11" t="s">
        <v>729</v>
      </c>
      <c r="L14" s="11" t="s">
        <v>729</v>
      </c>
      <c r="M14" s="11" t="s">
        <v>729</v>
      </c>
      <c r="N14" s="11" t="s">
        <v>729</v>
      </c>
      <c r="O14" s="11" t="s">
        <v>729</v>
      </c>
      <c r="P14" s="11" t="s">
        <v>729</v>
      </c>
      <c r="Q14" s="11" t="s">
        <v>729</v>
      </c>
      <c r="R14" s="11" t="s">
        <v>729</v>
      </c>
      <c r="S14" s="11" t="s">
        <v>729</v>
      </c>
      <c r="T14" s="11" t="s">
        <v>729</v>
      </c>
      <c r="U14" s="11" t="s">
        <v>729</v>
      </c>
      <c r="V14" s="12" t="s">
        <v>729</v>
      </c>
    </row>
    <row r="15" ht="18" customHeight="1" spans="1:22">
      <c r="A15" s="19" t="s">
        <v>696</v>
      </c>
      <c r="B15" s="20" t="s">
        <v>765</v>
      </c>
      <c r="C15" s="20"/>
      <c r="D15" s="20"/>
      <c r="E15" s="6" t="s">
        <v>729</v>
      </c>
      <c r="F15" s="11" t="s">
        <v>671</v>
      </c>
      <c r="G15" s="11" t="s">
        <v>671</v>
      </c>
      <c r="H15" s="11" t="s">
        <v>729</v>
      </c>
      <c r="I15" s="11" t="s">
        <v>729</v>
      </c>
      <c r="J15" s="11" t="s">
        <v>729</v>
      </c>
      <c r="K15" s="11" t="s">
        <v>729</v>
      </c>
      <c r="L15" s="11" t="s">
        <v>729</v>
      </c>
      <c r="M15" s="11" t="s">
        <v>729</v>
      </c>
      <c r="N15" s="11" t="s">
        <v>729</v>
      </c>
      <c r="O15" s="11" t="s">
        <v>729</v>
      </c>
      <c r="P15" s="11" t="s">
        <v>729</v>
      </c>
      <c r="Q15" s="11" t="s">
        <v>729</v>
      </c>
      <c r="R15" s="11" t="s">
        <v>729</v>
      </c>
      <c r="S15" s="11" t="s">
        <v>729</v>
      </c>
      <c r="T15" s="11" t="s">
        <v>729</v>
      </c>
      <c r="U15" s="11" t="s">
        <v>729</v>
      </c>
      <c r="V15" s="12" t="s">
        <v>729</v>
      </c>
    </row>
    <row r="16" ht="18" customHeight="1" spans="1:22">
      <c r="A16" s="19"/>
      <c r="B16" s="20" t="s">
        <v>698</v>
      </c>
      <c r="C16" s="20"/>
      <c r="D16" s="20"/>
      <c r="E16" s="6" t="s">
        <v>729</v>
      </c>
      <c r="F16" s="11" t="s">
        <v>766</v>
      </c>
      <c r="G16" s="11" t="s">
        <v>766</v>
      </c>
      <c r="H16" s="11" t="s">
        <v>729</v>
      </c>
      <c r="I16" s="11" t="s">
        <v>729</v>
      </c>
      <c r="J16" s="11" t="s">
        <v>729</v>
      </c>
      <c r="K16" s="11" t="s">
        <v>729</v>
      </c>
      <c r="L16" s="11" t="s">
        <v>729</v>
      </c>
      <c r="M16" s="11" t="s">
        <v>729</v>
      </c>
      <c r="N16" s="11" t="s">
        <v>729</v>
      </c>
      <c r="O16" s="11" t="s">
        <v>729</v>
      </c>
      <c r="P16" s="11" t="s">
        <v>729</v>
      </c>
      <c r="Q16" s="11" t="s">
        <v>729</v>
      </c>
      <c r="R16" s="11" t="s">
        <v>729</v>
      </c>
      <c r="S16" s="11" t="s">
        <v>729</v>
      </c>
      <c r="T16" s="11" t="s">
        <v>729</v>
      </c>
      <c r="U16" s="11" t="s">
        <v>729</v>
      </c>
      <c r="V16" s="12" t="s">
        <v>729</v>
      </c>
    </row>
    <row r="17" ht="18" customHeight="1" spans="1:22">
      <c r="A17" s="19"/>
      <c r="B17" s="20" t="s">
        <v>699</v>
      </c>
      <c r="C17" s="20"/>
      <c r="D17" s="20"/>
      <c r="E17" s="6" t="s">
        <v>729</v>
      </c>
      <c r="F17" s="6" t="s">
        <v>729</v>
      </c>
      <c r="G17" s="6" t="s">
        <v>729</v>
      </c>
      <c r="H17" s="6" t="s">
        <v>729</v>
      </c>
      <c r="I17" s="6" t="s">
        <v>729</v>
      </c>
      <c r="J17" s="6" t="s">
        <v>729</v>
      </c>
      <c r="K17" s="6" t="s">
        <v>729</v>
      </c>
      <c r="L17" s="6" t="s">
        <v>729</v>
      </c>
      <c r="M17" s="6" t="s">
        <v>729</v>
      </c>
      <c r="N17" s="6" t="s">
        <v>729</v>
      </c>
      <c r="O17" s="6" t="s">
        <v>729</v>
      </c>
      <c r="P17" s="6" t="s">
        <v>729</v>
      </c>
      <c r="Q17" s="6" t="s">
        <v>729</v>
      </c>
      <c r="R17" s="6" t="s">
        <v>729</v>
      </c>
      <c r="S17" s="6" t="s">
        <v>729</v>
      </c>
      <c r="T17" s="6" t="s">
        <v>729</v>
      </c>
      <c r="U17" s="6" t="s">
        <v>729</v>
      </c>
      <c r="V17" s="8" t="s">
        <v>729</v>
      </c>
    </row>
    <row r="18" ht="18" customHeight="1" spans="1:22">
      <c r="A18" s="19"/>
      <c r="B18" s="21" t="s">
        <v>700</v>
      </c>
      <c r="C18" s="21"/>
      <c r="D18" s="21"/>
      <c r="E18" s="22" t="s">
        <v>729</v>
      </c>
      <c r="F18" s="22" t="s">
        <v>729</v>
      </c>
      <c r="G18" s="22" t="s">
        <v>729</v>
      </c>
      <c r="H18" s="22" t="s">
        <v>729</v>
      </c>
      <c r="I18" s="22" t="s">
        <v>729</v>
      </c>
      <c r="J18" s="22" t="s">
        <v>729</v>
      </c>
      <c r="K18" s="22" t="s">
        <v>729</v>
      </c>
      <c r="L18" s="22" t="s">
        <v>729</v>
      </c>
      <c r="M18" s="22" t="s">
        <v>729</v>
      </c>
      <c r="N18" s="22" t="s">
        <v>729</v>
      </c>
      <c r="O18" s="22" t="s">
        <v>729</v>
      </c>
      <c r="P18" s="22" t="s">
        <v>729</v>
      </c>
      <c r="Q18" s="22" t="s">
        <v>729</v>
      </c>
      <c r="R18" s="22" t="s">
        <v>729</v>
      </c>
      <c r="S18" s="22" t="s">
        <v>729</v>
      </c>
      <c r="T18" s="22" t="s">
        <v>729</v>
      </c>
      <c r="U18" s="22" t="s">
        <v>729</v>
      </c>
      <c r="V18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5:D15"/>
    <mergeCell ref="B16:D16"/>
    <mergeCell ref="B17:D17"/>
    <mergeCell ref="B18:D18"/>
    <mergeCell ref="A7:A9"/>
    <mergeCell ref="A10:A14"/>
    <mergeCell ref="A15:A18"/>
  </mergeCells>
  <dataValidations count="3">
    <dataValidation type="list" allowBlank="1" sqref="F14:V14 F11:V12 F8:V9">
      <formula1>"O,-"</formula1>
    </dataValidation>
    <dataValidation type="list" allowBlank="1" sqref="F15:V15">
      <formula1>"N,A,B"</formula1>
    </dataValidation>
    <dataValidation type="list" allowBlank="1" sqref="F16:V16">
      <formula1>"P,F"</formula1>
    </dataValidation>
  </dataValidations>
  <pageMargins left="0.7" right="0.7" top="0.75" bottom="0.75" header="0.3" footer="0.3"/>
  <pageSetup paperSize="1" orientation="portrait"/>
  <headerFooter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8"/>
  <sheetViews>
    <sheetView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135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328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1144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3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2</v>
      </c>
      <c r="M5" s="11">
        <v>0</v>
      </c>
      <c r="N5" s="11">
        <v>1</v>
      </c>
      <c r="O5" s="12">
        <v>3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687</v>
      </c>
      <c r="H6" s="14" t="s">
        <v>688</v>
      </c>
      <c r="I6" s="14" t="s">
        <v>729</v>
      </c>
      <c r="J6" s="14" t="s">
        <v>729</v>
      </c>
      <c r="K6" s="14" t="s">
        <v>729</v>
      </c>
      <c r="L6" s="14" t="s">
        <v>729</v>
      </c>
      <c r="M6" s="14" t="s">
        <v>729</v>
      </c>
      <c r="N6" s="14" t="s">
        <v>729</v>
      </c>
      <c r="O6" s="14" t="s">
        <v>729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15.5" customHeight="1" spans="1:22">
      <c r="A7" s="16" t="s">
        <v>690</v>
      </c>
      <c r="B7" s="17" t="s">
        <v>750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40.5" customHeight="1" spans="1:22">
      <c r="A8" s="16"/>
      <c r="B8" s="6" t="s">
        <v>729</v>
      </c>
      <c r="C8" s="6" t="s">
        <v>729</v>
      </c>
      <c r="D8" s="18" t="s">
        <v>1145</v>
      </c>
      <c r="E8" s="6" t="s">
        <v>729</v>
      </c>
      <c r="F8" s="11" t="s">
        <v>752</v>
      </c>
      <c r="G8" s="11" t="s">
        <v>756</v>
      </c>
      <c r="H8" s="11" t="s">
        <v>756</v>
      </c>
      <c r="I8" s="11" t="s">
        <v>729</v>
      </c>
      <c r="J8" s="11" t="s">
        <v>729</v>
      </c>
      <c r="K8" s="11" t="s">
        <v>729</v>
      </c>
      <c r="L8" s="11" t="s">
        <v>729</v>
      </c>
      <c r="M8" s="11" t="s">
        <v>729</v>
      </c>
      <c r="N8" s="11" t="s">
        <v>729</v>
      </c>
      <c r="O8" s="11" t="s">
        <v>729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40.5" customHeight="1" spans="1:22">
      <c r="A9" s="16"/>
      <c r="B9" s="6" t="s">
        <v>729</v>
      </c>
      <c r="C9" s="6" t="s">
        <v>729</v>
      </c>
      <c r="D9" s="18" t="s">
        <v>1146</v>
      </c>
      <c r="E9" s="6" t="s">
        <v>729</v>
      </c>
      <c r="F9" s="11" t="s">
        <v>756</v>
      </c>
      <c r="G9" s="11" t="s">
        <v>752</v>
      </c>
      <c r="H9" s="11" t="s">
        <v>756</v>
      </c>
      <c r="I9" s="11" t="s">
        <v>729</v>
      </c>
      <c r="J9" s="11" t="s">
        <v>729</v>
      </c>
      <c r="K9" s="11" t="s">
        <v>729</v>
      </c>
      <c r="L9" s="11" t="s">
        <v>729</v>
      </c>
      <c r="M9" s="11" t="s">
        <v>729</v>
      </c>
      <c r="N9" s="11" t="s">
        <v>729</v>
      </c>
      <c r="O9" s="11" t="s">
        <v>729</v>
      </c>
      <c r="P9" s="11" t="s">
        <v>729</v>
      </c>
      <c r="Q9" s="11" t="s">
        <v>729</v>
      </c>
      <c r="R9" s="11" t="s">
        <v>729</v>
      </c>
      <c r="S9" s="11" t="s">
        <v>729</v>
      </c>
      <c r="T9" s="11" t="s">
        <v>729</v>
      </c>
      <c r="U9" s="11" t="s">
        <v>729</v>
      </c>
      <c r="V9" s="12" t="s">
        <v>729</v>
      </c>
    </row>
    <row r="10" ht="65.5" customHeight="1" spans="1:22">
      <c r="A10" s="16"/>
      <c r="B10" s="6" t="s">
        <v>729</v>
      </c>
      <c r="C10" s="6" t="s">
        <v>729</v>
      </c>
      <c r="D10" s="18" t="s">
        <v>1147</v>
      </c>
      <c r="E10" s="6" t="s">
        <v>729</v>
      </c>
      <c r="F10" s="11" t="s">
        <v>756</v>
      </c>
      <c r="G10" s="11" t="s">
        <v>756</v>
      </c>
      <c r="H10" s="11" t="s">
        <v>752</v>
      </c>
      <c r="I10" s="11" t="s">
        <v>729</v>
      </c>
      <c r="J10" s="11" t="s">
        <v>729</v>
      </c>
      <c r="K10" s="11" t="s">
        <v>729</v>
      </c>
      <c r="L10" s="11" t="s">
        <v>729</v>
      </c>
      <c r="M10" s="11" t="s">
        <v>729</v>
      </c>
      <c r="N10" s="11" t="s">
        <v>729</v>
      </c>
      <c r="O10" s="11" t="s">
        <v>729</v>
      </c>
      <c r="P10" s="11" t="s">
        <v>729</v>
      </c>
      <c r="Q10" s="11" t="s">
        <v>729</v>
      </c>
      <c r="R10" s="11" t="s">
        <v>729</v>
      </c>
      <c r="S10" s="11" t="s">
        <v>729</v>
      </c>
      <c r="T10" s="11" t="s">
        <v>729</v>
      </c>
      <c r="U10" s="11" t="s">
        <v>729</v>
      </c>
      <c r="V10" s="12" t="s">
        <v>729</v>
      </c>
    </row>
    <row r="11" ht="15.5" customHeight="1" spans="1:22">
      <c r="A11" s="16" t="s">
        <v>692</v>
      </c>
      <c r="B11" s="17" t="s">
        <v>693</v>
      </c>
      <c r="C11" s="6" t="s">
        <v>729</v>
      </c>
      <c r="D11" s="6" t="s">
        <v>729</v>
      </c>
      <c r="E11" s="6" t="s">
        <v>729</v>
      </c>
      <c r="F11" s="6" t="s">
        <v>729</v>
      </c>
      <c r="G11" s="6" t="s">
        <v>729</v>
      </c>
      <c r="H11" s="6" t="s">
        <v>729</v>
      </c>
      <c r="I11" s="6" t="s">
        <v>729</v>
      </c>
      <c r="J11" s="6" t="s">
        <v>729</v>
      </c>
      <c r="K11" s="6" t="s">
        <v>729</v>
      </c>
      <c r="L11" s="6" t="s">
        <v>729</v>
      </c>
      <c r="M11" s="6" t="s">
        <v>729</v>
      </c>
      <c r="N11" s="6" t="s">
        <v>729</v>
      </c>
      <c r="O11" s="6" t="s">
        <v>729</v>
      </c>
      <c r="P11" s="6" t="s">
        <v>729</v>
      </c>
      <c r="Q11" s="6" t="s">
        <v>729</v>
      </c>
      <c r="R11" s="6" t="s">
        <v>729</v>
      </c>
      <c r="S11" s="6" t="s">
        <v>729</v>
      </c>
      <c r="T11" s="6" t="s">
        <v>729</v>
      </c>
      <c r="U11" s="6" t="s">
        <v>729</v>
      </c>
      <c r="V11" s="8" t="s">
        <v>729</v>
      </c>
    </row>
    <row r="12" ht="40.5" customHeight="1" spans="1:22">
      <c r="A12" s="16"/>
      <c r="B12" s="6" t="s">
        <v>729</v>
      </c>
      <c r="C12" s="6" t="s">
        <v>729</v>
      </c>
      <c r="D12" s="18" t="s">
        <v>1148</v>
      </c>
      <c r="E12" s="6" t="s">
        <v>729</v>
      </c>
      <c r="F12" s="11" t="s">
        <v>752</v>
      </c>
      <c r="G12" s="11" t="s">
        <v>756</v>
      </c>
      <c r="H12" s="11" t="s">
        <v>756</v>
      </c>
      <c r="I12" s="11" t="s">
        <v>729</v>
      </c>
      <c r="J12" s="11" t="s">
        <v>729</v>
      </c>
      <c r="K12" s="11" t="s">
        <v>729</v>
      </c>
      <c r="L12" s="11" t="s">
        <v>729</v>
      </c>
      <c r="M12" s="11" t="s">
        <v>729</v>
      </c>
      <c r="N12" s="11" t="s">
        <v>729</v>
      </c>
      <c r="O12" s="11" t="s">
        <v>729</v>
      </c>
      <c r="P12" s="11" t="s">
        <v>729</v>
      </c>
      <c r="Q12" s="11" t="s">
        <v>729</v>
      </c>
      <c r="R12" s="11" t="s">
        <v>729</v>
      </c>
      <c r="S12" s="11" t="s">
        <v>729</v>
      </c>
      <c r="T12" s="11" t="s">
        <v>729</v>
      </c>
      <c r="U12" s="11" t="s">
        <v>729</v>
      </c>
      <c r="V12" s="12" t="s">
        <v>729</v>
      </c>
    </row>
    <row r="13" ht="53" customHeight="1" spans="1:22">
      <c r="A13" s="16"/>
      <c r="B13" s="6" t="s">
        <v>729</v>
      </c>
      <c r="C13" s="6" t="s">
        <v>729</v>
      </c>
      <c r="D13" s="18" t="s">
        <v>1149</v>
      </c>
      <c r="E13" s="6" t="s">
        <v>729</v>
      </c>
      <c r="F13" s="11" t="s">
        <v>756</v>
      </c>
      <c r="G13" s="11" t="s">
        <v>752</v>
      </c>
      <c r="H13" s="11" t="s">
        <v>756</v>
      </c>
      <c r="I13" s="11" t="s">
        <v>729</v>
      </c>
      <c r="J13" s="11" t="s">
        <v>729</v>
      </c>
      <c r="K13" s="11" t="s">
        <v>729</v>
      </c>
      <c r="L13" s="11" t="s">
        <v>729</v>
      </c>
      <c r="M13" s="11" t="s">
        <v>729</v>
      </c>
      <c r="N13" s="11" t="s">
        <v>729</v>
      </c>
      <c r="O13" s="11" t="s">
        <v>729</v>
      </c>
      <c r="P13" s="11" t="s">
        <v>729</v>
      </c>
      <c r="Q13" s="11" t="s">
        <v>729</v>
      </c>
      <c r="R13" s="11" t="s">
        <v>729</v>
      </c>
      <c r="S13" s="11" t="s">
        <v>729</v>
      </c>
      <c r="T13" s="11" t="s">
        <v>729</v>
      </c>
      <c r="U13" s="11" t="s">
        <v>729</v>
      </c>
      <c r="V13" s="12" t="s">
        <v>729</v>
      </c>
    </row>
    <row r="14" ht="78" customHeight="1" spans="1:22">
      <c r="A14" s="16"/>
      <c r="B14" s="6" t="s">
        <v>729</v>
      </c>
      <c r="C14" s="6" t="s">
        <v>729</v>
      </c>
      <c r="D14" s="18" t="s">
        <v>1150</v>
      </c>
      <c r="E14" s="6" t="s">
        <v>729</v>
      </c>
      <c r="F14" s="11" t="s">
        <v>756</v>
      </c>
      <c r="G14" s="11" t="s">
        <v>756</v>
      </c>
      <c r="H14" s="11" t="s">
        <v>752</v>
      </c>
      <c r="I14" s="11" t="s">
        <v>729</v>
      </c>
      <c r="J14" s="11" t="s">
        <v>729</v>
      </c>
      <c r="K14" s="11" t="s">
        <v>729</v>
      </c>
      <c r="L14" s="11" t="s">
        <v>729</v>
      </c>
      <c r="M14" s="11" t="s">
        <v>729</v>
      </c>
      <c r="N14" s="11" t="s">
        <v>729</v>
      </c>
      <c r="O14" s="11" t="s">
        <v>729</v>
      </c>
      <c r="P14" s="11" t="s">
        <v>729</v>
      </c>
      <c r="Q14" s="11" t="s">
        <v>729</v>
      </c>
      <c r="R14" s="11" t="s">
        <v>729</v>
      </c>
      <c r="S14" s="11" t="s">
        <v>729</v>
      </c>
      <c r="T14" s="11" t="s">
        <v>729</v>
      </c>
      <c r="U14" s="11" t="s">
        <v>729</v>
      </c>
      <c r="V14" s="12" t="s">
        <v>729</v>
      </c>
    </row>
    <row r="15" ht="18" customHeight="1" spans="1:22">
      <c r="A15" s="19" t="s">
        <v>696</v>
      </c>
      <c r="B15" s="20" t="s">
        <v>765</v>
      </c>
      <c r="C15" s="20"/>
      <c r="D15" s="20"/>
      <c r="E15" s="6" t="s">
        <v>729</v>
      </c>
      <c r="F15" s="11" t="s">
        <v>670</v>
      </c>
      <c r="G15" s="11" t="s">
        <v>670</v>
      </c>
      <c r="H15" s="11" t="s">
        <v>671</v>
      </c>
      <c r="I15" s="11" t="s">
        <v>729</v>
      </c>
      <c r="J15" s="11" t="s">
        <v>729</v>
      </c>
      <c r="K15" s="11" t="s">
        <v>729</v>
      </c>
      <c r="L15" s="11" t="s">
        <v>729</v>
      </c>
      <c r="M15" s="11" t="s">
        <v>729</v>
      </c>
      <c r="N15" s="11" t="s">
        <v>729</v>
      </c>
      <c r="O15" s="11" t="s">
        <v>729</v>
      </c>
      <c r="P15" s="11" t="s">
        <v>729</v>
      </c>
      <c r="Q15" s="11" t="s">
        <v>729</v>
      </c>
      <c r="R15" s="11" t="s">
        <v>729</v>
      </c>
      <c r="S15" s="11" t="s">
        <v>729</v>
      </c>
      <c r="T15" s="11" t="s">
        <v>729</v>
      </c>
      <c r="U15" s="11" t="s">
        <v>729</v>
      </c>
      <c r="V15" s="12" t="s">
        <v>729</v>
      </c>
    </row>
    <row r="16" ht="18" customHeight="1" spans="1:22">
      <c r="A16" s="19"/>
      <c r="B16" s="20" t="s">
        <v>698</v>
      </c>
      <c r="C16" s="20"/>
      <c r="D16" s="20"/>
      <c r="E16" s="6" t="s">
        <v>729</v>
      </c>
      <c r="F16" s="11" t="s">
        <v>766</v>
      </c>
      <c r="G16" s="11" t="s">
        <v>766</v>
      </c>
      <c r="H16" s="11" t="s">
        <v>766</v>
      </c>
      <c r="I16" s="11" t="s">
        <v>729</v>
      </c>
      <c r="J16" s="11" t="s">
        <v>729</v>
      </c>
      <c r="K16" s="11" t="s">
        <v>729</v>
      </c>
      <c r="L16" s="11" t="s">
        <v>729</v>
      </c>
      <c r="M16" s="11" t="s">
        <v>729</v>
      </c>
      <c r="N16" s="11" t="s">
        <v>729</v>
      </c>
      <c r="O16" s="11" t="s">
        <v>729</v>
      </c>
      <c r="P16" s="11" t="s">
        <v>729</v>
      </c>
      <c r="Q16" s="11" t="s">
        <v>729</v>
      </c>
      <c r="R16" s="11" t="s">
        <v>729</v>
      </c>
      <c r="S16" s="11" t="s">
        <v>729</v>
      </c>
      <c r="T16" s="11" t="s">
        <v>729</v>
      </c>
      <c r="U16" s="11" t="s">
        <v>729</v>
      </c>
      <c r="V16" s="12" t="s">
        <v>729</v>
      </c>
    </row>
    <row r="17" ht="18" customHeight="1" spans="1:22">
      <c r="A17" s="19"/>
      <c r="B17" s="20" t="s">
        <v>699</v>
      </c>
      <c r="C17" s="20"/>
      <c r="D17" s="20"/>
      <c r="E17" s="6" t="s">
        <v>729</v>
      </c>
      <c r="F17" s="6" t="s">
        <v>729</v>
      </c>
      <c r="G17" s="6" t="s">
        <v>729</v>
      </c>
      <c r="H17" s="6" t="s">
        <v>729</v>
      </c>
      <c r="I17" s="6" t="s">
        <v>729</v>
      </c>
      <c r="J17" s="6" t="s">
        <v>729</v>
      </c>
      <c r="K17" s="6" t="s">
        <v>729</v>
      </c>
      <c r="L17" s="6" t="s">
        <v>729</v>
      </c>
      <c r="M17" s="6" t="s">
        <v>729</v>
      </c>
      <c r="N17" s="6" t="s">
        <v>729</v>
      </c>
      <c r="O17" s="6" t="s">
        <v>729</v>
      </c>
      <c r="P17" s="6" t="s">
        <v>729</v>
      </c>
      <c r="Q17" s="6" t="s">
        <v>729</v>
      </c>
      <c r="R17" s="6" t="s">
        <v>729</v>
      </c>
      <c r="S17" s="6" t="s">
        <v>729</v>
      </c>
      <c r="T17" s="6" t="s">
        <v>729</v>
      </c>
      <c r="U17" s="6" t="s">
        <v>729</v>
      </c>
      <c r="V17" s="8" t="s">
        <v>729</v>
      </c>
    </row>
    <row r="18" ht="18" customHeight="1" spans="1:22">
      <c r="A18" s="19"/>
      <c r="B18" s="21" t="s">
        <v>700</v>
      </c>
      <c r="C18" s="21"/>
      <c r="D18" s="21"/>
      <c r="E18" s="22" t="s">
        <v>729</v>
      </c>
      <c r="F18" s="22" t="s">
        <v>729</v>
      </c>
      <c r="G18" s="22" t="s">
        <v>729</v>
      </c>
      <c r="H18" s="22" t="s">
        <v>729</v>
      </c>
      <c r="I18" s="22" t="s">
        <v>729</v>
      </c>
      <c r="J18" s="22" t="s">
        <v>729</v>
      </c>
      <c r="K18" s="22" t="s">
        <v>729</v>
      </c>
      <c r="L18" s="22" t="s">
        <v>729</v>
      </c>
      <c r="M18" s="22" t="s">
        <v>729</v>
      </c>
      <c r="N18" s="22" t="s">
        <v>729</v>
      </c>
      <c r="O18" s="22" t="s">
        <v>729</v>
      </c>
      <c r="P18" s="22" t="s">
        <v>729</v>
      </c>
      <c r="Q18" s="22" t="s">
        <v>729</v>
      </c>
      <c r="R18" s="22" t="s">
        <v>729</v>
      </c>
      <c r="S18" s="22" t="s">
        <v>729</v>
      </c>
      <c r="T18" s="22" t="s">
        <v>729</v>
      </c>
      <c r="U18" s="22" t="s">
        <v>729</v>
      </c>
      <c r="V18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5:D15"/>
    <mergeCell ref="B16:D16"/>
    <mergeCell ref="B17:D17"/>
    <mergeCell ref="B18:D18"/>
    <mergeCell ref="A7:A10"/>
    <mergeCell ref="A11:A14"/>
    <mergeCell ref="A15:A18"/>
  </mergeCells>
  <dataValidations count="3">
    <dataValidation type="list" allowBlank="1" sqref="F10:V10 F12:V14 F8:V9">
      <formula1>"O,-"</formula1>
    </dataValidation>
    <dataValidation type="list" allowBlank="1" sqref="F15:V15">
      <formula1>"N,A,B"</formula1>
    </dataValidation>
    <dataValidation type="list" allowBlank="1" sqref="F16:V16">
      <formula1>"P,F"</formula1>
    </dataValidation>
  </dataValidations>
  <pageMargins left="0.7" right="0.7" top="0.75" bottom="0.75" header="0.3" footer="0.3"/>
  <pageSetup paperSize="1" orientation="portrait"/>
  <headerFooter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9"/>
  <sheetViews>
    <sheetView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135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333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1151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3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2</v>
      </c>
      <c r="M5" s="11">
        <v>0</v>
      </c>
      <c r="N5" s="11">
        <v>1</v>
      </c>
      <c r="O5" s="12">
        <v>3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687</v>
      </c>
      <c r="H6" s="14" t="s">
        <v>688</v>
      </c>
      <c r="I6" s="14" t="s">
        <v>729</v>
      </c>
      <c r="J6" s="14" t="s">
        <v>729</v>
      </c>
      <c r="K6" s="14" t="s">
        <v>729</v>
      </c>
      <c r="L6" s="14" t="s">
        <v>729</v>
      </c>
      <c r="M6" s="14" t="s">
        <v>729</v>
      </c>
      <c r="N6" s="14" t="s">
        <v>729</v>
      </c>
      <c r="O6" s="14" t="s">
        <v>729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15.5" customHeight="1" spans="1:22">
      <c r="A7" s="16" t="s">
        <v>690</v>
      </c>
      <c r="B7" s="17" t="s">
        <v>1152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28" customHeight="1" spans="1:22">
      <c r="A8" s="16"/>
      <c r="B8" s="6" t="s">
        <v>729</v>
      </c>
      <c r="C8" s="6" t="s">
        <v>729</v>
      </c>
      <c r="D8" s="18" t="s">
        <v>1153</v>
      </c>
      <c r="E8" s="6" t="s">
        <v>729</v>
      </c>
      <c r="F8" s="11" t="s">
        <v>752</v>
      </c>
      <c r="G8" s="11" t="s">
        <v>756</v>
      </c>
      <c r="H8" s="11" t="s">
        <v>756</v>
      </c>
      <c r="I8" s="11" t="s">
        <v>729</v>
      </c>
      <c r="J8" s="11" t="s">
        <v>729</v>
      </c>
      <c r="K8" s="11" t="s">
        <v>729</v>
      </c>
      <c r="L8" s="11" t="s">
        <v>729</v>
      </c>
      <c r="M8" s="11" t="s">
        <v>729</v>
      </c>
      <c r="N8" s="11" t="s">
        <v>729</v>
      </c>
      <c r="O8" s="11" t="s">
        <v>729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40.5" customHeight="1" spans="1:22">
      <c r="A9" s="16"/>
      <c r="B9" s="6" t="s">
        <v>729</v>
      </c>
      <c r="C9" s="6" t="s">
        <v>729</v>
      </c>
      <c r="D9" s="18" t="s">
        <v>1154</v>
      </c>
      <c r="E9" s="6" t="s">
        <v>729</v>
      </c>
      <c r="F9" s="11" t="s">
        <v>756</v>
      </c>
      <c r="G9" s="11" t="s">
        <v>752</v>
      </c>
      <c r="H9" s="11" t="s">
        <v>756</v>
      </c>
      <c r="I9" s="11" t="s">
        <v>729</v>
      </c>
      <c r="J9" s="11" t="s">
        <v>729</v>
      </c>
      <c r="K9" s="11" t="s">
        <v>729</v>
      </c>
      <c r="L9" s="11" t="s">
        <v>729</v>
      </c>
      <c r="M9" s="11" t="s">
        <v>729</v>
      </c>
      <c r="N9" s="11" t="s">
        <v>729</v>
      </c>
      <c r="O9" s="11" t="s">
        <v>729</v>
      </c>
      <c r="P9" s="11" t="s">
        <v>729</v>
      </c>
      <c r="Q9" s="11" t="s">
        <v>729</v>
      </c>
      <c r="R9" s="11" t="s">
        <v>729</v>
      </c>
      <c r="S9" s="11" t="s">
        <v>729</v>
      </c>
      <c r="T9" s="11" t="s">
        <v>729</v>
      </c>
      <c r="U9" s="11" t="s">
        <v>729</v>
      </c>
      <c r="V9" s="12" t="s">
        <v>729</v>
      </c>
    </row>
    <row r="10" ht="65.5" customHeight="1" spans="1:22">
      <c r="A10" s="16"/>
      <c r="B10" s="6" t="s">
        <v>729</v>
      </c>
      <c r="C10" s="6" t="s">
        <v>729</v>
      </c>
      <c r="D10" s="18" t="s">
        <v>1155</v>
      </c>
      <c r="E10" s="6" t="s">
        <v>729</v>
      </c>
      <c r="F10" s="11" t="s">
        <v>756</v>
      </c>
      <c r="G10" s="11" t="s">
        <v>756</v>
      </c>
      <c r="H10" s="11" t="s">
        <v>752</v>
      </c>
      <c r="I10" s="11" t="s">
        <v>729</v>
      </c>
      <c r="J10" s="11" t="s">
        <v>729</v>
      </c>
      <c r="K10" s="11" t="s">
        <v>729</v>
      </c>
      <c r="L10" s="11" t="s">
        <v>729</v>
      </c>
      <c r="M10" s="11" t="s">
        <v>729</v>
      </c>
      <c r="N10" s="11" t="s">
        <v>729</v>
      </c>
      <c r="O10" s="11" t="s">
        <v>729</v>
      </c>
      <c r="P10" s="11" t="s">
        <v>729</v>
      </c>
      <c r="Q10" s="11" t="s">
        <v>729</v>
      </c>
      <c r="R10" s="11" t="s">
        <v>729</v>
      </c>
      <c r="S10" s="11" t="s">
        <v>729</v>
      </c>
      <c r="T10" s="11" t="s">
        <v>729</v>
      </c>
      <c r="U10" s="11" t="s">
        <v>729</v>
      </c>
      <c r="V10" s="12" t="s">
        <v>729</v>
      </c>
    </row>
    <row r="11" ht="15.5" customHeight="1" spans="1:22">
      <c r="A11" s="16" t="s">
        <v>692</v>
      </c>
      <c r="B11" s="17" t="s">
        <v>693</v>
      </c>
      <c r="C11" s="6" t="s">
        <v>729</v>
      </c>
      <c r="D11" s="6" t="s">
        <v>729</v>
      </c>
      <c r="E11" s="6" t="s">
        <v>729</v>
      </c>
      <c r="F11" s="6" t="s">
        <v>729</v>
      </c>
      <c r="G11" s="6" t="s">
        <v>729</v>
      </c>
      <c r="H11" s="6" t="s">
        <v>729</v>
      </c>
      <c r="I11" s="6" t="s">
        <v>729</v>
      </c>
      <c r="J11" s="6" t="s">
        <v>729</v>
      </c>
      <c r="K11" s="6" t="s">
        <v>729</v>
      </c>
      <c r="L11" s="6" t="s">
        <v>729</v>
      </c>
      <c r="M11" s="6" t="s">
        <v>729</v>
      </c>
      <c r="N11" s="6" t="s">
        <v>729</v>
      </c>
      <c r="O11" s="6" t="s">
        <v>729</v>
      </c>
      <c r="P11" s="6" t="s">
        <v>729</v>
      </c>
      <c r="Q11" s="6" t="s">
        <v>729</v>
      </c>
      <c r="R11" s="6" t="s">
        <v>729</v>
      </c>
      <c r="S11" s="6" t="s">
        <v>729</v>
      </c>
      <c r="T11" s="6" t="s">
        <v>729</v>
      </c>
      <c r="U11" s="6" t="s">
        <v>729</v>
      </c>
      <c r="V11" s="8" t="s">
        <v>729</v>
      </c>
    </row>
    <row r="12" ht="40.5" customHeight="1" spans="1:22">
      <c r="A12" s="16"/>
      <c r="B12" s="6" t="s">
        <v>729</v>
      </c>
      <c r="C12" s="6" t="s">
        <v>729</v>
      </c>
      <c r="D12" s="18" t="s">
        <v>1156</v>
      </c>
      <c r="E12" s="6" t="s">
        <v>729</v>
      </c>
      <c r="F12" s="11" t="s">
        <v>752</v>
      </c>
      <c r="G12" s="11" t="s">
        <v>756</v>
      </c>
      <c r="H12" s="11" t="s">
        <v>756</v>
      </c>
      <c r="I12" s="11" t="s">
        <v>729</v>
      </c>
      <c r="J12" s="11" t="s">
        <v>729</v>
      </c>
      <c r="K12" s="11" t="s">
        <v>729</v>
      </c>
      <c r="L12" s="11" t="s">
        <v>729</v>
      </c>
      <c r="M12" s="11" t="s">
        <v>729</v>
      </c>
      <c r="N12" s="11" t="s">
        <v>729</v>
      </c>
      <c r="O12" s="11" t="s">
        <v>729</v>
      </c>
      <c r="P12" s="11" t="s">
        <v>729</v>
      </c>
      <c r="Q12" s="11" t="s">
        <v>729</v>
      </c>
      <c r="R12" s="11" t="s">
        <v>729</v>
      </c>
      <c r="S12" s="11" t="s">
        <v>729</v>
      </c>
      <c r="T12" s="11" t="s">
        <v>729</v>
      </c>
      <c r="U12" s="11" t="s">
        <v>729</v>
      </c>
      <c r="V12" s="12" t="s">
        <v>729</v>
      </c>
    </row>
    <row r="13" ht="53" customHeight="1" spans="1:22">
      <c r="A13" s="16"/>
      <c r="B13" s="6" t="s">
        <v>729</v>
      </c>
      <c r="C13" s="6" t="s">
        <v>729</v>
      </c>
      <c r="D13" s="18" t="s">
        <v>1157</v>
      </c>
      <c r="E13" s="6" t="s">
        <v>729</v>
      </c>
      <c r="F13" s="11" t="s">
        <v>756</v>
      </c>
      <c r="G13" s="11" t="s">
        <v>752</v>
      </c>
      <c r="H13" s="11" t="s">
        <v>752</v>
      </c>
      <c r="I13" s="11" t="s">
        <v>729</v>
      </c>
      <c r="J13" s="11" t="s">
        <v>729</v>
      </c>
      <c r="K13" s="11" t="s">
        <v>729</v>
      </c>
      <c r="L13" s="11" t="s">
        <v>729</v>
      </c>
      <c r="M13" s="11" t="s">
        <v>729</v>
      </c>
      <c r="N13" s="11" t="s">
        <v>729</v>
      </c>
      <c r="O13" s="11" t="s">
        <v>729</v>
      </c>
      <c r="P13" s="11" t="s">
        <v>729</v>
      </c>
      <c r="Q13" s="11" t="s">
        <v>729</v>
      </c>
      <c r="R13" s="11" t="s">
        <v>729</v>
      </c>
      <c r="S13" s="11" t="s">
        <v>729</v>
      </c>
      <c r="T13" s="11" t="s">
        <v>729</v>
      </c>
      <c r="U13" s="11" t="s">
        <v>729</v>
      </c>
      <c r="V13" s="12" t="s">
        <v>729</v>
      </c>
    </row>
    <row r="14" ht="15.5" customHeight="1" spans="1:22">
      <c r="A14" s="16"/>
      <c r="B14" s="17" t="s">
        <v>694</v>
      </c>
      <c r="C14" s="6" t="s">
        <v>729</v>
      </c>
      <c r="D14" s="6" t="s">
        <v>729</v>
      </c>
      <c r="E14" s="6" t="s">
        <v>729</v>
      </c>
      <c r="F14" s="6" t="s">
        <v>729</v>
      </c>
      <c r="G14" s="6" t="s">
        <v>729</v>
      </c>
      <c r="H14" s="6" t="s">
        <v>729</v>
      </c>
      <c r="I14" s="6" t="s">
        <v>729</v>
      </c>
      <c r="J14" s="6" t="s">
        <v>729</v>
      </c>
      <c r="K14" s="6" t="s">
        <v>729</v>
      </c>
      <c r="L14" s="6" t="s">
        <v>729</v>
      </c>
      <c r="M14" s="6" t="s">
        <v>729</v>
      </c>
      <c r="N14" s="6" t="s">
        <v>729</v>
      </c>
      <c r="O14" s="6" t="s">
        <v>729</v>
      </c>
      <c r="P14" s="6" t="s">
        <v>729</v>
      </c>
      <c r="Q14" s="6" t="s">
        <v>729</v>
      </c>
      <c r="R14" s="6" t="s">
        <v>729</v>
      </c>
      <c r="S14" s="6" t="s">
        <v>729</v>
      </c>
      <c r="T14" s="6" t="s">
        <v>729</v>
      </c>
      <c r="U14" s="6" t="s">
        <v>729</v>
      </c>
      <c r="V14" s="8" t="s">
        <v>729</v>
      </c>
    </row>
    <row r="15" ht="65.5" customHeight="1" spans="1:22">
      <c r="A15" s="16"/>
      <c r="B15" s="6" t="s">
        <v>729</v>
      </c>
      <c r="C15" s="6" t="s">
        <v>729</v>
      </c>
      <c r="D15" s="18" t="s">
        <v>1158</v>
      </c>
      <c r="E15" s="6" t="s">
        <v>729</v>
      </c>
      <c r="F15" s="11" t="s">
        <v>756</v>
      </c>
      <c r="G15" s="11" t="s">
        <v>756</v>
      </c>
      <c r="H15" s="11" t="s">
        <v>752</v>
      </c>
      <c r="I15" s="11" t="s">
        <v>729</v>
      </c>
      <c r="J15" s="11" t="s">
        <v>729</v>
      </c>
      <c r="K15" s="11" t="s">
        <v>729</v>
      </c>
      <c r="L15" s="11" t="s">
        <v>729</v>
      </c>
      <c r="M15" s="11" t="s">
        <v>729</v>
      </c>
      <c r="N15" s="11" t="s">
        <v>729</v>
      </c>
      <c r="O15" s="11" t="s">
        <v>729</v>
      </c>
      <c r="P15" s="11" t="s">
        <v>729</v>
      </c>
      <c r="Q15" s="11" t="s">
        <v>729</v>
      </c>
      <c r="R15" s="11" t="s">
        <v>729</v>
      </c>
      <c r="S15" s="11" t="s">
        <v>729</v>
      </c>
      <c r="T15" s="11" t="s">
        <v>729</v>
      </c>
      <c r="U15" s="11" t="s">
        <v>729</v>
      </c>
      <c r="V15" s="12" t="s">
        <v>729</v>
      </c>
    </row>
    <row r="16" ht="18" customHeight="1" spans="1:22">
      <c r="A16" s="19" t="s">
        <v>696</v>
      </c>
      <c r="B16" s="20" t="s">
        <v>765</v>
      </c>
      <c r="C16" s="20"/>
      <c r="D16" s="20"/>
      <c r="E16" s="6" t="s">
        <v>729</v>
      </c>
      <c r="F16" s="11" t="s">
        <v>670</v>
      </c>
      <c r="G16" s="11" t="s">
        <v>670</v>
      </c>
      <c r="H16" s="11" t="s">
        <v>671</v>
      </c>
      <c r="I16" s="11" t="s">
        <v>729</v>
      </c>
      <c r="J16" s="11" t="s">
        <v>729</v>
      </c>
      <c r="K16" s="11" t="s">
        <v>729</v>
      </c>
      <c r="L16" s="11" t="s">
        <v>729</v>
      </c>
      <c r="M16" s="11" t="s">
        <v>729</v>
      </c>
      <c r="N16" s="11" t="s">
        <v>729</v>
      </c>
      <c r="O16" s="11" t="s">
        <v>729</v>
      </c>
      <c r="P16" s="11" t="s">
        <v>729</v>
      </c>
      <c r="Q16" s="11" t="s">
        <v>729</v>
      </c>
      <c r="R16" s="11" t="s">
        <v>729</v>
      </c>
      <c r="S16" s="11" t="s">
        <v>729</v>
      </c>
      <c r="T16" s="11" t="s">
        <v>729</v>
      </c>
      <c r="U16" s="11" t="s">
        <v>729</v>
      </c>
      <c r="V16" s="12" t="s">
        <v>729</v>
      </c>
    </row>
    <row r="17" ht="18" customHeight="1" spans="1:22">
      <c r="A17" s="19"/>
      <c r="B17" s="20" t="s">
        <v>698</v>
      </c>
      <c r="C17" s="20"/>
      <c r="D17" s="20"/>
      <c r="E17" s="6" t="s">
        <v>729</v>
      </c>
      <c r="F17" s="11" t="s">
        <v>766</v>
      </c>
      <c r="G17" s="11" t="s">
        <v>766</v>
      </c>
      <c r="H17" s="11" t="s">
        <v>766</v>
      </c>
      <c r="I17" s="11" t="s">
        <v>729</v>
      </c>
      <c r="J17" s="11" t="s">
        <v>729</v>
      </c>
      <c r="K17" s="11" t="s">
        <v>729</v>
      </c>
      <c r="L17" s="11" t="s">
        <v>729</v>
      </c>
      <c r="M17" s="11" t="s">
        <v>729</v>
      </c>
      <c r="N17" s="11" t="s">
        <v>729</v>
      </c>
      <c r="O17" s="11" t="s">
        <v>729</v>
      </c>
      <c r="P17" s="11" t="s">
        <v>729</v>
      </c>
      <c r="Q17" s="11" t="s">
        <v>729</v>
      </c>
      <c r="R17" s="11" t="s">
        <v>729</v>
      </c>
      <c r="S17" s="11" t="s">
        <v>729</v>
      </c>
      <c r="T17" s="11" t="s">
        <v>729</v>
      </c>
      <c r="U17" s="11" t="s">
        <v>729</v>
      </c>
      <c r="V17" s="12" t="s">
        <v>729</v>
      </c>
    </row>
    <row r="18" ht="18" customHeight="1" spans="1:22">
      <c r="A18" s="19"/>
      <c r="B18" s="20" t="s">
        <v>699</v>
      </c>
      <c r="C18" s="20"/>
      <c r="D18" s="20"/>
      <c r="E18" s="6" t="s">
        <v>729</v>
      </c>
      <c r="F18" s="6" t="s">
        <v>729</v>
      </c>
      <c r="G18" s="6" t="s">
        <v>729</v>
      </c>
      <c r="H18" s="6" t="s">
        <v>729</v>
      </c>
      <c r="I18" s="6" t="s">
        <v>729</v>
      </c>
      <c r="J18" s="6" t="s">
        <v>729</v>
      </c>
      <c r="K18" s="6" t="s">
        <v>729</v>
      </c>
      <c r="L18" s="6" t="s">
        <v>729</v>
      </c>
      <c r="M18" s="6" t="s">
        <v>729</v>
      </c>
      <c r="N18" s="6" t="s">
        <v>729</v>
      </c>
      <c r="O18" s="6" t="s">
        <v>729</v>
      </c>
      <c r="P18" s="6" t="s">
        <v>729</v>
      </c>
      <c r="Q18" s="6" t="s">
        <v>729</v>
      </c>
      <c r="R18" s="6" t="s">
        <v>729</v>
      </c>
      <c r="S18" s="6" t="s">
        <v>729</v>
      </c>
      <c r="T18" s="6" t="s">
        <v>729</v>
      </c>
      <c r="U18" s="6" t="s">
        <v>729</v>
      </c>
      <c r="V18" s="8" t="s">
        <v>729</v>
      </c>
    </row>
    <row r="19" ht="18" customHeight="1" spans="1:22">
      <c r="A19" s="19"/>
      <c r="B19" s="21" t="s">
        <v>700</v>
      </c>
      <c r="C19" s="21"/>
      <c r="D19" s="21"/>
      <c r="E19" s="22" t="s">
        <v>729</v>
      </c>
      <c r="F19" s="22" t="s">
        <v>729</v>
      </c>
      <c r="G19" s="22" t="s">
        <v>729</v>
      </c>
      <c r="H19" s="22" t="s">
        <v>729</v>
      </c>
      <c r="I19" s="22" t="s">
        <v>729</v>
      </c>
      <c r="J19" s="22" t="s">
        <v>729</v>
      </c>
      <c r="K19" s="22" t="s">
        <v>729</v>
      </c>
      <c r="L19" s="22" t="s">
        <v>729</v>
      </c>
      <c r="M19" s="22" t="s">
        <v>729</v>
      </c>
      <c r="N19" s="22" t="s">
        <v>729</v>
      </c>
      <c r="O19" s="22" t="s">
        <v>729</v>
      </c>
      <c r="P19" s="22" t="s">
        <v>729</v>
      </c>
      <c r="Q19" s="22" t="s">
        <v>729</v>
      </c>
      <c r="R19" s="22" t="s">
        <v>729</v>
      </c>
      <c r="S19" s="22" t="s">
        <v>729</v>
      </c>
      <c r="T19" s="22" t="s">
        <v>729</v>
      </c>
      <c r="U19" s="22" t="s">
        <v>729</v>
      </c>
      <c r="V19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6:D16"/>
    <mergeCell ref="B17:D17"/>
    <mergeCell ref="B18:D18"/>
    <mergeCell ref="B19:D19"/>
    <mergeCell ref="A7:A10"/>
    <mergeCell ref="A11:A15"/>
    <mergeCell ref="A16:A19"/>
  </mergeCells>
  <dataValidations count="3">
    <dataValidation type="list" allowBlank="1" sqref="F10:V10 F15:V15 F8:V9 F12:V13">
      <formula1>"O,-"</formula1>
    </dataValidation>
    <dataValidation type="list" allowBlank="1" sqref="F16:V16">
      <formula1>"N,A,B"</formula1>
    </dataValidation>
    <dataValidation type="list" allowBlank="1" sqref="F17:V17">
      <formula1>"P,F"</formula1>
    </dataValidation>
  </dataValidations>
  <pageMargins left="0.7" right="0.7" top="0.75" bottom="0.75" header="0.3" footer="0.3"/>
  <pageSetup paperSize="1" orientation="portrait"/>
  <headerFooter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6"/>
  <sheetViews>
    <sheetView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135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338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1159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2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2</v>
      </c>
      <c r="M5" s="11">
        <v>0</v>
      </c>
      <c r="N5" s="11">
        <v>0</v>
      </c>
      <c r="O5" s="12">
        <v>2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687</v>
      </c>
      <c r="H6" s="14" t="s">
        <v>729</v>
      </c>
      <c r="I6" s="14" t="s">
        <v>729</v>
      </c>
      <c r="J6" s="14" t="s">
        <v>729</v>
      </c>
      <c r="K6" s="14" t="s">
        <v>729</v>
      </c>
      <c r="L6" s="14" t="s">
        <v>729</v>
      </c>
      <c r="M6" s="14" t="s">
        <v>729</v>
      </c>
      <c r="N6" s="14" t="s">
        <v>729</v>
      </c>
      <c r="O6" s="14" t="s">
        <v>729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15.5" customHeight="1" spans="1:22">
      <c r="A7" s="16" t="s">
        <v>690</v>
      </c>
      <c r="B7" s="17" t="s">
        <v>774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40.5" customHeight="1" spans="1:22">
      <c r="A8" s="16"/>
      <c r="B8" s="6" t="s">
        <v>729</v>
      </c>
      <c r="C8" s="6" t="s">
        <v>729</v>
      </c>
      <c r="D8" s="18" t="s">
        <v>1160</v>
      </c>
      <c r="E8" s="6" t="s">
        <v>729</v>
      </c>
      <c r="F8" s="11" t="s">
        <v>752</v>
      </c>
      <c r="G8" s="11" t="s">
        <v>756</v>
      </c>
      <c r="H8" s="11" t="s">
        <v>729</v>
      </c>
      <c r="I8" s="11" t="s">
        <v>729</v>
      </c>
      <c r="J8" s="11" t="s">
        <v>729</v>
      </c>
      <c r="K8" s="11" t="s">
        <v>729</v>
      </c>
      <c r="L8" s="11" t="s">
        <v>729</v>
      </c>
      <c r="M8" s="11" t="s">
        <v>729</v>
      </c>
      <c r="N8" s="11" t="s">
        <v>729</v>
      </c>
      <c r="O8" s="11" t="s">
        <v>729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40.5" customHeight="1" spans="1:22">
      <c r="A9" s="16"/>
      <c r="B9" s="6" t="s">
        <v>729</v>
      </c>
      <c r="C9" s="6" t="s">
        <v>729</v>
      </c>
      <c r="D9" s="18" t="s">
        <v>1161</v>
      </c>
      <c r="E9" s="6" t="s">
        <v>729</v>
      </c>
      <c r="F9" s="11" t="s">
        <v>756</v>
      </c>
      <c r="G9" s="11" t="s">
        <v>752</v>
      </c>
      <c r="H9" s="11" t="s">
        <v>729</v>
      </c>
      <c r="I9" s="11" t="s">
        <v>729</v>
      </c>
      <c r="J9" s="11" t="s">
        <v>729</v>
      </c>
      <c r="K9" s="11" t="s">
        <v>729</v>
      </c>
      <c r="L9" s="11" t="s">
        <v>729</v>
      </c>
      <c r="M9" s="11" t="s">
        <v>729</v>
      </c>
      <c r="N9" s="11" t="s">
        <v>729</v>
      </c>
      <c r="O9" s="11" t="s">
        <v>729</v>
      </c>
      <c r="P9" s="11" t="s">
        <v>729</v>
      </c>
      <c r="Q9" s="11" t="s">
        <v>729</v>
      </c>
      <c r="R9" s="11" t="s">
        <v>729</v>
      </c>
      <c r="S9" s="11" t="s">
        <v>729</v>
      </c>
      <c r="T9" s="11" t="s">
        <v>729</v>
      </c>
      <c r="U9" s="11" t="s">
        <v>729</v>
      </c>
      <c r="V9" s="12" t="s">
        <v>729</v>
      </c>
    </row>
    <row r="10" ht="15.5" customHeight="1" spans="1:22">
      <c r="A10" s="16" t="s">
        <v>692</v>
      </c>
      <c r="B10" s="17" t="s">
        <v>693</v>
      </c>
      <c r="C10" s="6" t="s">
        <v>729</v>
      </c>
      <c r="D10" s="6" t="s">
        <v>729</v>
      </c>
      <c r="E10" s="6" t="s">
        <v>729</v>
      </c>
      <c r="F10" s="6" t="s">
        <v>729</v>
      </c>
      <c r="G10" s="6" t="s">
        <v>729</v>
      </c>
      <c r="H10" s="6" t="s">
        <v>729</v>
      </c>
      <c r="I10" s="6" t="s">
        <v>729</v>
      </c>
      <c r="J10" s="6" t="s">
        <v>729</v>
      </c>
      <c r="K10" s="6" t="s">
        <v>729</v>
      </c>
      <c r="L10" s="6" t="s">
        <v>729</v>
      </c>
      <c r="M10" s="6" t="s">
        <v>729</v>
      </c>
      <c r="N10" s="6" t="s">
        <v>729</v>
      </c>
      <c r="O10" s="6" t="s">
        <v>729</v>
      </c>
      <c r="P10" s="6" t="s">
        <v>729</v>
      </c>
      <c r="Q10" s="6" t="s">
        <v>729</v>
      </c>
      <c r="R10" s="6" t="s">
        <v>729</v>
      </c>
      <c r="S10" s="6" t="s">
        <v>729</v>
      </c>
      <c r="T10" s="6" t="s">
        <v>729</v>
      </c>
      <c r="U10" s="6" t="s">
        <v>729</v>
      </c>
      <c r="V10" s="8" t="s">
        <v>729</v>
      </c>
    </row>
    <row r="11" ht="53" customHeight="1" spans="1:22">
      <c r="A11" s="16"/>
      <c r="B11" s="6" t="s">
        <v>729</v>
      </c>
      <c r="C11" s="6" t="s">
        <v>729</v>
      </c>
      <c r="D11" s="18" t="s">
        <v>1162</v>
      </c>
      <c r="E11" s="6" t="s">
        <v>729</v>
      </c>
      <c r="F11" s="11" t="s">
        <v>752</v>
      </c>
      <c r="G11" s="11" t="s">
        <v>756</v>
      </c>
      <c r="H11" s="11" t="s">
        <v>729</v>
      </c>
      <c r="I11" s="11" t="s">
        <v>729</v>
      </c>
      <c r="J11" s="11" t="s">
        <v>729</v>
      </c>
      <c r="K11" s="11" t="s">
        <v>729</v>
      </c>
      <c r="L11" s="11" t="s">
        <v>729</v>
      </c>
      <c r="M11" s="11" t="s">
        <v>729</v>
      </c>
      <c r="N11" s="11" t="s">
        <v>729</v>
      </c>
      <c r="O11" s="11" t="s">
        <v>729</v>
      </c>
      <c r="P11" s="11" t="s">
        <v>729</v>
      </c>
      <c r="Q11" s="11" t="s">
        <v>729</v>
      </c>
      <c r="R11" s="11" t="s">
        <v>729</v>
      </c>
      <c r="S11" s="11" t="s">
        <v>729</v>
      </c>
      <c r="T11" s="11" t="s">
        <v>729</v>
      </c>
      <c r="U11" s="11" t="s">
        <v>729</v>
      </c>
      <c r="V11" s="12" t="s">
        <v>729</v>
      </c>
    </row>
    <row r="12" ht="65.5" customHeight="1" spans="1:22">
      <c r="A12" s="16"/>
      <c r="B12" s="6" t="s">
        <v>729</v>
      </c>
      <c r="C12" s="6" t="s">
        <v>729</v>
      </c>
      <c r="D12" s="18" t="s">
        <v>1163</v>
      </c>
      <c r="E12" s="6" t="s">
        <v>729</v>
      </c>
      <c r="F12" s="11" t="s">
        <v>756</v>
      </c>
      <c r="G12" s="11" t="s">
        <v>752</v>
      </c>
      <c r="H12" s="11" t="s">
        <v>729</v>
      </c>
      <c r="I12" s="11" t="s">
        <v>729</v>
      </c>
      <c r="J12" s="11" t="s">
        <v>729</v>
      </c>
      <c r="K12" s="11" t="s">
        <v>729</v>
      </c>
      <c r="L12" s="11" t="s">
        <v>729</v>
      </c>
      <c r="M12" s="11" t="s">
        <v>729</v>
      </c>
      <c r="N12" s="11" t="s">
        <v>729</v>
      </c>
      <c r="O12" s="11" t="s">
        <v>729</v>
      </c>
      <c r="P12" s="11" t="s">
        <v>729</v>
      </c>
      <c r="Q12" s="11" t="s">
        <v>729</v>
      </c>
      <c r="R12" s="11" t="s">
        <v>729</v>
      </c>
      <c r="S12" s="11" t="s">
        <v>729</v>
      </c>
      <c r="T12" s="11" t="s">
        <v>729</v>
      </c>
      <c r="U12" s="11" t="s">
        <v>729</v>
      </c>
      <c r="V12" s="12" t="s">
        <v>729</v>
      </c>
    </row>
    <row r="13" ht="18" customHeight="1" spans="1:22">
      <c r="A13" s="19" t="s">
        <v>696</v>
      </c>
      <c r="B13" s="20" t="s">
        <v>765</v>
      </c>
      <c r="C13" s="20"/>
      <c r="D13" s="20"/>
      <c r="E13" s="6" t="s">
        <v>729</v>
      </c>
      <c r="F13" s="11" t="s">
        <v>670</v>
      </c>
      <c r="G13" s="11" t="s">
        <v>670</v>
      </c>
      <c r="H13" s="11" t="s">
        <v>729</v>
      </c>
      <c r="I13" s="11" t="s">
        <v>729</v>
      </c>
      <c r="J13" s="11" t="s">
        <v>729</v>
      </c>
      <c r="K13" s="11" t="s">
        <v>729</v>
      </c>
      <c r="L13" s="11" t="s">
        <v>729</v>
      </c>
      <c r="M13" s="11" t="s">
        <v>729</v>
      </c>
      <c r="N13" s="11" t="s">
        <v>729</v>
      </c>
      <c r="O13" s="11" t="s">
        <v>729</v>
      </c>
      <c r="P13" s="11" t="s">
        <v>729</v>
      </c>
      <c r="Q13" s="11" t="s">
        <v>729</v>
      </c>
      <c r="R13" s="11" t="s">
        <v>729</v>
      </c>
      <c r="S13" s="11" t="s">
        <v>729</v>
      </c>
      <c r="T13" s="11" t="s">
        <v>729</v>
      </c>
      <c r="U13" s="11" t="s">
        <v>729</v>
      </c>
      <c r="V13" s="12" t="s">
        <v>729</v>
      </c>
    </row>
    <row r="14" ht="18" customHeight="1" spans="1:22">
      <c r="A14" s="19"/>
      <c r="B14" s="20" t="s">
        <v>698</v>
      </c>
      <c r="C14" s="20"/>
      <c r="D14" s="20"/>
      <c r="E14" s="6" t="s">
        <v>729</v>
      </c>
      <c r="F14" s="11" t="s">
        <v>766</v>
      </c>
      <c r="G14" s="11" t="s">
        <v>766</v>
      </c>
      <c r="H14" s="11" t="s">
        <v>729</v>
      </c>
      <c r="I14" s="11" t="s">
        <v>729</v>
      </c>
      <c r="J14" s="11" t="s">
        <v>729</v>
      </c>
      <c r="K14" s="11" t="s">
        <v>729</v>
      </c>
      <c r="L14" s="11" t="s">
        <v>729</v>
      </c>
      <c r="M14" s="11" t="s">
        <v>729</v>
      </c>
      <c r="N14" s="11" t="s">
        <v>729</v>
      </c>
      <c r="O14" s="11" t="s">
        <v>729</v>
      </c>
      <c r="P14" s="11" t="s">
        <v>729</v>
      </c>
      <c r="Q14" s="11" t="s">
        <v>729</v>
      </c>
      <c r="R14" s="11" t="s">
        <v>729</v>
      </c>
      <c r="S14" s="11" t="s">
        <v>729</v>
      </c>
      <c r="T14" s="11" t="s">
        <v>729</v>
      </c>
      <c r="U14" s="11" t="s">
        <v>729</v>
      </c>
      <c r="V14" s="12" t="s">
        <v>729</v>
      </c>
    </row>
    <row r="15" ht="18" customHeight="1" spans="1:22">
      <c r="A15" s="19"/>
      <c r="B15" s="20" t="s">
        <v>699</v>
      </c>
      <c r="C15" s="20"/>
      <c r="D15" s="20"/>
      <c r="E15" s="6" t="s">
        <v>729</v>
      </c>
      <c r="F15" s="6" t="s">
        <v>729</v>
      </c>
      <c r="G15" s="6" t="s">
        <v>729</v>
      </c>
      <c r="H15" s="6" t="s">
        <v>729</v>
      </c>
      <c r="I15" s="6" t="s">
        <v>729</v>
      </c>
      <c r="J15" s="6" t="s">
        <v>729</v>
      </c>
      <c r="K15" s="6" t="s">
        <v>729</v>
      </c>
      <c r="L15" s="6" t="s">
        <v>729</v>
      </c>
      <c r="M15" s="6" t="s">
        <v>729</v>
      </c>
      <c r="N15" s="6" t="s">
        <v>729</v>
      </c>
      <c r="O15" s="6" t="s">
        <v>729</v>
      </c>
      <c r="P15" s="6" t="s">
        <v>729</v>
      </c>
      <c r="Q15" s="6" t="s">
        <v>729</v>
      </c>
      <c r="R15" s="6" t="s">
        <v>729</v>
      </c>
      <c r="S15" s="6" t="s">
        <v>729</v>
      </c>
      <c r="T15" s="6" t="s">
        <v>729</v>
      </c>
      <c r="U15" s="6" t="s">
        <v>729</v>
      </c>
      <c r="V15" s="8" t="s">
        <v>729</v>
      </c>
    </row>
    <row r="16" ht="18" customHeight="1" spans="1:22">
      <c r="A16" s="19"/>
      <c r="B16" s="21" t="s">
        <v>700</v>
      </c>
      <c r="C16" s="21"/>
      <c r="D16" s="21"/>
      <c r="E16" s="22" t="s">
        <v>729</v>
      </c>
      <c r="F16" s="22" t="s">
        <v>729</v>
      </c>
      <c r="G16" s="22" t="s">
        <v>729</v>
      </c>
      <c r="H16" s="22" t="s">
        <v>729</v>
      </c>
      <c r="I16" s="22" t="s">
        <v>729</v>
      </c>
      <c r="J16" s="22" t="s">
        <v>729</v>
      </c>
      <c r="K16" s="22" t="s">
        <v>729</v>
      </c>
      <c r="L16" s="22" t="s">
        <v>729</v>
      </c>
      <c r="M16" s="22" t="s">
        <v>729</v>
      </c>
      <c r="N16" s="22" t="s">
        <v>729</v>
      </c>
      <c r="O16" s="22" t="s">
        <v>729</v>
      </c>
      <c r="P16" s="22" t="s">
        <v>729</v>
      </c>
      <c r="Q16" s="22" t="s">
        <v>729</v>
      </c>
      <c r="R16" s="22" t="s">
        <v>729</v>
      </c>
      <c r="S16" s="22" t="s">
        <v>729</v>
      </c>
      <c r="T16" s="22" t="s">
        <v>729</v>
      </c>
      <c r="U16" s="22" t="s">
        <v>729</v>
      </c>
      <c r="V16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3:D13"/>
    <mergeCell ref="B14:D14"/>
    <mergeCell ref="B15:D15"/>
    <mergeCell ref="B16:D16"/>
    <mergeCell ref="A7:A9"/>
    <mergeCell ref="A10:A12"/>
    <mergeCell ref="A13:A16"/>
  </mergeCells>
  <dataValidations count="3">
    <dataValidation type="list" allowBlank="1" sqref="F13:V13">
      <formula1>"N,A,B"</formula1>
    </dataValidation>
    <dataValidation type="list" allowBlank="1" sqref="F14:V14">
      <formula1>"P,F"</formula1>
    </dataValidation>
    <dataValidation type="list" allowBlank="1" sqref="F11:V12 F8:V9">
      <formula1>"O,-"</formula1>
    </dataValidation>
  </dataValidations>
  <pageMargins left="0.7" right="0.7" top="0.75" bottom="0.75" header="0.3" footer="0.3"/>
  <pageSetup paperSize="1" orientation="portrait"/>
  <headerFooter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6"/>
  <sheetViews>
    <sheetView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135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343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1164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2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1</v>
      </c>
      <c r="M5" s="11">
        <v>0</v>
      </c>
      <c r="N5" s="11">
        <v>1</v>
      </c>
      <c r="O5" s="12">
        <v>2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687</v>
      </c>
      <c r="H6" s="14" t="s">
        <v>729</v>
      </c>
      <c r="I6" s="14" t="s">
        <v>729</v>
      </c>
      <c r="J6" s="14" t="s">
        <v>729</v>
      </c>
      <c r="K6" s="14" t="s">
        <v>729</v>
      </c>
      <c r="L6" s="14" t="s">
        <v>729</v>
      </c>
      <c r="M6" s="14" t="s">
        <v>729</v>
      </c>
      <c r="N6" s="14" t="s">
        <v>729</v>
      </c>
      <c r="O6" s="14" t="s">
        <v>729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15.5" customHeight="1" spans="1:22">
      <c r="A7" s="16" t="s">
        <v>690</v>
      </c>
      <c r="B7" s="17" t="s">
        <v>750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40.5" customHeight="1" spans="1:22">
      <c r="A8" s="16"/>
      <c r="B8" s="6" t="s">
        <v>729</v>
      </c>
      <c r="C8" s="6" t="s">
        <v>729</v>
      </c>
      <c r="D8" s="18" t="s">
        <v>1165</v>
      </c>
      <c r="E8" s="6" t="s">
        <v>729</v>
      </c>
      <c r="F8" s="11" t="s">
        <v>752</v>
      </c>
      <c r="G8" s="11" t="s">
        <v>756</v>
      </c>
      <c r="H8" s="11" t="s">
        <v>729</v>
      </c>
      <c r="I8" s="11" t="s">
        <v>729</v>
      </c>
      <c r="J8" s="11" t="s">
        <v>729</v>
      </c>
      <c r="K8" s="11" t="s">
        <v>729</v>
      </c>
      <c r="L8" s="11" t="s">
        <v>729</v>
      </c>
      <c r="M8" s="11" t="s">
        <v>729</v>
      </c>
      <c r="N8" s="11" t="s">
        <v>729</v>
      </c>
      <c r="O8" s="11" t="s">
        <v>729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65.5" customHeight="1" spans="1:22">
      <c r="A9" s="16"/>
      <c r="B9" s="6" t="s">
        <v>729</v>
      </c>
      <c r="C9" s="6" t="s">
        <v>729</v>
      </c>
      <c r="D9" s="18" t="s">
        <v>1166</v>
      </c>
      <c r="E9" s="6" t="s">
        <v>729</v>
      </c>
      <c r="F9" s="11" t="s">
        <v>756</v>
      </c>
      <c r="G9" s="11" t="s">
        <v>752</v>
      </c>
      <c r="H9" s="11" t="s">
        <v>729</v>
      </c>
      <c r="I9" s="11" t="s">
        <v>729</v>
      </c>
      <c r="J9" s="11" t="s">
        <v>729</v>
      </c>
      <c r="K9" s="11" t="s">
        <v>729</v>
      </c>
      <c r="L9" s="11" t="s">
        <v>729</v>
      </c>
      <c r="M9" s="11" t="s">
        <v>729</v>
      </c>
      <c r="N9" s="11" t="s">
        <v>729</v>
      </c>
      <c r="O9" s="11" t="s">
        <v>729</v>
      </c>
      <c r="P9" s="11" t="s">
        <v>729</v>
      </c>
      <c r="Q9" s="11" t="s">
        <v>729</v>
      </c>
      <c r="R9" s="11" t="s">
        <v>729</v>
      </c>
      <c r="S9" s="11" t="s">
        <v>729</v>
      </c>
      <c r="T9" s="11" t="s">
        <v>729</v>
      </c>
      <c r="U9" s="11" t="s">
        <v>729</v>
      </c>
      <c r="V9" s="12" t="s">
        <v>729</v>
      </c>
    </row>
    <row r="10" ht="15.5" customHeight="1" spans="1:22">
      <c r="A10" s="16" t="s">
        <v>692</v>
      </c>
      <c r="B10" s="17" t="s">
        <v>693</v>
      </c>
      <c r="C10" s="6" t="s">
        <v>729</v>
      </c>
      <c r="D10" s="6" t="s">
        <v>729</v>
      </c>
      <c r="E10" s="6" t="s">
        <v>729</v>
      </c>
      <c r="F10" s="6" t="s">
        <v>729</v>
      </c>
      <c r="G10" s="6" t="s">
        <v>729</v>
      </c>
      <c r="H10" s="6" t="s">
        <v>729</v>
      </c>
      <c r="I10" s="6" t="s">
        <v>729</v>
      </c>
      <c r="J10" s="6" t="s">
        <v>729</v>
      </c>
      <c r="K10" s="6" t="s">
        <v>729</v>
      </c>
      <c r="L10" s="6" t="s">
        <v>729</v>
      </c>
      <c r="M10" s="6" t="s">
        <v>729</v>
      </c>
      <c r="N10" s="6" t="s">
        <v>729</v>
      </c>
      <c r="O10" s="6" t="s">
        <v>729</v>
      </c>
      <c r="P10" s="6" t="s">
        <v>729</v>
      </c>
      <c r="Q10" s="6" t="s">
        <v>729</v>
      </c>
      <c r="R10" s="6" t="s">
        <v>729</v>
      </c>
      <c r="S10" s="6" t="s">
        <v>729</v>
      </c>
      <c r="T10" s="6" t="s">
        <v>729</v>
      </c>
      <c r="U10" s="6" t="s">
        <v>729</v>
      </c>
      <c r="V10" s="8" t="s">
        <v>729</v>
      </c>
    </row>
    <row r="11" ht="40.5" customHeight="1" spans="1:22">
      <c r="A11" s="16"/>
      <c r="B11" s="6" t="s">
        <v>729</v>
      </c>
      <c r="C11" s="6" t="s">
        <v>729</v>
      </c>
      <c r="D11" s="18" t="s">
        <v>1167</v>
      </c>
      <c r="E11" s="6" t="s">
        <v>729</v>
      </c>
      <c r="F11" s="11" t="s">
        <v>752</v>
      </c>
      <c r="G11" s="11" t="s">
        <v>756</v>
      </c>
      <c r="H11" s="11" t="s">
        <v>729</v>
      </c>
      <c r="I11" s="11" t="s">
        <v>729</v>
      </c>
      <c r="J11" s="11" t="s">
        <v>729</v>
      </c>
      <c r="K11" s="11" t="s">
        <v>729</v>
      </c>
      <c r="L11" s="11" t="s">
        <v>729</v>
      </c>
      <c r="M11" s="11" t="s">
        <v>729</v>
      </c>
      <c r="N11" s="11" t="s">
        <v>729</v>
      </c>
      <c r="O11" s="11" t="s">
        <v>729</v>
      </c>
      <c r="P11" s="11" t="s">
        <v>729</v>
      </c>
      <c r="Q11" s="11" t="s">
        <v>729</v>
      </c>
      <c r="R11" s="11" t="s">
        <v>729</v>
      </c>
      <c r="S11" s="11" t="s">
        <v>729</v>
      </c>
      <c r="T11" s="11" t="s">
        <v>729</v>
      </c>
      <c r="U11" s="11" t="s">
        <v>729</v>
      </c>
      <c r="V11" s="12" t="s">
        <v>729</v>
      </c>
    </row>
    <row r="12" ht="90.5" customHeight="1" spans="1:22">
      <c r="A12" s="16"/>
      <c r="B12" s="6" t="s">
        <v>729</v>
      </c>
      <c r="C12" s="6" t="s">
        <v>729</v>
      </c>
      <c r="D12" s="18" t="s">
        <v>1168</v>
      </c>
      <c r="E12" s="6" t="s">
        <v>729</v>
      </c>
      <c r="F12" s="11" t="s">
        <v>756</v>
      </c>
      <c r="G12" s="11" t="s">
        <v>752</v>
      </c>
      <c r="H12" s="11" t="s">
        <v>729</v>
      </c>
      <c r="I12" s="11" t="s">
        <v>729</v>
      </c>
      <c r="J12" s="11" t="s">
        <v>729</v>
      </c>
      <c r="K12" s="11" t="s">
        <v>729</v>
      </c>
      <c r="L12" s="11" t="s">
        <v>729</v>
      </c>
      <c r="M12" s="11" t="s">
        <v>729</v>
      </c>
      <c r="N12" s="11" t="s">
        <v>729</v>
      </c>
      <c r="O12" s="11" t="s">
        <v>729</v>
      </c>
      <c r="P12" s="11" t="s">
        <v>729</v>
      </c>
      <c r="Q12" s="11" t="s">
        <v>729</v>
      </c>
      <c r="R12" s="11" t="s">
        <v>729</v>
      </c>
      <c r="S12" s="11" t="s">
        <v>729</v>
      </c>
      <c r="T12" s="11" t="s">
        <v>729</v>
      </c>
      <c r="U12" s="11" t="s">
        <v>729</v>
      </c>
      <c r="V12" s="12" t="s">
        <v>729</v>
      </c>
    </row>
    <row r="13" ht="18" customHeight="1" spans="1:22">
      <c r="A13" s="19" t="s">
        <v>696</v>
      </c>
      <c r="B13" s="20" t="s">
        <v>765</v>
      </c>
      <c r="C13" s="20"/>
      <c r="D13" s="20"/>
      <c r="E13" s="6" t="s">
        <v>729</v>
      </c>
      <c r="F13" s="11" t="s">
        <v>670</v>
      </c>
      <c r="G13" s="11" t="s">
        <v>671</v>
      </c>
      <c r="H13" s="11" t="s">
        <v>729</v>
      </c>
      <c r="I13" s="11" t="s">
        <v>729</v>
      </c>
      <c r="J13" s="11" t="s">
        <v>729</v>
      </c>
      <c r="K13" s="11" t="s">
        <v>729</v>
      </c>
      <c r="L13" s="11" t="s">
        <v>729</v>
      </c>
      <c r="M13" s="11" t="s">
        <v>729</v>
      </c>
      <c r="N13" s="11" t="s">
        <v>729</v>
      </c>
      <c r="O13" s="11" t="s">
        <v>729</v>
      </c>
      <c r="P13" s="11" t="s">
        <v>729</v>
      </c>
      <c r="Q13" s="11" t="s">
        <v>729</v>
      </c>
      <c r="R13" s="11" t="s">
        <v>729</v>
      </c>
      <c r="S13" s="11" t="s">
        <v>729</v>
      </c>
      <c r="T13" s="11" t="s">
        <v>729</v>
      </c>
      <c r="U13" s="11" t="s">
        <v>729</v>
      </c>
      <c r="V13" s="12" t="s">
        <v>729</v>
      </c>
    </row>
    <row r="14" ht="18" customHeight="1" spans="1:22">
      <c r="A14" s="19"/>
      <c r="B14" s="20" t="s">
        <v>698</v>
      </c>
      <c r="C14" s="20"/>
      <c r="D14" s="20"/>
      <c r="E14" s="6" t="s">
        <v>729</v>
      </c>
      <c r="F14" s="11" t="s">
        <v>766</v>
      </c>
      <c r="G14" s="11" t="s">
        <v>766</v>
      </c>
      <c r="H14" s="11" t="s">
        <v>729</v>
      </c>
      <c r="I14" s="11" t="s">
        <v>729</v>
      </c>
      <c r="J14" s="11" t="s">
        <v>729</v>
      </c>
      <c r="K14" s="11" t="s">
        <v>729</v>
      </c>
      <c r="L14" s="11" t="s">
        <v>729</v>
      </c>
      <c r="M14" s="11" t="s">
        <v>729</v>
      </c>
      <c r="N14" s="11" t="s">
        <v>729</v>
      </c>
      <c r="O14" s="11" t="s">
        <v>729</v>
      </c>
      <c r="P14" s="11" t="s">
        <v>729</v>
      </c>
      <c r="Q14" s="11" t="s">
        <v>729</v>
      </c>
      <c r="R14" s="11" t="s">
        <v>729</v>
      </c>
      <c r="S14" s="11" t="s">
        <v>729</v>
      </c>
      <c r="T14" s="11" t="s">
        <v>729</v>
      </c>
      <c r="U14" s="11" t="s">
        <v>729</v>
      </c>
      <c r="V14" s="12" t="s">
        <v>729</v>
      </c>
    </row>
    <row r="15" ht="18" customHeight="1" spans="1:22">
      <c r="A15" s="19"/>
      <c r="B15" s="20" t="s">
        <v>699</v>
      </c>
      <c r="C15" s="20"/>
      <c r="D15" s="20"/>
      <c r="E15" s="6" t="s">
        <v>729</v>
      </c>
      <c r="F15" s="6" t="s">
        <v>729</v>
      </c>
      <c r="G15" s="6" t="s">
        <v>729</v>
      </c>
      <c r="H15" s="6" t="s">
        <v>729</v>
      </c>
      <c r="I15" s="6" t="s">
        <v>729</v>
      </c>
      <c r="J15" s="6" t="s">
        <v>729</v>
      </c>
      <c r="K15" s="6" t="s">
        <v>729</v>
      </c>
      <c r="L15" s="6" t="s">
        <v>729</v>
      </c>
      <c r="M15" s="6" t="s">
        <v>729</v>
      </c>
      <c r="N15" s="6" t="s">
        <v>729</v>
      </c>
      <c r="O15" s="6" t="s">
        <v>729</v>
      </c>
      <c r="P15" s="6" t="s">
        <v>729</v>
      </c>
      <c r="Q15" s="6" t="s">
        <v>729</v>
      </c>
      <c r="R15" s="6" t="s">
        <v>729</v>
      </c>
      <c r="S15" s="6" t="s">
        <v>729</v>
      </c>
      <c r="T15" s="6" t="s">
        <v>729</v>
      </c>
      <c r="U15" s="6" t="s">
        <v>729</v>
      </c>
      <c r="V15" s="8" t="s">
        <v>729</v>
      </c>
    </row>
    <row r="16" ht="18" customHeight="1" spans="1:22">
      <c r="A16" s="19"/>
      <c r="B16" s="21" t="s">
        <v>700</v>
      </c>
      <c r="C16" s="21"/>
      <c r="D16" s="21"/>
      <c r="E16" s="22" t="s">
        <v>729</v>
      </c>
      <c r="F16" s="22" t="s">
        <v>729</v>
      </c>
      <c r="G16" s="22" t="s">
        <v>729</v>
      </c>
      <c r="H16" s="22" t="s">
        <v>729</v>
      </c>
      <c r="I16" s="22" t="s">
        <v>729</v>
      </c>
      <c r="J16" s="22" t="s">
        <v>729</v>
      </c>
      <c r="K16" s="22" t="s">
        <v>729</v>
      </c>
      <c r="L16" s="22" t="s">
        <v>729</v>
      </c>
      <c r="M16" s="22" t="s">
        <v>729</v>
      </c>
      <c r="N16" s="22" t="s">
        <v>729</v>
      </c>
      <c r="O16" s="22" t="s">
        <v>729</v>
      </c>
      <c r="P16" s="22" t="s">
        <v>729</v>
      </c>
      <c r="Q16" s="22" t="s">
        <v>729</v>
      </c>
      <c r="R16" s="22" t="s">
        <v>729</v>
      </c>
      <c r="S16" s="22" t="s">
        <v>729</v>
      </c>
      <c r="T16" s="22" t="s">
        <v>729</v>
      </c>
      <c r="U16" s="22" t="s">
        <v>729</v>
      </c>
      <c r="V16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3:D13"/>
    <mergeCell ref="B14:D14"/>
    <mergeCell ref="B15:D15"/>
    <mergeCell ref="B16:D16"/>
    <mergeCell ref="A7:A9"/>
    <mergeCell ref="A10:A12"/>
    <mergeCell ref="A13:A16"/>
  </mergeCells>
  <dataValidations count="3">
    <dataValidation type="list" allowBlank="1" sqref="F13:V13">
      <formula1>"N,A,B"</formula1>
    </dataValidation>
    <dataValidation type="list" allowBlank="1" sqref="F14:V14">
      <formula1>"P,F"</formula1>
    </dataValidation>
    <dataValidation type="list" allowBlank="1" sqref="F11:V12 F8:V9">
      <formula1>"O,-"</formula1>
    </dataValidation>
  </dataValidations>
  <pageMargins left="0.7" right="0.7" top="0.75" bottom="0.75" header="0.3" footer="0.3"/>
  <pageSetup paperSize="1" orientation="portrait"/>
  <headerFooter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6"/>
  <sheetViews>
    <sheetView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135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348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1169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2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1</v>
      </c>
      <c r="M5" s="11">
        <v>1</v>
      </c>
      <c r="N5" s="11">
        <v>0</v>
      </c>
      <c r="O5" s="12">
        <v>2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687</v>
      </c>
      <c r="H6" s="14" t="s">
        <v>729</v>
      </c>
      <c r="I6" s="14" t="s">
        <v>729</v>
      </c>
      <c r="J6" s="14" t="s">
        <v>729</v>
      </c>
      <c r="K6" s="14" t="s">
        <v>729</v>
      </c>
      <c r="L6" s="14" t="s">
        <v>729</v>
      </c>
      <c r="M6" s="14" t="s">
        <v>729</v>
      </c>
      <c r="N6" s="14" t="s">
        <v>729</v>
      </c>
      <c r="O6" s="14" t="s">
        <v>729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28" customHeight="1" spans="1:22">
      <c r="A7" s="16" t="s">
        <v>690</v>
      </c>
      <c r="B7" s="17" t="s">
        <v>1170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15.5" customHeight="1" spans="1:22">
      <c r="A8" s="16"/>
      <c r="B8" s="6" t="s">
        <v>729</v>
      </c>
      <c r="C8" s="6" t="s">
        <v>729</v>
      </c>
      <c r="D8" s="18" t="s">
        <v>1171</v>
      </c>
      <c r="E8" s="6" t="s">
        <v>729</v>
      </c>
      <c r="F8" s="11" t="s">
        <v>752</v>
      </c>
      <c r="G8" s="11" t="s">
        <v>756</v>
      </c>
      <c r="H8" s="11" t="s">
        <v>729</v>
      </c>
      <c r="I8" s="11" t="s">
        <v>729</v>
      </c>
      <c r="J8" s="11" t="s">
        <v>729</v>
      </c>
      <c r="K8" s="11" t="s">
        <v>729</v>
      </c>
      <c r="L8" s="11" t="s">
        <v>729</v>
      </c>
      <c r="M8" s="11" t="s">
        <v>729</v>
      </c>
      <c r="N8" s="11" t="s">
        <v>729</v>
      </c>
      <c r="O8" s="11" t="s">
        <v>729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28" customHeight="1" spans="1:22">
      <c r="A9" s="16"/>
      <c r="B9" s="6" t="s">
        <v>729</v>
      </c>
      <c r="C9" s="6" t="s">
        <v>729</v>
      </c>
      <c r="D9" s="18" t="s">
        <v>1172</v>
      </c>
      <c r="E9" s="6" t="s">
        <v>729</v>
      </c>
      <c r="F9" s="11" t="s">
        <v>756</v>
      </c>
      <c r="G9" s="11" t="s">
        <v>752</v>
      </c>
      <c r="H9" s="11" t="s">
        <v>729</v>
      </c>
      <c r="I9" s="11" t="s">
        <v>729</v>
      </c>
      <c r="J9" s="11" t="s">
        <v>729</v>
      </c>
      <c r="K9" s="11" t="s">
        <v>729</v>
      </c>
      <c r="L9" s="11" t="s">
        <v>729</v>
      </c>
      <c r="M9" s="11" t="s">
        <v>729</v>
      </c>
      <c r="N9" s="11" t="s">
        <v>729</v>
      </c>
      <c r="O9" s="11" t="s">
        <v>729</v>
      </c>
      <c r="P9" s="11" t="s">
        <v>729</v>
      </c>
      <c r="Q9" s="11" t="s">
        <v>729</v>
      </c>
      <c r="R9" s="11" t="s">
        <v>729</v>
      </c>
      <c r="S9" s="11" t="s">
        <v>729</v>
      </c>
      <c r="T9" s="11" t="s">
        <v>729</v>
      </c>
      <c r="U9" s="11" t="s">
        <v>729</v>
      </c>
      <c r="V9" s="12" t="s">
        <v>729</v>
      </c>
    </row>
    <row r="10" ht="15.5" customHeight="1" spans="1:22">
      <c r="A10" s="16" t="s">
        <v>692</v>
      </c>
      <c r="B10" s="17" t="s">
        <v>693</v>
      </c>
      <c r="C10" s="6" t="s">
        <v>729</v>
      </c>
      <c r="D10" s="6" t="s">
        <v>729</v>
      </c>
      <c r="E10" s="6" t="s">
        <v>729</v>
      </c>
      <c r="F10" s="6" t="s">
        <v>729</v>
      </c>
      <c r="G10" s="6" t="s">
        <v>729</v>
      </c>
      <c r="H10" s="6" t="s">
        <v>729</v>
      </c>
      <c r="I10" s="6" t="s">
        <v>729</v>
      </c>
      <c r="J10" s="6" t="s">
        <v>729</v>
      </c>
      <c r="K10" s="6" t="s">
        <v>729</v>
      </c>
      <c r="L10" s="6" t="s">
        <v>729</v>
      </c>
      <c r="M10" s="6" t="s">
        <v>729</v>
      </c>
      <c r="N10" s="6" t="s">
        <v>729</v>
      </c>
      <c r="O10" s="6" t="s">
        <v>729</v>
      </c>
      <c r="P10" s="6" t="s">
        <v>729</v>
      </c>
      <c r="Q10" s="6" t="s">
        <v>729</v>
      </c>
      <c r="R10" s="6" t="s">
        <v>729</v>
      </c>
      <c r="S10" s="6" t="s">
        <v>729</v>
      </c>
      <c r="T10" s="6" t="s">
        <v>729</v>
      </c>
      <c r="U10" s="6" t="s">
        <v>729</v>
      </c>
      <c r="V10" s="8" t="s">
        <v>729</v>
      </c>
    </row>
    <row r="11" ht="40.5" customHeight="1" spans="1:22">
      <c r="A11" s="16"/>
      <c r="B11" s="6" t="s">
        <v>729</v>
      </c>
      <c r="C11" s="6" t="s">
        <v>729</v>
      </c>
      <c r="D11" s="18" t="s">
        <v>1173</v>
      </c>
      <c r="E11" s="6" t="s">
        <v>729</v>
      </c>
      <c r="F11" s="11" t="s">
        <v>752</v>
      </c>
      <c r="G11" s="11" t="s">
        <v>756</v>
      </c>
      <c r="H11" s="11" t="s">
        <v>729</v>
      </c>
      <c r="I11" s="11" t="s">
        <v>729</v>
      </c>
      <c r="J11" s="11" t="s">
        <v>729</v>
      </c>
      <c r="K11" s="11" t="s">
        <v>729</v>
      </c>
      <c r="L11" s="11" t="s">
        <v>729</v>
      </c>
      <c r="M11" s="11" t="s">
        <v>729</v>
      </c>
      <c r="N11" s="11" t="s">
        <v>729</v>
      </c>
      <c r="O11" s="11" t="s">
        <v>729</v>
      </c>
      <c r="P11" s="11" t="s">
        <v>729</v>
      </c>
      <c r="Q11" s="11" t="s">
        <v>729</v>
      </c>
      <c r="R11" s="11" t="s">
        <v>729</v>
      </c>
      <c r="S11" s="11" t="s">
        <v>729</v>
      </c>
      <c r="T11" s="11" t="s">
        <v>729</v>
      </c>
      <c r="U11" s="11" t="s">
        <v>729</v>
      </c>
      <c r="V11" s="12" t="s">
        <v>729</v>
      </c>
    </row>
    <row r="12" ht="65.5" customHeight="1" spans="1:22">
      <c r="A12" s="16"/>
      <c r="B12" s="6" t="s">
        <v>729</v>
      </c>
      <c r="C12" s="6" t="s">
        <v>729</v>
      </c>
      <c r="D12" s="18" t="s">
        <v>1174</v>
      </c>
      <c r="E12" s="6" t="s">
        <v>729</v>
      </c>
      <c r="F12" s="11" t="s">
        <v>756</v>
      </c>
      <c r="G12" s="11" t="s">
        <v>752</v>
      </c>
      <c r="H12" s="11" t="s">
        <v>729</v>
      </c>
      <c r="I12" s="11" t="s">
        <v>729</v>
      </c>
      <c r="J12" s="11" t="s">
        <v>729</v>
      </c>
      <c r="K12" s="11" t="s">
        <v>729</v>
      </c>
      <c r="L12" s="11" t="s">
        <v>729</v>
      </c>
      <c r="M12" s="11" t="s">
        <v>729</v>
      </c>
      <c r="N12" s="11" t="s">
        <v>729</v>
      </c>
      <c r="O12" s="11" t="s">
        <v>729</v>
      </c>
      <c r="P12" s="11" t="s">
        <v>729</v>
      </c>
      <c r="Q12" s="11" t="s">
        <v>729</v>
      </c>
      <c r="R12" s="11" t="s">
        <v>729</v>
      </c>
      <c r="S12" s="11" t="s">
        <v>729</v>
      </c>
      <c r="T12" s="11" t="s">
        <v>729</v>
      </c>
      <c r="U12" s="11" t="s">
        <v>729</v>
      </c>
      <c r="V12" s="12" t="s">
        <v>729</v>
      </c>
    </row>
    <row r="13" ht="18" customHeight="1" spans="1:22">
      <c r="A13" s="19" t="s">
        <v>696</v>
      </c>
      <c r="B13" s="20" t="s">
        <v>765</v>
      </c>
      <c r="C13" s="20"/>
      <c r="D13" s="20"/>
      <c r="E13" s="6" t="s">
        <v>729</v>
      </c>
      <c r="F13" s="11" t="s">
        <v>670</v>
      </c>
      <c r="G13" s="11" t="s">
        <v>63</v>
      </c>
      <c r="H13" s="11" t="s">
        <v>729</v>
      </c>
      <c r="I13" s="11" t="s">
        <v>729</v>
      </c>
      <c r="J13" s="11" t="s">
        <v>729</v>
      </c>
      <c r="K13" s="11" t="s">
        <v>729</v>
      </c>
      <c r="L13" s="11" t="s">
        <v>729</v>
      </c>
      <c r="M13" s="11" t="s">
        <v>729</v>
      </c>
      <c r="N13" s="11" t="s">
        <v>729</v>
      </c>
      <c r="O13" s="11" t="s">
        <v>729</v>
      </c>
      <c r="P13" s="11" t="s">
        <v>729</v>
      </c>
      <c r="Q13" s="11" t="s">
        <v>729</v>
      </c>
      <c r="R13" s="11" t="s">
        <v>729</v>
      </c>
      <c r="S13" s="11" t="s">
        <v>729</v>
      </c>
      <c r="T13" s="11" t="s">
        <v>729</v>
      </c>
      <c r="U13" s="11" t="s">
        <v>729</v>
      </c>
      <c r="V13" s="12" t="s">
        <v>729</v>
      </c>
    </row>
    <row r="14" ht="18" customHeight="1" spans="1:22">
      <c r="A14" s="19"/>
      <c r="B14" s="20" t="s">
        <v>698</v>
      </c>
      <c r="C14" s="20"/>
      <c r="D14" s="20"/>
      <c r="E14" s="6" t="s">
        <v>729</v>
      </c>
      <c r="F14" s="11" t="s">
        <v>766</v>
      </c>
      <c r="G14" s="11" t="s">
        <v>766</v>
      </c>
      <c r="H14" s="11" t="s">
        <v>729</v>
      </c>
      <c r="I14" s="11" t="s">
        <v>729</v>
      </c>
      <c r="J14" s="11" t="s">
        <v>729</v>
      </c>
      <c r="K14" s="11" t="s">
        <v>729</v>
      </c>
      <c r="L14" s="11" t="s">
        <v>729</v>
      </c>
      <c r="M14" s="11" t="s">
        <v>729</v>
      </c>
      <c r="N14" s="11" t="s">
        <v>729</v>
      </c>
      <c r="O14" s="11" t="s">
        <v>729</v>
      </c>
      <c r="P14" s="11" t="s">
        <v>729</v>
      </c>
      <c r="Q14" s="11" t="s">
        <v>729</v>
      </c>
      <c r="R14" s="11" t="s">
        <v>729</v>
      </c>
      <c r="S14" s="11" t="s">
        <v>729</v>
      </c>
      <c r="T14" s="11" t="s">
        <v>729</v>
      </c>
      <c r="U14" s="11" t="s">
        <v>729</v>
      </c>
      <c r="V14" s="12" t="s">
        <v>729</v>
      </c>
    </row>
    <row r="15" ht="18" customHeight="1" spans="1:22">
      <c r="A15" s="19"/>
      <c r="B15" s="20" t="s">
        <v>699</v>
      </c>
      <c r="C15" s="20"/>
      <c r="D15" s="20"/>
      <c r="E15" s="6" t="s">
        <v>729</v>
      </c>
      <c r="F15" s="6" t="s">
        <v>729</v>
      </c>
      <c r="G15" s="6" t="s">
        <v>729</v>
      </c>
      <c r="H15" s="6" t="s">
        <v>729</v>
      </c>
      <c r="I15" s="6" t="s">
        <v>729</v>
      </c>
      <c r="J15" s="6" t="s">
        <v>729</v>
      </c>
      <c r="K15" s="6" t="s">
        <v>729</v>
      </c>
      <c r="L15" s="6" t="s">
        <v>729</v>
      </c>
      <c r="M15" s="6" t="s">
        <v>729</v>
      </c>
      <c r="N15" s="6" t="s">
        <v>729</v>
      </c>
      <c r="O15" s="6" t="s">
        <v>729</v>
      </c>
      <c r="P15" s="6" t="s">
        <v>729</v>
      </c>
      <c r="Q15" s="6" t="s">
        <v>729</v>
      </c>
      <c r="R15" s="6" t="s">
        <v>729</v>
      </c>
      <c r="S15" s="6" t="s">
        <v>729</v>
      </c>
      <c r="T15" s="6" t="s">
        <v>729</v>
      </c>
      <c r="U15" s="6" t="s">
        <v>729</v>
      </c>
      <c r="V15" s="8" t="s">
        <v>729</v>
      </c>
    </row>
    <row r="16" ht="18" customHeight="1" spans="1:22">
      <c r="A16" s="19"/>
      <c r="B16" s="21" t="s">
        <v>700</v>
      </c>
      <c r="C16" s="21"/>
      <c r="D16" s="21"/>
      <c r="E16" s="22" t="s">
        <v>729</v>
      </c>
      <c r="F16" s="22" t="s">
        <v>729</v>
      </c>
      <c r="G16" s="22" t="s">
        <v>729</v>
      </c>
      <c r="H16" s="22" t="s">
        <v>729</v>
      </c>
      <c r="I16" s="22" t="s">
        <v>729</v>
      </c>
      <c r="J16" s="22" t="s">
        <v>729</v>
      </c>
      <c r="K16" s="22" t="s">
        <v>729</v>
      </c>
      <c r="L16" s="22" t="s">
        <v>729</v>
      </c>
      <c r="M16" s="22" t="s">
        <v>729</v>
      </c>
      <c r="N16" s="22" t="s">
        <v>729</v>
      </c>
      <c r="O16" s="22" t="s">
        <v>729</v>
      </c>
      <c r="P16" s="22" t="s">
        <v>729</v>
      </c>
      <c r="Q16" s="22" t="s">
        <v>729</v>
      </c>
      <c r="R16" s="22" t="s">
        <v>729</v>
      </c>
      <c r="S16" s="22" t="s">
        <v>729</v>
      </c>
      <c r="T16" s="22" t="s">
        <v>729</v>
      </c>
      <c r="U16" s="22" t="s">
        <v>729</v>
      </c>
      <c r="V16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3:D13"/>
    <mergeCell ref="B14:D14"/>
    <mergeCell ref="B15:D15"/>
    <mergeCell ref="B16:D16"/>
    <mergeCell ref="A7:A9"/>
    <mergeCell ref="A10:A12"/>
    <mergeCell ref="A13:A16"/>
  </mergeCells>
  <dataValidations count="3">
    <dataValidation type="list" allowBlank="1" sqref="F13:V13">
      <formula1>"N,A,B"</formula1>
    </dataValidation>
    <dataValidation type="list" allowBlank="1" sqref="F14:V14">
      <formula1>"P,F"</formula1>
    </dataValidation>
    <dataValidation type="list" allowBlank="1" sqref="F11:V12 F8:V9">
      <formula1>"O,-"</formula1>
    </dataValidation>
  </dataValidations>
  <pageMargins left="0.7" right="0.7" top="0.75" bottom="0.75" header="0.3" footer="0.3"/>
  <pageSetup paperSize="1" orientation="portrait"/>
  <headerFooter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6"/>
  <sheetViews>
    <sheetView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135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353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1175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2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1</v>
      </c>
      <c r="M5" s="11">
        <v>0</v>
      </c>
      <c r="N5" s="11">
        <v>1</v>
      </c>
      <c r="O5" s="12">
        <v>2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687</v>
      </c>
      <c r="H6" s="14" t="s">
        <v>729</v>
      </c>
      <c r="I6" s="14" t="s">
        <v>729</v>
      </c>
      <c r="J6" s="14" t="s">
        <v>729</v>
      </c>
      <c r="K6" s="14" t="s">
        <v>729</v>
      </c>
      <c r="L6" s="14" t="s">
        <v>729</v>
      </c>
      <c r="M6" s="14" t="s">
        <v>729</v>
      </c>
      <c r="N6" s="14" t="s">
        <v>729</v>
      </c>
      <c r="O6" s="14" t="s">
        <v>729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15.5" customHeight="1" spans="1:22">
      <c r="A7" s="16" t="s">
        <v>690</v>
      </c>
      <c r="B7" s="17" t="s">
        <v>1176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28" customHeight="1" spans="1:22">
      <c r="A8" s="16"/>
      <c r="B8" s="6" t="s">
        <v>729</v>
      </c>
      <c r="C8" s="6" t="s">
        <v>729</v>
      </c>
      <c r="D8" s="18" t="s">
        <v>1177</v>
      </c>
      <c r="E8" s="6" t="s">
        <v>729</v>
      </c>
      <c r="F8" s="11" t="s">
        <v>752</v>
      </c>
      <c r="G8" s="11" t="s">
        <v>756</v>
      </c>
      <c r="H8" s="11" t="s">
        <v>729</v>
      </c>
      <c r="I8" s="11" t="s">
        <v>729</v>
      </c>
      <c r="J8" s="11" t="s">
        <v>729</v>
      </c>
      <c r="K8" s="11" t="s">
        <v>729</v>
      </c>
      <c r="L8" s="11" t="s">
        <v>729</v>
      </c>
      <c r="M8" s="11" t="s">
        <v>729</v>
      </c>
      <c r="N8" s="11" t="s">
        <v>729</v>
      </c>
      <c r="O8" s="11" t="s">
        <v>729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28" customHeight="1" spans="1:22">
      <c r="A9" s="16"/>
      <c r="B9" s="6" t="s">
        <v>729</v>
      </c>
      <c r="C9" s="6" t="s">
        <v>729</v>
      </c>
      <c r="D9" s="18" t="s">
        <v>1178</v>
      </c>
      <c r="E9" s="6" t="s">
        <v>729</v>
      </c>
      <c r="F9" s="11" t="s">
        <v>756</v>
      </c>
      <c r="G9" s="11" t="s">
        <v>752</v>
      </c>
      <c r="H9" s="11" t="s">
        <v>729</v>
      </c>
      <c r="I9" s="11" t="s">
        <v>729</v>
      </c>
      <c r="J9" s="11" t="s">
        <v>729</v>
      </c>
      <c r="K9" s="11" t="s">
        <v>729</v>
      </c>
      <c r="L9" s="11" t="s">
        <v>729</v>
      </c>
      <c r="M9" s="11" t="s">
        <v>729</v>
      </c>
      <c r="N9" s="11" t="s">
        <v>729</v>
      </c>
      <c r="O9" s="11" t="s">
        <v>729</v>
      </c>
      <c r="P9" s="11" t="s">
        <v>729</v>
      </c>
      <c r="Q9" s="11" t="s">
        <v>729</v>
      </c>
      <c r="R9" s="11" t="s">
        <v>729</v>
      </c>
      <c r="S9" s="11" t="s">
        <v>729</v>
      </c>
      <c r="T9" s="11" t="s">
        <v>729</v>
      </c>
      <c r="U9" s="11" t="s">
        <v>729</v>
      </c>
      <c r="V9" s="12" t="s">
        <v>729</v>
      </c>
    </row>
    <row r="10" ht="15.5" customHeight="1" spans="1:22">
      <c r="A10" s="16" t="s">
        <v>692</v>
      </c>
      <c r="B10" s="17" t="s">
        <v>693</v>
      </c>
      <c r="C10" s="6" t="s">
        <v>729</v>
      </c>
      <c r="D10" s="6" t="s">
        <v>729</v>
      </c>
      <c r="E10" s="6" t="s">
        <v>729</v>
      </c>
      <c r="F10" s="6" t="s">
        <v>729</v>
      </c>
      <c r="G10" s="6" t="s">
        <v>729</v>
      </c>
      <c r="H10" s="6" t="s">
        <v>729</v>
      </c>
      <c r="I10" s="6" t="s">
        <v>729</v>
      </c>
      <c r="J10" s="6" t="s">
        <v>729</v>
      </c>
      <c r="K10" s="6" t="s">
        <v>729</v>
      </c>
      <c r="L10" s="6" t="s">
        <v>729</v>
      </c>
      <c r="M10" s="6" t="s">
        <v>729</v>
      </c>
      <c r="N10" s="6" t="s">
        <v>729</v>
      </c>
      <c r="O10" s="6" t="s">
        <v>729</v>
      </c>
      <c r="P10" s="6" t="s">
        <v>729</v>
      </c>
      <c r="Q10" s="6" t="s">
        <v>729</v>
      </c>
      <c r="R10" s="6" t="s">
        <v>729</v>
      </c>
      <c r="S10" s="6" t="s">
        <v>729</v>
      </c>
      <c r="T10" s="6" t="s">
        <v>729</v>
      </c>
      <c r="U10" s="6" t="s">
        <v>729</v>
      </c>
      <c r="V10" s="8" t="s">
        <v>729</v>
      </c>
    </row>
    <row r="11" ht="40.5" customHeight="1" spans="1:22">
      <c r="A11" s="16"/>
      <c r="B11" s="6" t="s">
        <v>729</v>
      </c>
      <c r="C11" s="6" t="s">
        <v>729</v>
      </c>
      <c r="D11" s="18" t="s">
        <v>1179</v>
      </c>
      <c r="E11" s="6" t="s">
        <v>729</v>
      </c>
      <c r="F11" s="11" t="s">
        <v>752</v>
      </c>
      <c r="G11" s="11" t="s">
        <v>756</v>
      </c>
      <c r="H11" s="11" t="s">
        <v>729</v>
      </c>
      <c r="I11" s="11" t="s">
        <v>729</v>
      </c>
      <c r="J11" s="11" t="s">
        <v>729</v>
      </c>
      <c r="K11" s="11" t="s">
        <v>729</v>
      </c>
      <c r="L11" s="11" t="s">
        <v>729</v>
      </c>
      <c r="M11" s="11" t="s">
        <v>729</v>
      </c>
      <c r="N11" s="11" t="s">
        <v>729</v>
      </c>
      <c r="O11" s="11" t="s">
        <v>729</v>
      </c>
      <c r="P11" s="11" t="s">
        <v>729</v>
      </c>
      <c r="Q11" s="11" t="s">
        <v>729</v>
      </c>
      <c r="R11" s="11" t="s">
        <v>729</v>
      </c>
      <c r="S11" s="11" t="s">
        <v>729</v>
      </c>
      <c r="T11" s="11" t="s">
        <v>729</v>
      </c>
      <c r="U11" s="11" t="s">
        <v>729</v>
      </c>
      <c r="V11" s="12" t="s">
        <v>729</v>
      </c>
    </row>
    <row r="12" ht="90.5" customHeight="1" spans="1:22">
      <c r="A12" s="16"/>
      <c r="B12" s="6" t="s">
        <v>729</v>
      </c>
      <c r="C12" s="6" t="s">
        <v>729</v>
      </c>
      <c r="D12" s="18" t="s">
        <v>1180</v>
      </c>
      <c r="E12" s="6" t="s">
        <v>729</v>
      </c>
      <c r="F12" s="11" t="s">
        <v>756</v>
      </c>
      <c r="G12" s="11" t="s">
        <v>752</v>
      </c>
      <c r="H12" s="11" t="s">
        <v>729</v>
      </c>
      <c r="I12" s="11" t="s">
        <v>729</v>
      </c>
      <c r="J12" s="11" t="s">
        <v>729</v>
      </c>
      <c r="K12" s="11" t="s">
        <v>729</v>
      </c>
      <c r="L12" s="11" t="s">
        <v>729</v>
      </c>
      <c r="M12" s="11" t="s">
        <v>729</v>
      </c>
      <c r="N12" s="11" t="s">
        <v>729</v>
      </c>
      <c r="O12" s="11" t="s">
        <v>729</v>
      </c>
      <c r="P12" s="11" t="s">
        <v>729</v>
      </c>
      <c r="Q12" s="11" t="s">
        <v>729</v>
      </c>
      <c r="R12" s="11" t="s">
        <v>729</v>
      </c>
      <c r="S12" s="11" t="s">
        <v>729</v>
      </c>
      <c r="T12" s="11" t="s">
        <v>729</v>
      </c>
      <c r="U12" s="11" t="s">
        <v>729</v>
      </c>
      <c r="V12" s="12" t="s">
        <v>729</v>
      </c>
    </row>
    <row r="13" ht="18" customHeight="1" spans="1:22">
      <c r="A13" s="19" t="s">
        <v>696</v>
      </c>
      <c r="B13" s="20" t="s">
        <v>765</v>
      </c>
      <c r="C13" s="20"/>
      <c r="D13" s="20"/>
      <c r="E13" s="6" t="s">
        <v>729</v>
      </c>
      <c r="F13" s="11" t="s">
        <v>670</v>
      </c>
      <c r="G13" s="11" t="s">
        <v>671</v>
      </c>
      <c r="H13" s="11" t="s">
        <v>729</v>
      </c>
      <c r="I13" s="11" t="s">
        <v>729</v>
      </c>
      <c r="J13" s="11" t="s">
        <v>729</v>
      </c>
      <c r="K13" s="11" t="s">
        <v>729</v>
      </c>
      <c r="L13" s="11" t="s">
        <v>729</v>
      </c>
      <c r="M13" s="11" t="s">
        <v>729</v>
      </c>
      <c r="N13" s="11" t="s">
        <v>729</v>
      </c>
      <c r="O13" s="11" t="s">
        <v>729</v>
      </c>
      <c r="P13" s="11" t="s">
        <v>729</v>
      </c>
      <c r="Q13" s="11" t="s">
        <v>729</v>
      </c>
      <c r="R13" s="11" t="s">
        <v>729</v>
      </c>
      <c r="S13" s="11" t="s">
        <v>729</v>
      </c>
      <c r="T13" s="11" t="s">
        <v>729</v>
      </c>
      <c r="U13" s="11" t="s">
        <v>729</v>
      </c>
      <c r="V13" s="12" t="s">
        <v>729</v>
      </c>
    </row>
    <row r="14" ht="18" customHeight="1" spans="1:22">
      <c r="A14" s="19"/>
      <c r="B14" s="20" t="s">
        <v>698</v>
      </c>
      <c r="C14" s="20"/>
      <c r="D14" s="20"/>
      <c r="E14" s="6" t="s">
        <v>729</v>
      </c>
      <c r="F14" s="11" t="s">
        <v>766</v>
      </c>
      <c r="G14" s="11" t="s">
        <v>766</v>
      </c>
      <c r="H14" s="11" t="s">
        <v>729</v>
      </c>
      <c r="I14" s="11" t="s">
        <v>729</v>
      </c>
      <c r="J14" s="11" t="s">
        <v>729</v>
      </c>
      <c r="K14" s="11" t="s">
        <v>729</v>
      </c>
      <c r="L14" s="11" t="s">
        <v>729</v>
      </c>
      <c r="M14" s="11" t="s">
        <v>729</v>
      </c>
      <c r="N14" s="11" t="s">
        <v>729</v>
      </c>
      <c r="O14" s="11" t="s">
        <v>729</v>
      </c>
      <c r="P14" s="11" t="s">
        <v>729</v>
      </c>
      <c r="Q14" s="11" t="s">
        <v>729</v>
      </c>
      <c r="R14" s="11" t="s">
        <v>729</v>
      </c>
      <c r="S14" s="11" t="s">
        <v>729</v>
      </c>
      <c r="T14" s="11" t="s">
        <v>729</v>
      </c>
      <c r="U14" s="11" t="s">
        <v>729</v>
      </c>
      <c r="V14" s="12" t="s">
        <v>729</v>
      </c>
    </row>
    <row r="15" ht="18" customHeight="1" spans="1:22">
      <c r="A15" s="19"/>
      <c r="B15" s="20" t="s">
        <v>699</v>
      </c>
      <c r="C15" s="20"/>
      <c r="D15" s="20"/>
      <c r="E15" s="6" t="s">
        <v>729</v>
      </c>
      <c r="F15" s="6" t="s">
        <v>729</v>
      </c>
      <c r="G15" s="6" t="s">
        <v>729</v>
      </c>
      <c r="H15" s="6" t="s">
        <v>729</v>
      </c>
      <c r="I15" s="6" t="s">
        <v>729</v>
      </c>
      <c r="J15" s="6" t="s">
        <v>729</v>
      </c>
      <c r="K15" s="6" t="s">
        <v>729</v>
      </c>
      <c r="L15" s="6" t="s">
        <v>729</v>
      </c>
      <c r="M15" s="6" t="s">
        <v>729</v>
      </c>
      <c r="N15" s="6" t="s">
        <v>729</v>
      </c>
      <c r="O15" s="6" t="s">
        <v>729</v>
      </c>
      <c r="P15" s="6" t="s">
        <v>729</v>
      </c>
      <c r="Q15" s="6" t="s">
        <v>729</v>
      </c>
      <c r="R15" s="6" t="s">
        <v>729</v>
      </c>
      <c r="S15" s="6" t="s">
        <v>729</v>
      </c>
      <c r="T15" s="6" t="s">
        <v>729</v>
      </c>
      <c r="U15" s="6" t="s">
        <v>729</v>
      </c>
      <c r="V15" s="8" t="s">
        <v>729</v>
      </c>
    </row>
    <row r="16" ht="18" customHeight="1" spans="1:22">
      <c r="A16" s="19"/>
      <c r="B16" s="21" t="s">
        <v>700</v>
      </c>
      <c r="C16" s="21"/>
      <c r="D16" s="21"/>
      <c r="E16" s="22" t="s">
        <v>729</v>
      </c>
      <c r="F16" s="22" t="s">
        <v>729</v>
      </c>
      <c r="G16" s="22" t="s">
        <v>729</v>
      </c>
      <c r="H16" s="22" t="s">
        <v>729</v>
      </c>
      <c r="I16" s="22" t="s">
        <v>729</v>
      </c>
      <c r="J16" s="22" t="s">
        <v>729</v>
      </c>
      <c r="K16" s="22" t="s">
        <v>729</v>
      </c>
      <c r="L16" s="22" t="s">
        <v>729</v>
      </c>
      <c r="M16" s="22" t="s">
        <v>729</v>
      </c>
      <c r="N16" s="22" t="s">
        <v>729</v>
      </c>
      <c r="O16" s="22" t="s">
        <v>729</v>
      </c>
      <c r="P16" s="22" t="s">
        <v>729</v>
      </c>
      <c r="Q16" s="22" t="s">
        <v>729</v>
      </c>
      <c r="R16" s="22" t="s">
        <v>729</v>
      </c>
      <c r="S16" s="22" t="s">
        <v>729</v>
      </c>
      <c r="T16" s="22" t="s">
        <v>729</v>
      </c>
      <c r="U16" s="22" t="s">
        <v>729</v>
      </c>
      <c r="V16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3:D13"/>
    <mergeCell ref="B14:D14"/>
    <mergeCell ref="B15:D15"/>
    <mergeCell ref="B16:D16"/>
    <mergeCell ref="A7:A9"/>
    <mergeCell ref="A10:A12"/>
    <mergeCell ref="A13:A16"/>
  </mergeCells>
  <dataValidations count="3">
    <dataValidation type="list" allowBlank="1" sqref="F13:V13">
      <formula1>"N,A,B"</formula1>
    </dataValidation>
    <dataValidation type="list" allowBlank="1" sqref="F14:V14">
      <formula1>"P,F"</formula1>
    </dataValidation>
    <dataValidation type="list" allowBlank="1" sqref="F11:V12 F8:V9">
      <formula1>"O,-"</formula1>
    </dataValidation>
  </dataValidations>
  <pageMargins left="0.7" right="0.7" top="0.75" bottom="0.75" header="0.3" footer="0.3"/>
  <pageSetup paperSize="1" orientation="portrait"/>
  <headerFooter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6"/>
  <sheetViews>
    <sheetView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135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358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1181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2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1</v>
      </c>
      <c r="M5" s="11">
        <v>0</v>
      </c>
      <c r="N5" s="11">
        <v>1</v>
      </c>
      <c r="O5" s="12">
        <v>2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687</v>
      </c>
      <c r="H6" s="14" t="s">
        <v>729</v>
      </c>
      <c r="I6" s="14" t="s">
        <v>729</v>
      </c>
      <c r="J6" s="14" t="s">
        <v>729</v>
      </c>
      <c r="K6" s="14" t="s">
        <v>729</v>
      </c>
      <c r="L6" s="14" t="s">
        <v>729</v>
      </c>
      <c r="M6" s="14" t="s">
        <v>729</v>
      </c>
      <c r="N6" s="14" t="s">
        <v>729</v>
      </c>
      <c r="O6" s="14" t="s">
        <v>729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15.5" customHeight="1" spans="1:22">
      <c r="A7" s="16" t="s">
        <v>690</v>
      </c>
      <c r="B7" s="17" t="s">
        <v>1023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53" customHeight="1" spans="1:22">
      <c r="A8" s="16"/>
      <c r="B8" s="6" t="s">
        <v>729</v>
      </c>
      <c r="C8" s="6" t="s">
        <v>729</v>
      </c>
      <c r="D8" s="18" t="s">
        <v>1182</v>
      </c>
      <c r="E8" s="6" t="s">
        <v>729</v>
      </c>
      <c r="F8" s="11" t="s">
        <v>752</v>
      </c>
      <c r="G8" s="11" t="s">
        <v>756</v>
      </c>
      <c r="H8" s="11" t="s">
        <v>729</v>
      </c>
      <c r="I8" s="11" t="s">
        <v>729</v>
      </c>
      <c r="J8" s="11" t="s">
        <v>729</v>
      </c>
      <c r="K8" s="11" t="s">
        <v>729</v>
      </c>
      <c r="L8" s="11" t="s">
        <v>729</v>
      </c>
      <c r="M8" s="11" t="s">
        <v>729</v>
      </c>
      <c r="N8" s="11" t="s">
        <v>729</v>
      </c>
      <c r="O8" s="11" t="s">
        <v>729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40.5" customHeight="1" spans="1:22">
      <c r="A9" s="16"/>
      <c r="B9" s="6" t="s">
        <v>729</v>
      </c>
      <c r="C9" s="6" t="s">
        <v>729</v>
      </c>
      <c r="D9" s="18" t="s">
        <v>1183</v>
      </c>
      <c r="E9" s="6" t="s">
        <v>729</v>
      </c>
      <c r="F9" s="11" t="s">
        <v>756</v>
      </c>
      <c r="G9" s="11" t="s">
        <v>752</v>
      </c>
      <c r="H9" s="11" t="s">
        <v>729</v>
      </c>
      <c r="I9" s="11" t="s">
        <v>729</v>
      </c>
      <c r="J9" s="11" t="s">
        <v>729</v>
      </c>
      <c r="K9" s="11" t="s">
        <v>729</v>
      </c>
      <c r="L9" s="11" t="s">
        <v>729</v>
      </c>
      <c r="M9" s="11" t="s">
        <v>729</v>
      </c>
      <c r="N9" s="11" t="s">
        <v>729</v>
      </c>
      <c r="O9" s="11" t="s">
        <v>729</v>
      </c>
      <c r="P9" s="11" t="s">
        <v>729</v>
      </c>
      <c r="Q9" s="11" t="s">
        <v>729</v>
      </c>
      <c r="R9" s="11" t="s">
        <v>729</v>
      </c>
      <c r="S9" s="11" t="s">
        <v>729</v>
      </c>
      <c r="T9" s="11" t="s">
        <v>729</v>
      </c>
      <c r="U9" s="11" t="s">
        <v>729</v>
      </c>
      <c r="V9" s="12" t="s">
        <v>729</v>
      </c>
    </row>
    <row r="10" ht="15.5" customHeight="1" spans="1:22">
      <c r="A10" s="16" t="s">
        <v>692</v>
      </c>
      <c r="B10" s="17" t="s">
        <v>693</v>
      </c>
      <c r="C10" s="6" t="s">
        <v>729</v>
      </c>
      <c r="D10" s="6" t="s">
        <v>729</v>
      </c>
      <c r="E10" s="6" t="s">
        <v>729</v>
      </c>
      <c r="F10" s="6" t="s">
        <v>729</v>
      </c>
      <c r="G10" s="6" t="s">
        <v>729</v>
      </c>
      <c r="H10" s="6" t="s">
        <v>729</v>
      </c>
      <c r="I10" s="6" t="s">
        <v>729</v>
      </c>
      <c r="J10" s="6" t="s">
        <v>729</v>
      </c>
      <c r="K10" s="6" t="s">
        <v>729</v>
      </c>
      <c r="L10" s="6" t="s">
        <v>729</v>
      </c>
      <c r="M10" s="6" t="s">
        <v>729</v>
      </c>
      <c r="N10" s="6" t="s">
        <v>729</v>
      </c>
      <c r="O10" s="6" t="s">
        <v>729</v>
      </c>
      <c r="P10" s="6" t="s">
        <v>729</v>
      </c>
      <c r="Q10" s="6" t="s">
        <v>729</v>
      </c>
      <c r="R10" s="6" t="s">
        <v>729</v>
      </c>
      <c r="S10" s="6" t="s">
        <v>729</v>
      </c>
      <c r="T10" s="6" t="s">
        <v>729</v>
      </c>
      <c r="U10" s="6" t="s">
        <v>729</v>
      </c>
      <c r="V10" s="8" t="s">
        <v>729</v>
      </c>
    </row>
    <row r="11" ht="65.5" customHeight="1" spans="1:22">
      <c r="A11" s="16"/>
      <c r="B11" s="6" t="s">
        <v>729</v>
      </c>
      <c r="C11" s="6" t="s">
        <v>729</v>
      </c>
      <c r="D11" s="18" t="s">
        <v>1184</v>
      </c>
      <c r="E11" s="6" t="s">
        <v>729</v>
      </c>
      <c r="F11" s="11" t="s">
        <v>752</v>
      </c>
      <c r="G11" s="11" t="s">
        <v>756</v>
      </c>
      <c r="H11" s="11" t="s">
        <v>729</v>
      </c>
      <c r="I11" s="11" t="s">
        <v>729</v>
      </c>
      <c r="J11" s="11" t="s">
        <v>729</v>
      </c>
      <c r="K11" s="11" t="s">
        <v>729</v>
      </c>
      <c r="L11" s="11" t="s">
        <v>729</v>
      </c>
      <c r="M11" s="11" t="s">
        <v>729</v>
      </c>
      <c r="N11" s="11" t="s">
        <v>729</v>
      </c>
      <c r="O11" s="11" t="s">
        <v>729</v>
      </c>
      <c r="P11" s="11" t="s">
        <v>729</v>
      </c>
      <c r="Q11" s="11" t="s">
        <v>729</v>
      </c>
      <c r="R11" s="11" t="s">
        <v>729</v>
      </c>
      <c r="S11" s="11" t="s">
        <v>729</v>
      </c>
      <c r="T11" s="11" t="s">
        <v>729</v>
      </c>
      <c r="U11" s="11" t="s">
        <v>729</v>
      </c>
      <c r="V11" s="12" t="s">
        <v>729</v>
      </c>
    </row>
    <row r="12" ht="78" customHeight="1" spans="1:22">
      <c r="A12" s="16"/>
      <c r="B12" s="6" t="s">
        <v>729</v>
      </c>
      <c r="C12" s="6" t="s">
        <v>729</v>
      </c>
      <c r="D12" s="18" t="s">
        <v>1185</v>
      </c>
      <c r="E12" s="6" t="s">
        <v>729</v>
      </c>
      <c r="F12" s="11" t="s">
        <v>756</v>
      </c>
      <c r="G12" s="11" t="s">
        <v>752</v>
      </c>
      <c r="H12" s="11" t="s">
        <v>729</v>
      </c>
      <c r="I12" s="11" t="s">
        <v>729</v>
      </c>
      <c r="J12" s="11" t="s">
        <v>729</v>
      </c>
      <c r="K12" s="11" t="s">
        <v>729</v>
      </c>
      <c r="L12" s="11" t="s">
        <v>729</v>
      </c>
      <c r="M12" s="11" t="s">
        <v>729</v>
      </c>
      <c r="N12" s="11" t="s">
        <v>729</v>
      </c>
      <c r="O12" s="11" t="s">
        <v>729</v>
      </c>
      <c r="P12" s="11" t="s">
        <v>729</v>
      </c>
      <c r="Q12" s="11" t="s">
        <v>729</v>
      </c>
      <c r="R12" s="11" t="s">
        <v>729</v>
      </c>
      <c r="S12" s="11" t="s">
        <v>729</v>
      </c>
      <c r="T12" s="11" t="s">
        <v>729</v>
      </c>
      <c r="U12" s="11" t="s">
        <v>729</v>
      </c>
      <c r="V12" s="12" t="s">
        <v>729</v>
      </c>
    </row>
    <row r="13" ht="18" customHeight="1" spans="1:22">
      <c r="A13" s="19" t="s">
        <v>696</v>
      </c>
      <c r="B13" s="20" t="s">
        <v>765</v>
      </c>
      <c r="C13" s="20"/>
      <c r="D13" s="20"/>
      <c r="E13" s="6" t="s">
        <v>729</v>
      </c>
      <c r="F13" s="11" t="s">
        <v>670</v>
      </c>
      <c r="G13" s="11" t="s">
        <v>671</v>
      </c>
      <c r="H13" s="11" t="s">
        <v>729</v>
      </c>
      <c r="I13" s="11" t="s">
        <v>729</v>
      </c>
      <c r="J13" s="11" t="s">
        <v>729</v>
      </c>
      <c r="K13" s="11" t="s">
        <v>729</v>
      </c>
      <c r="L13" s="11" t="s">
        <v>729</v>
      </c>
      <c r="M13" s="11" t="s">
        <v>729</v>
      </c>
      <c r="N13" s="11" t="s">
        <v>729</v>
      </c>
      <c r="O13" s="11" t="s">
        <v>729</v>
      </c>
      <c r="P13" s="11" t="s">
        <v>729</v>
      </c>
      <c r="Q13" s="11" t="s">
        <v>729</v>
      </c>
      <c r="R13" s="11" t="s">
        <v>729</v>
      </c>
      <c r="S13" s="11" t="s">
        <v>729</v>
      </c>
      <c r="T13" s="11" t="s">
        <v>729</v>
      </c>
      <c r="U13" s="11" t="s">
        <v>729</v>
      </c>
      <c r="V13" s="12" t="s">
        <v>729</v>
      </c>
    </row>
    <row r="14" ht="18" customHeight="1" spans="1:22">
      <c r="A14" s="19"/>
      <c r="B14" s="20" t="s">
        <v>698</v>
      </c>
      <c r="C14" s="20"/>
      <c r="D14" s="20"/>
      <c r="E14" s="6" t="s">
        <v>729</v>
      </c>
      <c r="F14" s="11" t="s">
        <v>766</v>
      </c>
      <c r="G14" s="11" t="s">
        <v>766</v>
      </c>
      <c r="H14" s="11" t="s">
        <v>729</v>
      </c>
      <c r="I14" s="11" t="s">
        <v>729</v>
      </c>
      <c r="J14" s="11" t="s">
        <v>729</v>
      </c>
      <c r="K14" s="11" t="s">
        <v>729</v>
      </c>
      <c r="L14" s="11" t="s">
        <v>729</v>
      </c>
      <c r="M14" s="11" t="s">
        <v>729</v>
      </c>
      <c r="N14" s="11" t="s">
        <v>729</v>
      </c>
      <c r="O14" s="11" t="s">
        <v>729</v>
      </c>
      <c r="P14" s="11" t="s">
        <v>729</v>
      </c>
      <c r="Q14" s="11" t="s">
        <v>729</v>
      </c>
      <c r="R14" s="11" t="s">
        <v>729</v>
      </c>
      <c r="S14" s="11" t="s">
        <v>729</v>
      </c>
      <c r="T14" s="11" t="s">
        <v>729</v>
      </c>
      <c r="U14" s="11" t="s">
        <v>729</v>
      </c>
      <c r="V14" s="12" t="s">
        <v>729</v>
      </c>
    </row>
    <row r="15" ht="18" customHeight="1" spans="1:22">
      <c r="A15" s="19"/>
      <c r="B15" s="20" t="s">
        <v>699</v>
      </c>
      <c r="C15" s="20"/>
      <c r="D15" s="20"/>
      <c r="E15" s="6" t="s">
        <v>729</v>
      </c>
      <c r="F15" s="6" t="s">
        <v>729</v>
      </c>
      <c r="G15" s="6" t="s">
        <v>729</v>
      </c>
      <c r="H15" s="6" t="s">
        <v>729</v>
      </c>
      <c r="I15" s="6" t="s">
        <v>729</v>
      </c>
      <c r="J15" s="6" t="s">
        <v>729</v>
      </c>
      <c r="K15" s="6" t="s">
        <v>729</v>
      </c>
      <c r="L15" s="6" t="s">
        <v>729</v>
      </c>
      <c r="M15" s="6" t="s">
        <v>729</v>
      </c>
      <c r="N15" s="6" t="s">
        <v>729</v>
      </c>
      <c r="O15" s="6" t="s">
        <v>729</v>
      </c>
      <c r="P15" s="6" t="s">
        <v>729</v>
      </c>
      <c r="Q15" s="6" t="s">
        <v>729</v>
      </c>
      <c r="R15" s="6" t="s">
        <v>729</v>
      </c>
      <c r="S15" s="6" t="s">
        <v>729</v>
      </c>
      <c r="T15" s="6" t="s">
        <v>729</v>
      </c>
      <c r="U15" s="6" t="s">
        <v>729</v>
      </c>
      <c r="V15" s="8" t="s">
        <v>729</v>
      </c>
    </row>
    <row r="16" ht="18" customHeight="1" spans="1:22">
      <c r="A16" s="19"/>
      <c r="B16" s="21" t="s">
        <v>700</v>
      </c>
      <c r="C16" s="21"/>
      <c r="D16" s="21"/>
      <c r="E16" s="22" t="s">
        <v>729</v>
      </c>
      <c r="F16" s="22" t="s">
        <v>729</v>
      </c>
      <c r="G16" s="22" t="s">
        <v>729</v>
      </c>
      <c r="H16" s="22" t="s">
        <v>729</v>
      </c>
      <c r="I16" s="22" t="s">
        <v>729</v>
      </c>
      <c r="J16" s="22" t="s">
        <v>729</v>
      </c>
      <c r="K16" s="22" t="s">
        <v>729</v>
      </c>
      <c r="L16" s="22" t="s">
        <v>729</v>
      </c>
      <c r="M16" s="22" t="s">
        <v>729</v>
      </c>
      <c r="N16" s="22" t="s">
        <v>729</v>
      </c>
      <c r="O16" s="22" t="s">
        <v>729</v>
      </c>
      <c r="P16" s="22" t="s">
        <v>729</v>
      </c>
      <c r="Q16" s="22" t="s">
        <v>729</v>
      </c>
      <c r="R16" s="22" t="s">
        <v>729</v>
      </c>
      <c r="S16" s="22" t="s">
        <v>729</v>
      </c>
      <c r="T16" s="22" t="s">
        <v>729</v>
      </c>
      <c r="U16" s="22" t="s">
        <v>729</v>
      </c>
      <c r="V16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3:D13"/>
    <mergeCell ref="B14:D14"/>
    <mergeCell ref="B15:D15"/>
    <mergeCell ref="B16:D16"/>
    <mergeCell ref="A7:A9"/>
    <mergeCell ref="A10:A12"/>
    <mergeCell ref="A13:A16"/>
  </mergeCells>
  <dataValidations count="3">
    <dataValidation type="list" allowBlank="1" sqref="F13:V13">
      <formula1>"N,A,B"</formula1>
    </dataValidation>
    <dataValidation type="list" allowBlank="1" sqref="F14:V14">
      <formula1>"P,F"</formula1>
    </dataValidation>
    <dataValidation type="list" allowBlank="1" sqref="F11:V12 F8:V9">
      <formula1>"O,-"</formula1>
    </dataValidation>
  </dataValidations>
  <pageMargins left="0.7" right="0.7" top="0.75" bottom="0.75" header="0.3" footer="0.3"/>
  <pageSetup paperSize="1" orientation="portrait"/>
  <headerFooter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0"/>
  <sheetViews>
    <sheetView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135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363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1186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4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4</v>
      </c>
      <c r="M5" s="11">
        <v>0</v>
      </c>
      <c r="N5" s="11">
        <v>0</v>
      </c>
      <c r="O5" s="12">
        <v>4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687</v>
      </c>
      <c r="H6" s="14" t="s">
        <v>688</v>
      </c>
      <c r="I6" s="14" t="s">
        <v>689</v>
      </c>
      <c r="J6" s="14" t="s">
        <v>729</v>
      </c>
      <c r="K6" s="14" t="s">
        <v>729</v>
      </c>
      <c r="L6" s="14" t="s">
        <v>729</v>
      </c>
      <c r="M6" s="14" t="s">
        <v>729</v>
      </c>
      <c r="N6" s="14" t="s">
        <v>729</v>
      </c>
      <c r="O6" s="14" t="s">
        <v>729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15.5" customHeight="1" spans="1:22">
      <c r="A7" s="16" t="s">
        <v>690</v>
      </c>
      <c r="B7" s="17" t="s">
        <v>1187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28" customHeight="1" spans="1:22">
      <c r="A8" s="16"/>
      <c r="B8" s="6" t="s">
        <v>729</v>
      </c>
      <c r="C8" s="6" t="s">
        <v>729</v>
      </c>
      <c r="D8" s="18" t="s">
        <v>1188</v>
      </c>
      <c r="E8" s="6" t="s">
        <v>729</v>
      </c>
      <c r="F8" s="11" t="s">
        <v>752</v>
      </c>
      <c r="G8" s="11" t="s">
        <v>756</v>
      </c>
      <c r="H8" s="11" t="s">
        <v>756</v>
      </c>
      <c r="I8" s="11" t="s">
        <v>756</v>
      </c>
      <c r="J8" s="11" t="s">
        <v>729</v>
      </c>
      <c r="K8" s="11" t="s">
        <v>729</v>
      </c>
      <c r="L8" s="11" t="s">
        <v>729</v>
      </c>
      <c r="M8" s="11" t="s">
        <v>729</v>
      </c>
      <c r="N8" s="11" t="s">
        <v>729</v>
      </c>
      <c r="O8" s="11" t="s">
        <v>729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28" customHeight="1" spans="1:22">
      <c r="A9" s="16"/>
      <c r="B9" s="6" t="s">
        <v>729</v>
      </c>
      <c r="C9" s="6" t="s">
        <v>729</v>
      </c>
      <c r="D9" s="18" t="s">
        <v>1189</v>
      </c>
      <c r="E9" s="6" t="s">
        <v>729</v>
      </c>
      <c r="F9" s="11" t="s">
        <v>756</v>
      </c>
      <c r="G9" s="11" t="s">
        <v>752</v>
      </c>
      <c r="H9" s="11" t="s">
        <v>756</v>
      </c>
      <c r="I9" s="11" t="s">
        <v>756</v>
      </c>
      <c r="J9" s="11" t="s">
        <v>729</v>
      </c>
      <c r="K9" s="11" t="s">
        <v>729</v>
      </c>
      <c r="L9" s="11" t="s">
        <v>729</v>
      </c>
      <c r="M9" s="11" t="s">
        <v>729</v>
      </c>
      <c r="N9" s="11" t="s">
        <v>729</v>
      </c>
      <c r="O9" s="11" t="s">
        <v>729</v>
      </c>
      <c r="P9" s="11" t="s">
        <v>729</v>
      </c>
      <c r="Q9" s="11" t="s">
        <v>729</v>
      </c>
      <c r="R9" s="11" t="s">
        <v>729</v>
      </c>
      <c r="S9" s="11" t="s">
        <v>729</v>
      </c>
      <c r="T9" s="11" t="s">
        <v>729</v>
      </c>
      <c r="U9" s="11" t="s">
        <v>729</v>
      </c>
      <c r="V9" s="12" t="s">
        <v>729</v>
      </c>
    </row>
    <row r="10" ht="28" customHeight="1" spans="1:22">
      <c r="A10" s="16"/>
      <c r="B10" s="6" t="s">
        <v>729</v>
      </c>
      <c r="C10" s="6" t="s">
        <v>729</v>
      </c>
      <c r="D10" s="18" t="s">
        <v>1190</v>
      </c>
      <c r="E10" s="6" t="s">
        <v>729</v>
      </c>
      <c r="F10" s="11" t="s">
        <v>756</v>
      </c>
      <c r="G10" s="11" t="s">
        <v>756</v>
      </c>
      <c r="H10" s="11" t="s">
        <v>752</v>
      </c>
      <c r="I10" s="11" t="s">
        <v>756</v>
      </c>
      <c r="J10" s="11" t="s">
        <v>729</v>
      </c>
      <c r="K10" s="11" t="s">
        <v>729</v>
      </c>
      <c r="L10" s="11" t="s">
        <v>729</v>
      </c>
      <c r="M10" s="11" t="s">
        <v>729</v>
      </c>
      <c r="N10" s="11" t="s">
        <v>729</v>
      </c>
      <c r="O10" s="11" t="s">
        <v>729</v>
      </c>
      <c r="P10" s="11" t="s">
        <v>729</v>
      </c>
      <c r="Q10" s="11" t="s">
        <v>729</v>
      </c>
      <c r="R10" s="11" t="s">
        <v>729</v>
      </c>
      <c r="S10" s="11" t="s">
        <v>729</v>
      </c>
      <c r="T10" s="11" t="s">
        <v>729</v>
      </c>
      <c r="U10" s="11" t="s">
        <v>729</v>
      </c>
      <c r="V10" s="12" t="s">
        <v>729</v>
      </c>
    </row>
    <row r="11" ht="28" customHeight="1" spans="1:22">
      <c r="A11" s="16"/>
      <c r="B11" s="6" t="s">
        <v>729</v>
      </c>
      <c r="C11" s="6" t="s">
        <v>729</v>
      </c>
      <c r="D11" s="18" t="s">
        <v>1191</v>
      </c>
      <c r="E11" s="6" t="s">
        <v>729</v>
      </c>
      <c r="F11" s="11" t="s">
        <v>756</v>
      </c>
      <c r="G11" s="11" t="s">
        <v>756</v>
      </c>
      <c r="H11" s="11" t="s">
        <v>756</v>
      </c>
      <c r="I11" s="11" t="s">
        <v>752</v>
      </c>
      <c r="J11" s="11" t="s">
        <v>729</v>
      </c>
      <c r="K11" s="11" t="s">
        <v>729</v>
      </c>
      <c r="L11" s="11" t="s">
        <v>729</v>
      </c>
      <c r="M11" s="11" t="s">
        <v>729</v>
      </c>
      <c r="N11" s="11" t="s">
        <v>729</v>
      </c>
      <c r="O11" s="11" t="s">
        <v>729</v>
      </c>
      <c r="P11" s="11" t="s">
        <v>729</v>
      </c>
      <c r="Q11" s="11" t="s">
        <v>729</v>
      </c>
      <c r="R11" s="11" t="s">
        <v>729</v>
      </c>
      <c r="S11" s="11" t="s">
        <v>729</v>
      </c>
      <c r="T11" s="11" t="s">
        <v>729</v>
      </c>
      <c r="U11" s="11" t="s">
        <v>729</v>
      </c>
      <c r="V11" s="12" t="s">
        <v>729</v>
      </c>
    </row>
    <row r="12" ht="15.5" customHeight="1" spans="1:22">
      <c r="A12" s="16" t="s">
        <v>692</v>
      </c>
      <c r="B12" s="17" t="s">
        <v>693</v>
      </c>
      <c r="C12" s="6" t="s">
        <v>729</v>
      </c>
      <c r="D12" s="6" t="s">
        <v>729</v>
      </c>
      <c r="E12" s="6" t="s">
        <v>729</v>
      </c>
      <c r="F12" s="6" t="s">
        <v>729</v>
      </c>
      <c r="G12" s="6" t="s">
        <v>729</v>
      </c>
      <c r="H12" s="6" t="s">
        <v>729</v>
      </c>
      <c r="I12" s="6" t="s">
        <v>729</v>
      </c>
      <c r="J12" s="6" t="s">
        <v>729</v>
      </c>
      <c r="K12" s="6" t="s">
        <v>729</v>
      </c>
      <c r="L12" s="6" t="s">
        <v>729</v>
      </c>
      <c r="M12" s="6" t="s">
        <v>729</v>
      </c>
      <c r="N12" s="6" t="s">
        <v>729</v>
      </c>
      <c r="O12" s="6" t="s">
        <v>729</v>
      </c>
      <c r="P12" s="6" t="s">
        <v>729</v>
      </c>
      <c r="Q12" s="6" t="s">
        <v>729</v>
      </c>
      <c r="R12" s="6" t="s">
        <v>729</v>
      </c>
      <c r="S12" s="6" t="s">
        <v>729</v>
      </c>
      <c r="T12" s="6" t="s">
        <v>729</v>
      </c>
      <c r="U12" s="6" t="s">
        <v>729</v>
      </c>
      <c r="V12" s="8" t="s">
        <v>729</v>
      </c>
    </row>
    <row r="13" ht="65.5" customHeight="1" spans="1:22">
      <c r="A13" s="16"/>
      <c r="B13" s="6" t="s">
        <v>729</v>
      </c>
      <c r="C13" s="6" t="s">
        <v>729</v>
      </c>
      <c r="D13" s="18" t="s">
        <v>1192</v>
      </c>
      <c r="E13" s="6" t="s">
        <v>729</v>
      </c>
      <c r="F13" s="11" t="s">
        <v>752</v>
      </c>
      <c r="G13" s="11" t="s">
        <v>756</v>
      </c>
      <c r="H13" s="11" t="s">
        <v>756</v>
      </c>
      <c r="I13" s="11" t="s">
        <v>756</v>
      </c>
      <c r="J13" s="11" t="s">
        <v>729</v>
      </c>
      <c r="K13" s="11" t="s">
        <v>729</v>
      </c>
      <c r="L13" s="11" t="s">
        <v>729</v>
      </c>
      <c r="M13" s="11" t="s">
        <v>729</v>
      </c>
      <c r="N13" s="11" t="s">
        <v>729</v>
      </c>
      <c r="O13" s="11" t="s">
        <v>729</v>
      </c>
      <c r="P13" s="11" t="s">
        <v>729</v>
      </c>
      <c r="Q13" s="11" t="s">
        <v>729</v>
      </c>
      <c r="R13" s="11" t="s">
        <v>729</v>
      </c>
      <c r="S13" s="11" t="s">
        <v>729</v>
      </c>
      <c r="T13" s="11" t="s">
        <v>729</v>
      </c>
      <c r="U13" s="11" t="s">
        <v>729</v>
      </c>
      <c r="V13" s="12" t="s">
        <v>729</v>
      </c>
    </row>
    <row r="14" ht="53" customHeight="1" spans="1:22">
      <c r="A14" s="16"/>
      <c r="B14" s="6" t="s">
        <v>729</v>
      </c>
      <c r="C14" s="6" t="s">
        <v>729</v>
      </c>
      <c r="D14" s="18" t="s">
        <v>1193</v>
      </c>
      <c r="E14" s="6" t="s">
        <v>729</v>
      </c>
      <c r="F14" s="11" t="s">
        <v>756</v>
      </c>
      <c r="G14" s="11" t="s">
        <v>752</v>
      </c>
      <c r="H14" s="11" t="s">
        <v>756</v>
      </c>
      <c r="I14" s="11" t="s">
        <v>756</v>
      </c>
      <c r="J14" s="11" t="s">
        <v>729</v>
      </c>
      <c r="K14" s="11" t="s">
        <v>729</v>
      </c>
      <c r="L14" s="11" t="s">
        <v>729</v>
      </c>
      <c r="M14" s="11" t="s">
        <v>729</v>
      </c>
      <c r="N14" s="11" t="s">
        <v>729</v>
      </c>
      <c r="O14" s="11" t="s">
        <v>729</v>
      </c>
      <c r="P14" s="11" t="s">
        <v>729</v>
      </c>
      <c r="Q14" s="11" t="s">
        <v>729</v>
      </c>
      <c r="R14" s="11" t="s">
        <v>729</v>
      </c>
      <c r="S14" s="11" t="s">
        <v>729</v>
      </c>
      <c r="T14" s="11" t="s">
        <v>729</v>
      </c>
      <c r="U14" s="11" t="s">
        <v>729</v>
      </c>
      <c r="V14" s="12" t="s">
        <v>729</v>
      </c>
    </row>
    <row r="15" ht="53" customHeight="1" spans="1:22">
      <c r="A15" s="16"/>
      <c r="B15" s="6" t="s">
        <v>729</v>
      </c>
      <c r="C15" s="6" t="s">
        <v>729</v>
      </c>
      <c r="D15" s="18" t="s">
        <v>1194</v>
      </c>
      <c r="E15" s="6" t="s">
        <v>729</v>
      </c>
      <c r="F15" s="11" t="s">
        <v>756</v>
      </c>
      <c r="G15" s="11" t="s">
        <v>756</v>
      </c>
      <c r="H15" s="11" t="s">
        <v>752</v>
      </c>
      <c r="I15" s="11" t="s">
        <v>756</v>
      </c>
      <c r="J15" s="11" t="s">
        <v>729</v>
      </c>
      <c r="K15" s="11" t="s">
        <v>729</v>
      </c>
      <c r="L15" s="11" t="s">
        <v>729</v>
      </c>
      <c r="M15" s="11" t="s">
        <v>729</v>
      </c>
      <c r="N15" s="11" t="s">
        <v>729</v>
      </c>
      <c r="O15" s="11" t="s">
        <v>729</v>
      </c>
      <c r="P15" s="11" t="s">
        <v>729</v>
      </c>
      <c r="Q15" s="11" t="s">
        <v>729</v>
      </c>
      <c r="R15" s="11" t="s">
        <v>729</v>
      </c>
      <c r="S15" s="11" t="s">
        <v>729</v>
      </c>
      <c r="T15" s="11" t="s">
        <v>729</v>
      </c>
      <c r="U15" s="11" t="s">
        <v>729</v>
      </c>
      <c r="V15" s="12" t="s">
        <v>729</v>
      </c>
    </row>
    <row r="16" ht="65.5" customHeight="1" spans="1:22">
      <c r="A16" s="16"/>
      <c r="B16" s="6" t="s">
        <v>729</v>
      </c>
      <c r="C16" s="6" t="s">
        <v>729</v>
      </c>
      <c r="D16" s="18" t="s">
        <v>1195</v>
      </c>
      <c r="E16" s="6" t="s">
        <v>729</v>
      </c>
      <c r="F16" s="11" t="s">
        <v>756</v>
      </c>
      <c r="G16" s="11" t="s">
        <v>756</v>
      </c>
      <c r="H16" s="11" t="s">
        <v>756</v>
      </c>
      <c r="I16" s="11" t="s">
        <v>752</v>
      </c>
      <c r="J16" s="11" t="s">
        <v>729</v>
      </c>
      <c r="K16" s="11" t="s">
        <v>729</v>
      </c>
      <c r="L16" s="11" t="s">
        <v>729</v>
      </c>
      <c r="M16" s="11" t="s">
        <v>729</v>
      </c>
      <c r="N16" s="11" t="s">
        <v>729</v>
      </c>
      <c r="O16" s="11" t="s">
        <v>729</v>
      </c>
      <c r="P16" s="11" t="s">
        <v>729</v>
      </c>
      <c r="Q16" s="11" t="s">
        <v>729</v>
      </c>
      <c r="R16" s="11" t="s">
        <v>729</v>
      </c>
      <c r="S16" s="11" t="s">
        <v>729</v>
      </c>
      <c r="T16" s="11" t="s">
        <v>729</v>
      </c>
      <c r="U16" s="11" t="s">
        <v>729</v>
      </c>
      <c r="V16" s="12" t="s">
        <v>729</v>
      </c>
    </row>
    <row r="17" ht="18" customHeight="1" spans="1:22">
      <c r="A17" s="19" t="s">
        <v>696</v>
      </c>
      <c r="B17" s="20" t="s">
        <v>765</v>
      </c>
      <c r="C17" s="20"/>
      <c r="D17" s="20"/>
      <c r="E17" s="6" t="s">
        <v>729</v>
      </c>
      <c r="F17" s="11" t="s">
        <v>670</v>
      </c>
      <c r="G17" s="11" t="s">
        <v>670</v>
      </c>
      <c r="H17" s="11" t="s">
        <v>670</v>
      </c>
      <c r="I17" s="11" t="s">
        <v>670</v>
      </c>
      <c r="J17" s="11" t="s">
        <v>729</v>
      </c>
      <c r="K17" s="11" t="s">
        <v>729</v>
      </c>
      <c r="L17" s="11" t="s">
        <v>729</v>
      </c>
      <c r="M17" s="11" t="s">
        <v>729</v>
      </c>
      <c r="N17" s="11" t="s">
        <v>729</v>
      </c>
      <c r="O17" s="11" t="s">
        <v>729</v>
      </c>
      <c r="P17" s="11" t="s">
        <v>729</v>
      </c>
      <c r="Q17" s="11" t="s">
        <v>729</v>
      </c>
      <c r="R17" s="11" t="s">
        <v>729</v>
      </c>
      <c r="S17" s="11" t="s">
        <v>729</v>
      </c>
      <c r="T17" s="11" t="s">
        <v>729</v>
      </c>
      <c r="U17" s="11" t="s">
        <v>729</v>
      </c>
      <c r="V17" s="12" t="s">
        <v>729</v>
      </c>
    </row>
    <row r="18" ht="18" customHeight="1" spans="1:22">
      <c r="A18" s="19"/>
      <c r="B18" s="20" t="s">
        <v>698</v>
      </c>
      <c r="C18" s="20"/>
      <c r="D18" s="20"/>
      <c r="E18" s="6" t="s">
        <v>729</v>
      </c>
      <c r="F18" s="11" t="s">
        <v>766</v>
      </c>
      <c r="G18" s="11" t="s">
        <v>766</v>
      </c>
      <c r="H18" s="11" t="s">
        <v>766</v>
      </c>
      <c r="I18" s="11" t="s">
        <v>766</v>
      </c>
      <c r="J18" s="11" t="s">
        <v>729</v>
      </c>
      <c r="K18" s="11" t="s">
        <v>729</v>
      </c>
      <c r="L18" s="11" t="s">
        <v>729</v>
      </c>
      <c r="M18" s="11" t="s">
        <v>729</v>
      </c>
      <c r="N18" s="11" t="s">
        <v>729</v>
      </c>
      <c r="O18" s="11" t="s">
        <v>729</v>
      </c>
      <c r="P18" s="11" t="s">
        <v>729</v>
      </c>
      <c r="Q18" s="11" t="s">
        <v>729</v>
      </c>
      <c r="R18" s="11" t="s">
        <v>729</v>
      </c>
      <c r="S18" s="11" t="s">
        <v>729</v>
      </c>
      <c r="T18" s="11" t="s">
        <v>729</v>
      </c>
      <c r="U18" s="11" t="s">
        <v>729</v>
      </c>
      <c r="V18" s="12" t="s">
        <v>729</v>
      </c>
    </row>
    <row r="19" ht="18" customHeight="1" spans="1:22">
      <c r="A19" s="19"/>
      <c r="B19" s="20" t="s">
        <v>699</v>
      </c>
      <c r="C19" s="20"/>
      <c r="D19" s="20"/>
      <c r="E19" s="6" t="s">
        <v>729</v>
      </c>
      <c r="F19" s="6" t="s">
        <v>729</v>
      </c>
      <c r="G19" s="6" t="s">
        <v>729</v>
      </c>
      <c r="H19" s="6" t="s">
        <v>729</v>
      </c>
      <c r="I19" s="6" t="s">
        <v>729</v>
      </c>
      <c r="J19" s="6" t="s">
        <v>729</v>
      </c>
      <c r="K19" s="6" t="s">
        <v>729</v>
      </c>
      <c r="L19" s="6" t="s">
        <v>729</v>
      </c>
      <c r="M19" s="6" t="s">
        <v>729</v>
      </c>
      <c r="N19" s="6" t="s">
        <v>729</v>
      </c>
      <c r="O19" s="6" t="s">
        <v>729</v>
      </c>
      <c r="P19" s="6" t="s">
        <v>729</v>
      </c>
      <c r="Q19" s="6" t="s">
        <v>729</v>
      </c>
      <c r="R19" s="6" t="s">
        <v>729</v>
      </c>
      <c r="S19" s="6" t="s">
        <v>729</v>
      </c>
      <c r="T19" s="6" t="s">
        <v>729</v>
      </c>
      <c r="U19" s="6" t="s">
        <v>729</v>
      </c>
      <c r="V19" s="8" t="s">
        <v>729</v>
      </c>
    </row>
    <row r="20" ht="18" customHeight="1" spans="1:22">
      <c r="A20" s="19"/>
      <c r="B20" s="21" t="s">
        <v>700</v>
      </c>
      <c r="C20" s="21"/>
      <c r="D20" s="21"/>
      <c r="E20" s="22" t="s">
        <v>729</v>
      </c>
      <c r="F20" s="22" t="s">
        <v>729</v>
      </c>
      <c r="G20" s="22" t="s">
        <v>729</v>
      </c>
      <c r="H20" s="22" t="s">
        <v>729</v>
      </c>
      <c r="I20" s="22" t="s">
        <v>729</v>
      </c>
      <c r="J20" s="22" t="s">
        <v>729</v>
      </c>
      <c r="K20" s="22" t="s">
        <v>729</v>
      </c>
      <c r="L20" s="22" t="s">
        <v>729</v>
      </c>
      <c r="M20" s="22" t="s">
        <v>729</v>
      </c>
      <c r="N20" s="22" t="s">
        <v>729</v>
      </c>
      <c r="O20" s="22" t="s">
        <v>729</v>
      </c>
      <c r="P20" s="22" t="s">
        <v>729</v>
      </c>
      <c r="Q20" s="22" t="s">
        <v>729</v>
      </c>
      <c r="R20" s="22" t="s">
        <v>729</v>
      </c>
      <c r="S20" s="22" t="s">
        <v>729</v>
      </c>
      <c r="T20" s="22" t="s">
        <v>729</v>
      </c>
      <c r="U20" s="22" t="s">
        <v>729</v>
      </c>
      <c r="V20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7:D17"/>
    <mergeCell ref="B18:D18"/>
    <mergeCell ref="B19:D19"/>
    <mergeCell ref="B20:D20"/>
    <mergeCell ref="A7:A11"/>
    <mergeCell ref="A12:A16"/>
    <mergeCell ref="A17:A20"/>
  </mergeCells>
  <dataValidations count="3">
    <dataValidation type="list" allowBlank="1" sqref="F17:V17">
      <formula1>"N,A,B"</formula1>
    </dataValidation>
    <dataValidation type="list" allowBlank="1" sqref="F18:V18">
      <formula1>"P,F"</formula1>
    </dataValidation>
    <dataValidation type="list" allowBlank="1" sqref="F8:V9 F10:V11 F13:V16">
      <formula1>"O,-"</formula1>
    </dataValidation>
  </dataValidations>
  <pageMargins left="0.7" right="0.7" top="0.75" bottom="0.75" header="0.3" footer="0.3"/>
  <pageSetup paperSize="1" orientation="portrait"/>
  <headerFooter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7"/>
  <sheetViews>
    <sheetView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135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368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1196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2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1</v>
      </c>
      <c r="M5" s="11">
        <v>1</v>
      </c>
      <c r="N5" s="11">
        <v>0</v>
      </c>
      <c r="O5" s="12">
        <v>2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687</v>
      </c>
      <c r="H6" s="14" t="s">
        <v>729</v>
      </c>
      <c r="I6" s="14" t="s">
        <v>729</v>
      </c>
      <c r="J6" s="14" t="s">
        <v>729</v>
      </c>
      <c r="K6" s="14" t="s">
        <v>729</v>
      </c>
      <c r="L6" s="14" t="s">
        <v>729</v>
      </c>
      <c r="M6" s="14" t="s">
        <v>729</v>
      </c>
      <c r="N6" s="14" t="s">
        <v>729</v>
      </c>
      <c r="O6" s="14" t="s">
        <v>729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15.5" customHeight="1" spans="1:22">
      <c r="A7" s="16" t="s">
        <v>690</v>
      </c>
      <c r="B7" s="17" t="s">
        <v>750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65.5" customHeight="1" spans="1:22">
      <c r="A8" s="16"/>
      <c r="B8" s="6" t="s">
        <v>729</v>
      </c>
      <c r="C8" s="6" t="s">
        <v>729</v>
      </c>
      <c r="D8" s="18" t="s">
        <v>1197</v>
      </c>
      <c r="E8" s="6" t="s">
        <v>729</v>
      </c>
      <c r="F8" s="11" t="s">
        <v>752</v>
      </c>
      <c r="G8" s="11" t="s">
        <v>756</v>
      </c>
      <c r="H8" s="11" t="s">
        <v>729</v>
      </c>
      <c r="I8" s="11" t="s">
        <v>729</v>
      </c>
      <c r="J8" s="11" t="s">
        <v>729</v>
      </c>
      <c r="K8" s="11" t="s">
        <v>729</v>
      </c>
      <c r="L8" s="11" t="s">
        <v>729</v>
      </c>
      <c r="M8" s="11" t="s">
        <v>729</v>
      </c>
      <c r="N8" s="11" t="s">
        <v>729</v>
      </c>
      <c r="O8" s="11" t="s">
        <v>729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53" customHeight="1" spans="1:22">
      <c r="A9" s="16"/>
      <c r="B9" s="6" t="s">
        <v>729</v>
      </c>
      <c r="C9" s="6" t="s">
        <v>729</v>
      </c>
      <c r="D9" s="18" t="s">
        <v>1198</v>
      </c>
      <c r="E9" s="6" t="s">
        <v>729</v>
      </c>
      <c r="F9" s="11" t="s">
        <v>756</v>
      </c>
      <c r="G9" s="11" t="s">
        <v>752</v>
      </c>
      <c r="H9" s="11" t="s">
        <v>729</v>
      </c>
      <c r="I9" s="11" t="s">
        <v>729</v>
      </c>
      <c r="J9" s="11" t="s">
        <v>729</v>
      </c>
      <c r="K9" s="11" t="s">
        <v>729</v>
      </c>
      <c r="L9" s="11" t="s">
        <v>729</v>
      </c>
      <c r="M9" s="11" t="s">
        <v>729</v>
      </c>
      <c r="N9" s="11" t="s">
        <v>729</v>
      </c>
      <c r="O9" s="11" t="s">
        <v>729</v>
      </c>
      <c r="P9" s="11" t="s">
        <v>729</v>
      </c>
      <c r="Q9" s="11" t="s">
        <v>729</v>
      </c>
      <c r="R9" s="11" t="s">
        <v>729</v>
      </c>
      <c r="S9" s="11" t="s">
        <v>729</v>
      </c>
      <c r="T9" s="11" t="s">
        <v>729</v>
      </c>
      <c r="U9" s="11" t="s">
        <v>729</v>
      </c>
      <c r="V9" s="12" t="s">
        <v>729</v>
      </c>
    </row>
    <row r="10" ht="15.5" customHeight="1" spans="1:22">
      <c r="A10" s="16" t="s">
        <v>692</v>
      </c>
      <c r="B10" s="17" t="s">
        <v>693</v>
      </c>
      <c r="C10" s="6" t="s">
        <v>729</v>
      </c>
      <c r="D10" s="6" t="s">
        <v>729</v>
      </c>
      <c r="E10" s="6" t="s">
        <v>729</v>
      </c>
      <c r="F10" s="6" t="s">
        <v>729</v>
      </c>
      <c r="G10" s="6" t="s">
        <v>729</v>
      </c>
      <c r="H10" s="6" t="s">
        <v>729</v>
      </c>
      <c r="I10" s="6" t="s">
        <v>729</v>
      </c>
      <c r="J10" s="6" t="s">
        <v>729</v>
      </c>
      <c r="K10" s="6" t="s">
        <v>729</v>
      </c>
      <c r="L10" s="6" t="s">
        <v>729</v>
      </c>
      <c r="M10" s="6" t="s">
        <v>729</v>
      </c>
      <c r="N10" s="6" t="s">
        <v>729</v>
      </c>
      <c r="O10" s="6" t="s">
        <v>729</v>
      </c>
      <c r="P10" s="6" t="s">
        <v>729</v>
      </c>
      <c r="Q10" s="6" t="s">
        <v>729</v>
      </c>
      <c r="R10" s="6" t="s">
        <v>729</v>
      </c>
      <c r="S10" s="6" t="s">
        <v>729</v>
      </c>
      <c r="T10" s="6" t="s">
        <v>729</v>
      </c>
      <c r="U10" s="6" t="s">
        <v>729</v>
      </c>
      <c r="V10" s="8" t="s">
        <v>729</v>
      </c>
    </row>
    <row r="11" ht="65.5" customHeight="1" spans="1:22">
      <c r="A11" s="16"/>
      <c r="B11" s="6" t="s">
        <v>729</v>
      </c>
      <c r="C11" s="6" t="s">
        <v>729</v>
      </c>
      <c r="D11" s="18" t="s">
        <v>1199</v>
      </c>
      <c r="E11" s="6" t="s">
        <v>729</v>
      </c>
      <c r="F11" s="11" t="s">
        <v>752</v>
      </c>
      <c r="G11" s="11" t="s">
        <v>752</v>
      </c>
      <c r="H11" s="11" t="s">
        <v>729</v>
      </c>
      <c r="I11" s="11" t="s">
        <v>729</v>
      </c>
      <c r="J11" s="11" t="s">
        <v>729</v>
      </c>
      <c r="K11" s="11" t="s">
        <v>729</v>
      </c>
      <c r="L11" s="11" t="s">
        <v>729</v>
      </c>
      <c r="M11" s="11" t="s">
        <v>729</v>
      </c>
      <c r="N11" s="11" t="s">
        <v>729</v>
      </c>
      <c r="O11" s="11" t="s">
        <v>729</v>
      </c>
      <c r="P11" s="11" t="s">
        <v>729</v>
      </c>
      <c r="Q11" s="11" t="s">
        <v>729</v>
      </c>
      <c r="R11" s="11" t="s">
        <v>729</v>
      </c>
      <c r="S11" s="11" t="s">
        <v>729</v>
      </c>
      <c r="T11" s="11" t="s">
        <v>729</v>
      </c>
      <c r="U11" s="11" t="s">
        <v>729</v>
      </c>
      <c r="V11" s="12" t="s">
        <v>729</v>
      </c>
    </row>
    <row r="12" ht="15.5" customHeight="1" spans="1:22">
      <c r="A12" s="16"/>
      <c r="B12" s="17" t="s">
        <v>694</v>
      </c>
      <c r="C12" s="6" t="s">
        <v>729</v>
      </c>
      <c r="D12" s="6" t="s">
        <v>729</v>
      </c>
      <c r="E12" s="6" t="s">
        <v>729</v>
      </c>
      <c r="F12" s="6" t="s">
        <v>729</v>
      </c>
      <c r="G12" s="6" t="s">
        <v>729</v>
      </c>
      <c r="H12" s="6" t="s">
        <v>729</v>
      </c>
      <c r="I12" s="6" t="s">
        <v>729</v>
      </c>
      <c r="J12" s="6" t="s">
        <v>729</v>
      </c>
      <c r="K12" s="6" t="s">
        <v>729</v>
      </c>
      <c r="L12" s="6" t="s">
        <v>729</v>
      </c>
      <c r="M12" s="6" t="s">
        <v>729</v>
      </c>
      <c r="N12" s="6" t="s">
        <v>729</v>
      </c>
      <c r="O12" s="6" t="s">
        <v>729</v>
      </c>
      <c r="P12" s="6" t="s">
        <v>729</v>
      </c>
      <c r="Q12" s="6" t="s">
        <v>729</v>
      </c>
      <c r="R12" s="6" t="s">
        <v>729</v>
      </c>
      <c r="S12" s="6" t="s">
        <v>729</v>
      </c>
      <c r="T12" s="6" t="s">
        <v>729</v>
      </c>
      <c r="U12" s="6" t="s">
        <v>729</v>
      </c>
      <c r="V12" s="8" t="s">
        <v>729</v>
      </c>
    </row>
    <row r="13" ht="90.5" customHeight="1" spans="1:22">
      <c r="A13" s="16"/>
      <c r="B13" s="6" t="s">
        <v>729</v>
      </c>
      <c r="C13" s="6" t="s">
        <v>729</v>
      </c>
      <c r="D13" s="18" t="s">
        <v>1200</v>
      </c>
      <c r="E13" s="6" t="s">
        <v>729</v>
      </c>
      <c r="F13" s="11" t="s">
        <v>756</v>
      </c>
      <c r="G13" s="11" t="s">
        <v>752</v>
      </c>
      <c r="H13" s="11" t="s">
        <v>729</v>
      </c>
      <c r="I13" s="11" t="s">
        <v>729</v>
      </c>
      <c r="J13" s="11" t="s">
        <v>729</v>
      </c>
      <c r="K13" s="11" t="s">
        <v>729</v>
      </c>
      <c r="L13" s="11" t="s">
        <v>729</v>
      </c>
      <c r="M13" s="11" t="s">
        <v>729</v>
      </c>
      <c r="N13" s="11" t="s">
        <v>729</v>
      </c>
      <c r="O13" s="11" t="s">
        <v>729</v>
      </c>
      <c r="P13" s="11" t="s">
        <v>729</v>
      </c>
      <c r="Q13" s="11" t="s">
        <v>729</v>
      </c>
      <c r="R13" s="11" t="s">
        <v>729</v>
      </c>
      <c r="S13" s="11" t="s">
        <v>729</v>
      </c>
      <c r="T13" s="11" t="s">
        <v>729</v>
      </c>
      <c r="U13" s="11" t="s">
        <v>729</v>
      </c>
      <c r="V13" s="12" t="s">
        <v>729</v>
      </c>
    </row>
    <row r="14" ht="18" customHeight="1" spans="1:22">
      <c r="A14" s="19" t="s">
        <v>696</v>
      </c>
      <c r="B14" s="20" t="s">
        <v>765</v>
      </c>
      <c r="C14" s="20"/>
      <c r="D14" s="20"/>
      <c r="E14" s="6" t="s">
        <v>729</v>
      </c>
      <c r="F14" s="11" t="s">
        <v>670</v>
      </c>
      <c r="G14" s="11" t="s">
        <v>63</v>
      </c>
      <c r="H14" s="11" t="s">
        <v>729</v>
      </c>
      <c r="I14" s="11" t="s">
        <v>729</v>
      </c>
      <c r="J14" s="11" t="s">
        <v>729</v>
      </c>
      <c r="K14" s="11" t="s">
        <v>729</v>
      </c>
      <c r="L14" s="11" t="s">
        <v>729</v>
      </c>
      <c r="M14" s="11" t="s">
        <v>729</v>
      </c>
      <c r="N14" s="11" t="s">
        <v>729</v>
      </c>
      <c r="O14" s="11" t="s">
        <v>729</v>
      </c>
      <c r="P14" s="11" t="s">
        <v>729</v>
      </c>
      <c r="Q14" s="11" t="s">
        <v>729</v>
      </c>
      <c r="R14" s="11" t="s">
        <v>729</v>
      </c>
      <c r="S14" s="11" t="s">
        <v>729</v>
      </c>
      <c r="T14" s="11" t="s">
        <v>729</v>
      </c>
      <c r="U14" s="11" t="s">
        <v>729</v>
      </c>
      <c r="V14" s="12" t="s">
        <v>729</v>
      </c>
    </row>
    <row r="15" ht="18" customHeight="1" spans="1:22">
      <c r="A15" s="19"/>
      <c r="B15" s="20" t="s">
        <v>698</v>
      </c>
      <c r="C15" s="20"/>
      <c r="D15" s="20"/>
      <c r="E15" s="6" t="s">
        <v>729</v>
      </c>
      <c r="F15" s="11" t="s">
        <v>766</v>
      </c>
      <c r="G15" s="11" t="s">
        <v>766</v>
      </c>
      <c r="H15" s="11" t="s">
        <v>729</v>
      </c>
      <c r="I15" s="11" t="s">
        <v>729</v>
      </c>
      <c r="J15" s="11" t="s">
        <v>729</v>
      </c>
      <c r="K15" s="11" t="s">
        <v>729</v>
      </c>
      <c r="L15" s="11" t="s">
        <v>729</v>
      </c>
      <c r="M15" s="11" t="s">
        <v>729</v>
      </c>
      <c r="N15" s="11" t="s">
        <v>729</v>
      </c>
      <c r="O15" s="11" t="s">
        <v>729</v>
      </c>
      <c r="P15" s="11" t="s">
        <v>729</v>
      </c>
      <c r="Q15" s="11" t="s">
        <v>729</v>
      </c>
      <c r="R15" s="11" t="s">
        <v>729</v>
      </c>
      <c r="S15" s="11" t="s">
        <v>729</v>
      </c>
      <c r="T15" s="11" t="s">
        <v>729</v>
      </c>
      <c r="U15" s="11" t="s">
        <v>729</v>
      </c>
      <c r="V15" s="12" t="s">
        <v>729</v>
      </c>
    </row>
    <row r="16" ht="18" customHeight="1" spans="1:22">
      <c r="A16" s="19"/>
      <c r="B16" s="20" t="s">
        <v>699</v>
      </c>
      <c r="C16" s="20"/>
      <c r="D16" s="20"/>
      <c r="E16" s="6" t="s">
        <v>729</v>
      </c>
      <c r="F16" s="6" t="s">
        <v>729</v>
      </c>
      <c r="G16" s="6" t="s">
        <v>729</v>
      </c>
      <c r="H16" s="6" t="s">
        <v>729</v>
      </c>
      <c r="I16" s="6" t="s">
        <v>729</v>
      </c>
      <c r="J16" s="6" t="s">
        <v>729</v>
      </c>
      <c r="K16" s="6" t="s">
        <v>729</v>
      </c>
      <c r="L16" s="6" t="s">
        <v>729</v>
      </c>
      <c r="M16" s="6" t="s">
        <v>729</v>
      </c>
      <c r="N16" s="6" t="s">
        <v>729</v>
      </c>
      <c r="O16" s="6" t="s">
        <v>729</v>
      </c>
      <c r="P16" s="6" t="s">
        <v>729</v>
      </c>
      <c r="Q16" s="6" t="s">
        <v>729</v>
      </c>
      <c r="R16" s="6" t="s">
        <v>729</v>
      </c>
      <c r="S16" s="6" t="s">
        <v>729</v>
      </c>
      <c r="T16" s="6" t="s">
        <v>729</v>
      </c>
      <c r="U16" s="6" t="s">
        <v>729</v>
      </c>
      <c r="V16" s="8" t="s">
        <v>729</v>
      </c>
    </row>
    <row r="17" ht="18" customHeight="1" spans="1:22">
      <c r="A17" s="19"/>
      <c r="B17" s="21" t="s">
        <v>700</v>
      </c>
      <c r="C17" s="21"/>
      <c r="D17" s="21"/>
      <c r="E17" s="22" t="s">
        <v>729</v>
      </c>
      <c r="F17" s="22" t="s">
        <v>729</v>
      </c>
      <c r="G17" s="22" t="s">
        <v>729</v>
      </c>
      <c r="H17" s="22" t="s">
        <v>729</v>
      </c>
      <c r="I17" s="22" t="s">
        <v>729</v>
      </c>
      <c r="J17" s="22" t="s">
        <v>729</v>
      </c>
      <c r="K17" s="22" t="s">
        <v>729</v>
      </c>
      <c r="L17" s="22" t="s">
        <v>729</v>
      </c>
      <c r="M17" s="22" t="s">
        <v>729</v>
      </c>
      <c r="N17" s="22" t="s">
        <v>729</v>
      </c>
      <c r="O17" s="22" t="s">
        <v>729</v>
      </c>
      <c r="P17" s="22" t="s">
        <v>729</v>
      </c>
      <c r="Q17" s="22" t="s">
        <v>729</v>
      </c>
      <c r="R17" s="22" t="s">
        <v>729</v>
      </c>
      <c r="S17" s="22" t="s">
        <v>729</v>
      </c>
      <c r="T17" s="22" t="s">
        <v>729</v>
      </c>
      <c r="U17" s="22" t="s">
        <v>729</v>
      </c>
      <c r="V17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4:D14"/>
    <mergeCell ref="B15:D15"/>
    <mergeCell ref="B16:D16"/>
    <mergeCell ref="B17:D17"/>
    <mergeCell ref="A7:A9"/>
    <mergeCell ref="A10:A13"/>
    <mergeCell ref="A14:A17"/>
  </mergeCells>
  <dataValidations count="3">
    <dataValidation type="list" allowBlank="1" sqref="F11:V11 F13:V13 F8:V9">
      <formula1>"O,-"</formula1>
    </dataValidation>
    <dataValidation type="list" allowBlank="1" sqref="F14:V14">
      <formula1>"N,A,B"</formula1>
    </dataValidation>
    <dataValidation type="list" allowBlank="1" sqref="F15:V15">
      <formula1>"P,F"</formula1>
    </dataValidation>
  </dataValidations>
  <pageMargins left="0.7" right="0.7" top="0.75" bottom="0.75" header="0.3" footer="0.3"/>
  <pageSetup paperSize="1" orientation="portrait"/>
  <headerFooter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6"/>
  <sheetViews>
    <sheetView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135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373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1201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2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2</v>
      </c>
      <c r="M5" s="11">
        <v>0</v>
      </c>
      <c r="N5" s="11">
        <v>0</v>
      </c>
      <c r="O5" s="12">
        <v>2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687</v>
      </c>
      <c r="H6" s="14" t="s">
        <v>729</v>
      </c>
      <c r="I6" s="14" t="s">
        <v>729</v>
      </c>
      <c r="J6" s="14" t="s">
        <v>729</v>
      </c>
      <c r="K6" s="14" t="s">
        <v>729</v>
      </c>
      <c r="L6" s="14" t="s">
        <v>729</v>
      </c>
      <c r="M6" s="14" t="s">
        <v>729</v>
      </c>
      <c r="N6" s="14" t="s">
        <v>729</v>
      </c>
      <c r="O6" s="14" t="s">
        <v>729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15.5" customHeight="1" spans="1:22">
      <c r="A7" s="16" t="s">
        <v>690</v>
      </c>
      <c r="B7" s="17" t="s">
        <v>774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53" customHeight="1" spans="1:22">
      <c r="A8" s="16"/>
      <c r="B8" s="6" t="s">
        <v>729</v>
      </c>
      <c r="C8" s="6" t="s">
        <v>729</v>
      </c>
      <c r="D8" s="18" t="s">
        <v>1202</v>
      </c>
      <c r="E8" s="6" t="s">
        <v>729</v>
      </c>
      <c r="F8" s="11" t="s">
        <v>752</v>
      </c>
      <c r="G8" s="11" t="s">
        <v>756</v>
      </c>
      <c r="H8" s="11" t="s">
        <v>729</v>
      </c>
      <c r="I8" s="11" t="s">
        <v>729</v>
      </c>
      <c r="J8" s="11" t="s">
        <v>729</v>
      </c>
      <c r="K8" s="11" t="s">
        <v>729</v>
      </c>
      <c r="L8" s="11" t="s">
        <v>729</v>
      </c>
      <c r="M8" s="11" t="s">
        <v>729</v>
      </c>
      <c r="N8" s="11" t="s">
        <v>729</v>
      </c>
      <c r="O8" s="11" t="s">
        <v>729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28" customHeight="1" spans="1:22">
      <c r="A9" s="16"/>
      <c r="B9" s="6" t="s">
        <v>729</v>
      </c>
      <c r="C9" s="6" t="s">
        <v>729</v>
      </c>
      <c r="D9" s="18" t="s">
        <v>1203</v>
      </c>
      <c r="E9" s="6" t="s">
        <v>729</v>
      </c>
      <c r="F9" s="11" t="s">
        <v>756</v>
      </c>
      <c r="G9" s="11" t="s">
        <v>752</v>
      </c>
      <c r="H9" s="11" t="s">
        <v>729</v>
      </c>
      <c r="I9" s="11" t="s">
        <v>729</v>
      </c>
      <c r="J9" s="11" t="s">
        <v>729</v>
      </c>
      <c r="K9" s="11" t="s">
        <v>729</v>
      </c>
      <c r="L9" s="11" t="s">
        <v>729</v>
      </c>
      <c r="M9" s="11" t="s">
        <v>729</v>
      </c>
      <c r="N9" s="11" t="s">
        <v>729</v>
      </c>
      <c r="O9" s="11" t="s">
        <v>729</v>
      </c>
      <c r="P9" s="11" t="s">
        <v>729</v>
      </c>
      <c r="Q9" s="11" t="s">
        <v>729</v>
      </c>
      <c r="R9" s="11" t="s">
        <v>729</v>
      </c>
      <c r="S9" s="11" t="s">
        <v>729</v>
      </c>
      <c r="T9" s="11" t="s">
        <v>729</v>
      </c>
      <c r="U9" s="11" t="s">
        <v>729</v>
      </c>
      <c r="V9" s="12" t="s">
        <v>729</v>
      </c>
    </row>
    <row r="10" ht="15.5" customHeight="1" spans="1:22">
      <c r="A10" s="16" t="s">
        <v>692</v>
      </c>
      <c r="B10" s="17" t="s">
        <v>693</v>
      </c>
      <c r="C10" s="6" t="s">
        <v>729</v>
      </c>
      <c r="D10" s="6" t="s">
        <v>729</v>
      </c>
      <c r="E10" s="6" t="s">
        <v>729</v>
      </c>
      <c r="F10" s="6" t="s">
        <v>729</v>
      </c>
      <c r="G10" s="6" t="s">
        <v>729</v>
      </c>
      <c r="H10" s="6" t="s">
        <v>729</v>
      </c>
      <c r="I10" s="6" t="s">
        <v>729</v>
      </c>
      <c r="J10" s="6" t="s">
        <v>729</v>
      </c>
      <c r="K10" s="6" t="s">
        <v>729</v>
      </c>
      <c r="L10" s="6" t="s">
        <v>729</v>
      </c>
      <c r="M10" s="6" t="s">
        <v>729</v>
      </c>
      <c r="N10" s="6" t="s">
        <v>729</v>
      </c>
      <c r="O10" s="6" t="s">
        <v>729</v>
      </c>
      <c r="P10" s="6" t="s">
        <v>729</v>
      </c>
      <c r="Q10" s="6" t="s">
        <v>729</v>
      </c>
      <c r="R10" s="6" t="s">
        <v>729</v>
      </c>
      <c r="S10" s="6" t="s">
        <v>729</v>
      </c>
      <c r="T10" s="6" t="s">
        <v>729</v>
      </c>
      <c r="U10" s="6" t="s">
        <v>729</v>
      </c>
      <c r="V10" s="8" t="s">
        <v>729</v>
      </c>
    </row>
    <row r="11" ht="78" customHeight="1" spans="1:22">
      <c r="A11" s="16"/>
      <c r="B11" s="6" t="s">
        <v>729</v>
      </c>
      <c r="C11" s="6" t="s">
        <v>729</v>
      </c>
      <c r="D11" s="18" t="s">
        <v>1204</v>
      </c>
      <c r="E11" s="6" t="s">
        <v>729</v>
      </c>
      <c r="F11" s="11" t="s">
        <v>752</v>
      </c>
      <c r="G11" s="11" t="s">
        <v>756</v>
      </c>
      <c r="H11" s="11" t="s">
        <v>729</v>
      </c>
      <c r="I11" s="11" t="s">
        <v>729</v>
      </c>
      <c r="J11" s="11" t="s">
        <v>729</v>
      </c>
      <c r="K11" s="11" t="s">
        <v>729</v>
      </c>
      <c r="L11" s="11" t="s">
        <v>729</v>
      </c>
      <c r="M11" s="11" t="s">
        <v>729</v>
      </c>
      <c r="N11" s="11" t="s">
        <v>729</v>
      </c>
      <c r="O11" s="11" t="s">
        <v>729</v>
      </c>
      <c r="P11" s="11" t="s">
        <v>729</v>
      </c>
      <c r="Q11" s="11" t="s">
        <v>729</v>
      </c>
      <c r="R11" s="11" t="s">
        <v>729</v>
      </c>
      <c r="S11" s="11" t="s">
        <v>729</v>
      </c>
      <c r="T11" s="11" t="s">
        <v>729</v>
      </c>
      <c r="U11" s="11" t="s">
        <v>729</v>
      </c>
      <c r="V11" s="12" t="s">
        <v>729</v>
      </c>
    </row>
    <row r="12" ht="90.5" customHeight="1" spans="1:22">
      <c r="A12" s="16"/>
      <c r="B12" s="6" t="s">
        <v>729</v>
      </c>
      <c r="C12" s="6" t="s">
        <v>729</v>
      </c>
      <c r="D12" s="18" t="s">
        <v>1205</v>
      </c>
      <c r="E12" s="6" t="s">
        <v>729</v>
      </c>
      <c r="F12" s="11" t="s">
        <v>756</v>
      </c>
      <c r="G12" s="11" t="s">
        <v>752</v>
      </c>
      <c r="H12" s="11" t="s">
        <v>729</v>
      </c>
      <c r="I12" s="11" t="s">
        <v>729</v>
      </c>
      <c r="J12" s="11" t="s">
        <v>729</v>
      </c>
      <c r="K12" s="11" t="s">
        <v>729</v>
      </c>
      <c r="L12" s="11" t="s">
        <v>729</v>
      </c>
      <c r="M12" s="11" t="s">
        <v>729</v>
      </c>
      <c r="N12" s="11" t="s">
        <v>729</v>
      </c>
      <c r="O12" s="11" t="s">
        <v>729</v>
      </c>
      <c r="P12" s="11" t="s">
        <v>729</v>
      </c>
      <c r="Q12" s="11" t="s">
        <v>729</v>
      </c>
      <c r="R12" s="11" t="s">
        <v>729</v>
      </c>
      <c r="S12" s="11" t="s">
        <v>729</v>
      </c>
      <c r="T12" s="11" t="s">
        <v>729</v>
      </c>
      <c r="U12" s="11" t="s">
        <v>729</v>
      </c>
      <c r="V12" s="12" t="s">
        <v>729</v>
      </c>
    </row>
    <row r="13" ht="18" customHeight="1" spans="1:22">
      <c r="A13" s="19" t="s">
        <v>696</v>
      </c>
      <c r="B13" s="20" t="s">
        <v>765</v>
      </c>
      <c r="C13" s="20"/>
      <c r="D13" s="20"/>
      <c r="E13" s="6" t="s">
        <v>729</v>
      </c>
      <c r="F13" s="11" t="s">
        <v>670</v>
      </c>
      <c r="G13" s="11" t="s">
        <v>670</v>
      </c>
      <c r="H13" s="11" t="s">
        <v>729</v>
      </c>
      <c r="I13" s="11" t="s">
        <v>729</v>
      </c>
      <c r="J13" s="11" t="s">
        <v>729</v>
      </c>
      <c r="K13" s="11" t="s">
        <v>729</v>
      </c>
      <c r="L13" s="11" t="s">
        <v>729</v>
      </c>
      <c r="M13" s="11" t="s">
        <v>729</v>
      </c>
      <c r="N13" s="11" t="s">
        <v>729</v>
      </c>
      <c r="O13" s="11" t="s">
        <v>729</v>
      </c>
      <c r="P13" s="11" t="s">
        <v>729</v>
      </c>
      <c r="Q13" s="11" t="s">
        <v>729</v>
      </c>
      <c r="R13" s="11" t="s">
        <v>729</v>
      </c>
      <c r="S13" s="11" t="s">
        <v>729</v>
      </c>
      <c r="T13" s="11" t="s">
        <v>729</v>
      </c>
      <c r="U13" s="11" t="s">
        <v>729</v>
      </c>
      <c r="V13" s="12" t="s">
        <v>729</v>
      </c>
    </row>
    <row r="14" ht="18" customHeight="1" spans="1:22">
      <c r="A14" s="19"/>
      <c r="B14" s="20" t="s">
        <v>698</v>
      </c>
      <c r="C14" s="20"/>
      <c r="D14" s="20"/>
      <c r="E14" s="6" t="s">
        <v>729</v>
      </c>
      <c r="F14" s="11" t="s">
        <v>766</v>
      </c>
      <c r="G14" s="11" t="s">
        <v>766</v>
      </c>
      <c r="H14" s="11" t="s">
        <v>729</v>
      </c>
      <c r="I14" s="11" t="s">
        <v>729</v>
      </c>
      <c r="J14" s="11" t="s">
        <v>729</v>
      </c>
      <c r="K14" s="11" t="s">
        <v>729</v>
      </c>
      <c r="L14" s="11" t="s">
        <v>729</v>
      </c>
      <c r="M14" s="11" t="s">
        <v>729</v>
      </c>
      <c r="N14" s="11" t="s">
        <v>729</v>
      </c>
      <c r="O14" s="11" t="s">
        <v>729</v>
      </c>
      <c r="P14" s="11" t="s">
        <v>729</v>
      </c>
      <c r="Q14" s="11" t="s">
        <v>729</v>
      </c>
      <c r="R14" s="11" t="s">
        <v>729</v>
      </c>
      <c r="S14" s="11" t="s">
        <v>729</v>
      </c>
      <c r="T14" s="11" t="s">
        <v>729</v>
      </c>
      <c r="U14" s="11" t="s">
        <v>729</v>
      </c>
      <c r="V14" s="12" t="s">
        <v>729</v>
      </c>
    </row>
    <row r="15" ht="18" customHeight="1" spans="1:22">
      <c r="A15" s="19"/>
      <c r="B15" s="20" t="s">
        <v>699</v>
      </c>
      <c r="C15" s="20"/>
      <c r="D15" s="20"/>
      <c r="E15" s="6" t="s">
        <v>729</v>
      </c>
      <c r="F15" s="6" t="s">
        <v>729</v>
      </c>
      <c r="G15" s="6" t="s">
        <v>729</v>
      </c>
      <c r="H15" s="6" t="s">
        <v>729</v>
      </c>
      <c r="I15" s="6" t="s">
        <v>729</v>
      </c>
      <c r="J15" s="6" t="s">
        <v>729</v>
      </c>
      <c r="K15" s="6" t="s">
        <v>729</v>
      </c>
      <c r="L15" s="6" t="s">
        <v>729</v>
      </c>
      <c r="M15" s="6" t="s">
        <v>729</v>
      </c>
      <c r="N15" s="6" t="s">
        <v>729</v>
      </c>
      <c r="O15" s="6" t="s">
        <v>729</v>
      </c>
      <c r="P15" s="6" t="s">
        <v>729</v>
      </c>
      <c r="Q15" s="6" t="s">
        <v>729</v>
      </c>
      <c r="R15" s="6" t="s">
        <v>729</v>
      </c>
      <c r="S15" s="6" t="s">
        <v>729</v>
      </c>
      <c r="T15" s="6" t="s">
        <v>729</v>
      </c>
      <c r="U15" s="6" t="s">
        <v>729</v>
      </c>
      <c r="V15" s="8" t="s">
        <v>729</v>
      </c>
    </row>
    <row r="16" ht="18" customHeight="1" spans="1:22">
      <c r="A16" s="19"/>
      <c r="B16" s="21" t="s">
        <v>700</v>
      </c>
      <c r="C16" s="21"/>
      <c r="D16" s="21"/>
      <c r="E16" s="22" t="s">
        <v>729</v>
      </c>
      <c r="F16" s="22" t="s">
        <v>729</v>
      </c>
      <c r="G16" s="22" t="s">
        <v>729</v>
      </c>
      <c r="H16" s="22" t="s">
        <v>729</v>
      </c>
      <c r="I16" s="22" t="s">
        <v>729</v>
      </c>
      <c r="J16" s="22" t="s">
        <v>729</v>
      </c>
      <c r="K16" s="22" t="s">
        <v>729</v>
      </c>
      <c r="L16" s="22" t="s">
        <v>729</v>
      </c>
      <c r="M16" s="22" t="s">
        <v>729</v>
      </c>
      <c r="N16" s="22" t="s">
        <v>729</v>
      </c>
      <c r="O16" s="22" t="s">
        <v>729</v>
      </c>
      <c r="P16" s="22" t="s">
        <v>729</v>
      </c>
      <c r="Q16" s="22" t="s">
        <v>729</v>
      </c>
      <c r="R16" s="22" t="s">
        <v>729</v>
      </c>
      <c r="S16" s="22" t="s">
        <v>729</v>
      </c>
      <c r="T16" s="22" t="s">
        <v>729</v>
      </c>
      <c r="U16" s="22" t="s">
        <v>729</v>
      </c>
      <c r="V16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3:D13"/>
    <mergeCell ref="B14:D14"/>
    <mergeCell ref="B15:D15"/>
    <mergeCell ref="B16:D16"/>
    <mergeCell ref="A7:A9"/>
    <mergeCell ref="A10:A12"/>
    <mergeCell ref="A13:A16"/>
  </mergeCells>
  <dataValidations count="3">
    <dataValidation type="list" allowBlank="1" sqref="F13:V13">
      <formula1>"N,A,B"</formula1>
    </dataValidation>
    <dataValidation type="list" allowBlank="1" sqref="F14:V14">
      <formula1>"P,F"</formula1>
    </dataValidation>
    <dataValidation type="list" allowBlank="1" sqref="F11:V12 F8:V9">
      <formula1>"O,-"</formula1>
    </dataValidation>
  </dataValidations>
  <pageMargins left="0.7" right="0.7" top="0.75" bottom="0.75" header="0.3" footer="0.3"/>
  <pageSetup paperSize="1" orientation="portrait"/>
  <headerFooter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6"/>
  <sheetViews>
    <sheetView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135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378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1206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3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3</v>
      </c>
      <c r="M5" s="11">
        <v>0</v>
      </c>
      <c r="N5" s="11">
        <v>0</v>
      </c>
      <c r="O5" s="12">
        <v>3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687</v>
      </c>
      <c r="H6" s="14" t="s">
        <v>688</v>
      </c>
      <c r="I6" s="14" t="s">
        <v>729</v>
      </c>
      <c r="J6" s="14" t="s">
        <v>729</v>
      </c>
      <c r="K6" s="14" t="s">
        <v>729</v>
      </c>
      <c r="L6" s="14" t="s">
        <v>729</v>
      </c>
      <c r="M6" s="14" t="s">
        <v>729</v>
      </c>
      <c r="N6" s="14" t="s">
        <v>729</v>
      </c>
      <c r="O6" s="14" t="s">
        <v>729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15.5" customHeight="1" spans="1:22">
      <c r="A7" s="16" t="s">
        <v>690</v>
      </c>
      <c r="B7" s="17" t="s">
        <v>1207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28" customHeight="1" spans="1:22">
      <c r="A8" s="16"/>
      <c r="B8" s="6" t="s">
        <v>729</v>
      </c>
      <c r="C8" s="6" t="s">
        <v>729</v>
      </c>
      <c r="D8" s="18" t="s">
        <v>1208</v>
      </c>
      <c r="E8" s="6" t="s">
        <v>729</v>
      </c>
      <c r="F8" s="11" t="s">
        <v>752</v>
      </c>
      <c r="G8" s="11" t="s">
        <v>756</v>
      </c>
      <c r="H8" s="11" t="s">
        <v>756</v>
      </c>
      <c r="I8" s="11" t="s">
        <v>729</v>
      </c>
      <c r="J8" s="11" t="s">
        <v>729</v>
      </c>
      <c r="K8" s="11" t="s">
        <v>729</v>
      </c>
      <c r="L8" s="11" t="s">
        <v>729</v>
      </c>
      <c r="M8" s="11" t="s">
        <v>729</v>
      </c>
      <c r="N8" s="11" t="s">
        <v>729</v>
      </c>
      <c r="O8" s="11" t="s">
        <v>729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53" customHeight="1" spans="1:22">
      <c r="A9" s="16"/>
      <c r="B9" s="6" t="s">
        <v>729</v>
      </c>
      <c r="C9" s="6" t="s">
        <v>729</v>
      </c>
      <c r="D9" s="18" t="s">
        <v>1209</v>
      </c>
      <c r="E9" s="6" t="s">
        <v>729</v>
      </c>
      <c r="F9" s="11" t="s">
        <v>756</v>
      </c>
      <c r="G9" s="11" t="s">
        <v>752</v>
      </c>
      <c r="H9" s="11" t="s">
        <v>756</v>
      </c>
      <c r="I9" s="11" t="s">
        <v>729</v>
      </c>
      <c r="J9" s="11" t="s">
        <v>729</v>
      </c>
      <c r="K9" s="11" t="s">
        <v>729</v>
      </c>
      <c r="L9" s="11" t="s">
        <v>729</v>
      </c>
      <c r="M9" s="11" t="s">
        <v>729</v>
      </c>
      <c r="N9" s="11" t="s">
        <v>729</v>
      </c>
      <c r="O9" s="11" t="s">
        <v>729</v>
      </c>
      <c r="P9" s="11" t="s">
        <v>729</v>
      </c>
      <c r="Q9" s="11" t="s">
        <v>729</v>
      </c>
      <c r="R9" s="11" t="s">
        <v>729</v>
      </c>
      <c r="S9" s="11" t="s">
        <v>729</v>
      </c>
      <c r="T9" s="11" t="s">
        <v>729</v>
      </c>
      <c r="U9" s="11" t="s">
        <v>729</v>
      </c>
      <c r="V9" s="12" t="s">
        <v>729</v>
      </c>
    </row>
    <row r="10" ht="53" customHeight="1" spans="1:22">
      <c r="A10" s="16"/>
      <c r="B10" s="6" t="s">
        <v>729</v>
      </c>
      <c r="C10" s="6" t="s">
        <v>729</v>
      </c>
      <c r="D10" s="18" t="s">
        <v>1210</v>
      </c>
      <c r="E10" s="6" t="s">
        <v>729</v>
      </c>
      <c r="F10" s="11" t="s">
        <v>756</v>
      </c>
      <c r="G10" s="11" t="s">
        <v>756</v>
      </c>
      <c r="H10" s="11" t="s">
        <v>752</v>
      </c>
      <c r="I10" s="11" t="s">
        <v>729</v>
      </c>
      <c r="J10" s="11" t="s">
        <v>729</v>
      </c>
      <c r="K10" s="11" t="s">
        <v>729</v>
      </c>
      <c r="L10" s="11" t="s">
        <v>729</v>
      </c>
      <c r="M10" s="11" t="s">
        <v>729</v>
      </c>
      <c r="N10" s="11" t="s">
        <v>729</v>
      </c>
      <c r="O10" s="11" t="s">
        <v>729</v>
      </c>
      <c r="P10" s="11" t="s">
        <v>729</v>
      </c>
      <c r="Q10" s="11" t="s">
        <v>729</v>
      </c>
      <c r="R10" s="11" t="s">
        <v>729</v>
      </c>
      <c r="S10" s="11" t="s">
        <v>729</v>
      </c>
      <c r="T10" s="11" t="s">
        <v>729</v>
      </c>
      <c r="U10" s="11" t="s">
        <v>729</v>
      </c>
      <c r="V10" s="12" t="s">
        <v>729</v>
      </c>
    </row>
    <row r="11" ht="15.5" customHeight="1" spans="1:22">
      <c r="A11" s="16" t="s">
        <v>692</v>
      </c>
      <c r="B11" s="17" t="s">
        <v>693</v>
      </c>
      <c r="C11" s="6" t="s">
        <v>729</v>
      </c>
      <c r="D11" s="6" t="s">
        <v>729</v>
      </c>
      <c r="E11" s="6" t="s">
        <v>729</v>
      </c>
      <c r="F11" s="6" t="s">
        <v>729</v>
      </c>
      <c r="G11" s="6" t="s">
        <v>729</v>
      </c>
      <c r="H11" s="6" t="s">
        <v>729</v>
      </c>
      <c r="I11" s="6" t="s">
        <v>729</v>
      </c>
      <c r="J11" s="6" t="s">
        <v>729</v>
      </c>
      <c r="K11" s="6" t="s">
        <v>729</v>
      </c>
      <c r="L11" s="6" t="s">
        <v>729</v>
      </c>
      <c r="M11" s="6" t="s">
        <v>729</v>
      </c>
      <c r="N11" s="6" t="s">
        <v>729</v>
      </c>
      <c r="O11" s="6" t="s">
        <v>729</v>
      </c>
      <c r="P11" s="6" t="s">
        <v>729</v>
      </c>
      <c r="Q11" s="6" t="s">
        <v>729</v>
      </c>
      <c r="R11" s="6" t="s">
        <v>729</v>
      </c>
      <c r="S11" s="6" t="s">
        <v>729</v>
      </c>
      <c r="T11" s="6" t="s">
        <v>729</v>
      </c>
      <c r="U11" s="6" t="s">
        <v>729</v>
      </c>
      <c r="V11" s="8" t="s">
        <v>729</v>
      </c>
    </row>
    <row r="12" ht="90.5" customHeight="1" spans="1:22">
      <c r="A12" s="16"/>
      <c r="B12" s="6" t="s">
        <v>729</v>
      </c>
      <c r="C12" s="6" t="s">
        <v>729</v>
      </c>
      <c r="D12" s="18" t="s">
        <v>1211</v>
      </c>
      <c r="E12" s="6" t="s">
        <v>729</v>
      </c>
      <c r="F12" s="11" t="s">
        <v>752</v>
      </c>
      <c r="G12" s="11" t="s">
        <v>752</v>
      </c>
      <c r="H12" s="11" t="s">
        <v>752</v>
      </c>
      <c r="I12" s="11" t="s">
        <v>729</v>
      </c>
      <c r="J12" s="11" t="s">
        <v>729</v>
      </c>
      <c r="K12" s="11" t="s">
        <v>729</v>
      </c>
      <c r="L12" s="11" t="s">
        <v>729</v>
      </c>
      <c r="M12" s="11" t="s">
        <v>729</v>
      </c>
      <c r="N12" s="11" t="s">
        <v>729</v>
      </c>
      <c r="O12" s="11" t="s">
        <v>729</v>
      </c>
      <c r="P12" s="11" t="s">
        <v>729</v>
      </c>
      <c r="Q12" s="11" t="s">
        <v>729</v>
      </c>
      <c r="R12" s="11" t="s">
        <v>729</v>
      </c>
      <c r="S12" s="11" t="s">
        <v>729</v>
      </c>
      <c r="T12" s="11" t="s">
        <v>729</v>
      </c>
      <c r="U12" s="11" t="s">
        <v>729</v>
      </c>
      <c r="V12" s="12" t="s">
        <v>729</v>
      </c>
    </row>
    <row r="13" ht="18" customHeight="1" spans="1:22">
      <c r="A13" s="19" t="s">
        <v>696</v>
      </c>
      <c r="B13" s="20" t="s">
        <v>765</v>
      </c>
      <c r="C13" s="20"/>
      <c r="D13" s="20"/>
      <c r="E13" s="6" t="s">
        <v>729</v>
      </c>
      <c r="F13" s="11" t="s">
        <v>670</v>
      </c>
      <c r="G13" s="11" t="s">
        <v>670</v>
      </c>
      <c r="H13" s="11" t="s">
        <v>670</v>
      </c>
      <c r="I13" s="11" t="s">
        <v>729</v>
      </c>
      <c r="J13" s="11" t="s">
        <v>729</v>
      </c>
      <c r="K13" s="11" t="s">
        <v>729</v>
      </c>
      <c r="L13" s="11" t="s">
        <v>729</v>
      </c>
      <c r="M13" s="11" t="s">
        <v>729</v>
      </c>
      <c r="N13" s="11" t="s">
        <v>729</v>
      </c>
      <c r="O13" s="11" t="s">
        <v>729</v>
      </c>
      <c r="P13" s="11" t="s">
        <v>729</v>
      </c>
      <c r="Q13" s="11" t="s">
        <v>729</v>
      </c>
      <c r="R13" s="11" t="s">
        <v>729</v>
      </c>
      <c r="S13" s="11" t="s">
        <v>729</v>
      </c>
      <c r="T13" s="11" t="s">
        <v>729</v>
      </c>
      <c r="U13" s="11" t="s">
        <v>729</v>
      </c>
      <c r="V13" s="12" t="s">
        <v>729</v>
      </c>
    </row>
    <row r="14" ht="18" customHeight="1" spans="1:22">
      <c r="A14" s="19"/>
      <c r="B14" s="20" t="s">
        <v>698</v>
      </c>
      <c r="C14" s="20"/>
      <c r="D14" s="20"/>
      <c r="E14" s="6" t="s">
        <v>729</v>
      </c>
      <c r="F14" s="11" t="s">
        <v>766</v>
      </c>
      <c r="G14" s="11" t="s">
        <v>766</v>
      </c>
      <c r="H14" s="11" t="s">
        <v>766</v>
      </c>
      <c r="I14" s="11" t="s">
        <v>729</v>
      </c>
      <c r="J14" s="11" t="s">
        <v>729</v>
      </c>
      <c r="K14" s="11" t="s">
        <v>729</v>
      </c>
      <c r="L14" s="11" t="s">
        <v>729</v>
      </c>
      <c r="M14" s="11" t="s">
        <v>729</v>
      </c>
      <c r="N14" s="11" t="s">
        <v>729</v>
      </c>
      <c r="O14" s="11" t="s">
        <v>729</v>
      </c>
      <c r="P14" s="11" t="s">
        <v>729</v>
      </c>
      <c r="Q14" s="11" t="s">
        <v>729</v>
      </c>
      <c r="R14" s="11" t="s">
        <v>729</v>
      </c>
      <c r="S14" s="11" t="s">
        <v>729</v>
      </c>
      <c r="T14" s="11" t="s">
        <v>729</v>
      </c>
      <c r="U14" s="11" t="s">
        <v>729</v>
      </c>
      <c r="V14" s="12" t="s">
        <v>729</v>
      </c>
    </row>
    <row r="15" ht="18" customHeight="1" spans="1:22">
      <c r="A15" s="19"/>
      <c r="B15" s="20" t="s">
        <v>699</v>
      </c>
      <c r="C15" s="20"/>
      <c r="D15" s="20"/>
      <c r="E15" s="6" t="s">
        <v>729</v>
      </c>
      <c r="F15" s="6" t="s">
        <v>729</v>
      </c>
      <c r="G15" s="6" t="s">
        <v>729</v>
      </c>
      <c r="H15" s="6" t="s">
        <v>729</v>
      </c>
      <c r="I15" s="6" t="s">
        <v>729</v>
      </c>
      <c r="J15" s="6" t="s">
        <v>729</v>
      </c>
      <c r="K15" s="6" t="s">
        <v>729</v>
      </c>
      <c r="L15" s="6" t="s">
        <v>729</v>
      </c>
      <c r="M15" s="6" t="s">
        <v>729</v>
      </c>
      <c r="N15" s="6" t="s">
        <v>729</v>
      </c>
      <c r="O15" s="6" t="s">
        <v>729</v>
      </c>
      <c r="P15" s="6" t="s">
        <v>729</v>
      </c>
      <c r="Q15" s="6" t="s">
        <v>729</v>
      </c>
      <c r="R15" s="6" t="s">
        <v>729</v>
      </c>
      <c r="S15" s="6" t="s">
        <v>729</v>
      </c>
      <c r="T15" s="6" t="s">
        <v>729</v>
      </c>
      <c r="U15" s="6" t="s">
        <v>729</v>
      </c>
      <c r="V15" s="8" t="s">
        <v>729</v>
      </c>
    </row>
    <row r="16" ht="18" customHeight="1" spans="1:22">
      <c r="A16" s="19"/>
      <c r="B16" s="21" t="s">
        <v>700</v>
      </c>
      <c r="C16" s="21"/>
      <c r="D16" s="21"/>
      <c r="E16" s="22" t="s">
        <v>729</v>
      </c>
      <c r="F16" s="22" t="s">
        <v>729</v>
      </c>
      <c r="G16" s="22" t="s">
        <v>729</v>
      </c>
      <c r="H16" s="22" t="s">
        <v>729</v>
      </c>
      <c r="I16" s="22" t="s">
        <v>729</v>
      </c>
      <c r="J16" s="22" t="s">
        <v>729</v>
      </c>
      <c r="K16" s="22" t="s">
        <v>729</v>
      </c>
      <c r="L16" s="22" t="s">
        <v>729</v>
      </c>
      <c r="M16" s="22" t="s">
        <v>729</v>
      </c>
      <c r="N16" s="22" t="s">
        <v>729</v>
      </c>
      <c r="O16" s="22" t="s">
        <v>729</v>
      </c>
      <c r="P16" s="22" t="s">
        <v>729</v>
      </c>
      <c r="Q16" s="22" t="s">
        <v>729</v>
      </c>
      <c r="R16" s="22" t="s">
        <v>729</v>
      </c>
      <c r="S16" s="22" t="s">
        <v>729</v>
      </c>
      <c r="T16" s="22" t="s">
        <v>729</v>
      </c>
      <c r="U16" s="22" t="s">
        <v>729</v>
      </c>
      <c r="V16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3:D13"/>
    <mergeCell ref="B14:D14"/>
    <mergeCell ref="B15:D15"/>
    <mergeCell ref="B16:D16"/>
    <mergeCell ref="A7:A10"/>
    <mergeCell ref="A11:A12"/>
    <mergeCell ref="A13:A16"/>
  </mergeCells>
  <dataValidations count="3">
    <dataValidation type="list" allowBlank="1" sqref="F10:V10 F12:V12 F8:V9">
      <formula1>"O,-"</formula1>
    </dataValidation>
    <dataValidation type="list" allowBlank="1" sqref="F13:V13">
      <formula1>"N,A,B"</formula1>
    </dataValidation>
    <dataValidation type="list" allowBlank="1" sqref="F14:V14">
      <formula1>"P,F"</formula1>
    </dataValidation>
  </dataValidations>
  <pageMargins left="0.7" right="0.7" top="0.75" bottom="0.75" header="0.3" footer="0.3"/>
  <pageSetup paperSize="1" orientation="portrait"/>
  <headerFooter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6"/>
  <sheetViews>
    <sheetView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135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383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1212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2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2</v>
      </c>
      <c r="M5" s="11">
        <v>0</v>
      </c>
      <c r="N5" s="11">
        <v>0</v>
      </c>
      <c r="O5" s="12">
        <v>2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687</v>
      </c>
      <c r="H6" s="14" t="s">
        <v>729</v>
      </c>
      <c r="I6" s="14" t="s">
        <v>729</v>
      </c>
      <c r="J6" s="14" t="s">
        <v>729</v>
      </c>
      <c r="K6" s="14" t="s">
        <v>729</v>
      </c>
      <c r="L6" s="14" t="s">
        <v>729</v>
      </c>
      <c r="M6" s="14" t="s">
        <v>729</v>
      </c>
      <c r="N6" s="14" t="s">
        <v>729</v>
      </c>
      <c r="O6" s="14" t="s">
        <v>729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28" customHeight="1" spans="1:22">
      <c r="A7" s="16" t="s">
        <v>690</v>
      </c>
      <c r="B7" s="17" t="s">
        <v>1213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53" customHeight="1" spans="1:22">
      <c r="A8" s="16"/>
      <c r="B8" s="6" t="s">
        <v>729</v>
      </c>
      <c r="C8" s="6" t="s">
        <v>729</v>
      </c>
      <c r="D8" s="18" t="s">
        <v>1214</v>
      </c>
      <c r="E8" s="6" t="s">
        <v>729</v>
      </c>
      <c r="F8" s="11" t="s">
        <v>752</v>
      </c>
      <c r="G8" s="11" t="s">
        <v>756</v>
      </c>
      <c r="H8" s="11" t="s">
        <v>729</v>
      </c>
      <c r="I8" s="11" t="s">
        <v>729</v>
      </c>
      <c r="J8" s="11" t="s">
        <v>729</v>
      </c>
      <c r="K8" s="11" t="s">
        <v>729</v>
      </c>
      <c r="L8" s="11" t="s">
        <v>729</v>
      </c>
      <c r="M8" s="11" t="s">
        <v>729</v>
      </c>
      <c r="N8" s="11" t="s">
        <v>729</v>
      </c>
      <c r="O8" s="11" t="s">
        <v>729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40.5" customHeight="1" spans="1:22">
      <c r="A9" s="16"/>
      <c r="B9" s="6" t="s">
        <v>729</v>
      </c>
      <c r="C9" s="6" t="s">
        <v>729</v>
      </c>
      <c r="D9" s="18" t="s">
        <v>1215</v>
      </c>
      <c r="E9" s="6" t="s">
        <v>729</v>
      </c>
      <c r="F9" s="11" t="s">
        <v>756</v>
      </c>
      <c r="G9" s="11" t="s">
        <v>752</v>
      </c>
      <c r="H9" s="11" t="s">
        <v>729</v>
      </c>
      <c r="I9" s="11" t="s">
        <v>729</v>
      </c>
      <c r="J9" s="11" t="s">
        <v>729</v>
      </c>
      <c r="K9" s="11" t="s">
        <v>729</v>
      </c>
      <c r="L9" s="11" t="s">
        <v>729</v>
      </c>
      <c r="M9" s="11" t="s">
        <v>729</v>
      </c>
      <c r="N9" s="11" t="s">
        <v>729</v>
      </c>
      <c r="O9" s="11" t="s">
        <v>729</v>
      </c>
      <c r="P9" s="11" t="s">
        <v>729</v>
      </c>
      <c r="Q9" s="11" t="s">
        <v>729</v>
      </c>
      <c r="R9" s="11" t="s">
        <v>729</v>
      </c>
      <c r="S9" s="11" t="s">
        <v>729</v>
      </c>
      <c r="T9" s="11" t="s">
        <v>729</v>
      </c>
      <c r="U9" s="11" t="s">
        <v>729</v>
      </c>
      <c r="V9" s="12" t="s">
        <v>729</v>
      </c>
    </row>
    <row r="10" ht="15.5" customHeight="1" spans="1:22">
      <c r="A10" s="16" t="s">
        <v>692</v>
      </c>
      <c r="B10" s="17" t="s">
        <v>693</v>
      </c>
      <c r="C10" s="6" t="s">
        <v>729</v>
      </c>
      <c r="D10" s="6" t="s">
        <v>729</v>
      </c>
      <c r="E10" s="6" t="s">
        <v>729</v>
      </c>
      <c r="F10" s="6" t="s">
        <v>729</v>
      </c>
      <c r="G10" s="6" t="s">
        <v>729</v>
      </c>
      <c r="H10" s="6" t="s">
        <v>729</v>
      </c>
      <c r="I10" s="6" t="s">
        <v>729</v>
      </c>
      <c r="J10" s="6" t="s">
        <v>729</v>
      </c>
      <c r="K10" s="6" t="s">
        <v>729</v>
      </c>
      <c r="L10" s="6" t="s">
        <v>729</v>
      </c>
      <c r="M10" s="6" t="s">
        <v>729</v>
      </c>
      <c r="N10" s="6" t="s">
        <v>729</v>
      </c>
      <c r="O10" s="6" t="s">
        <v>729</v>
      </c>
      <c r="P10" s="6" t="s">
        <v>729</v>
      </c>
      <c r="Q10" s="6" t="s">
        <v>729</v>
      </c>
      <c r="R10" s="6" t="s">
        <v>729</v>
      </c>
      <c r="S10" s="6" t="s">
        <v>729</v>
      </c>
      <c r="T10" s="6" t="s">
        <v>729</v>
      </c>
      <c r="U10" s="6" t="s">
        <v>729</v>
      </c>
      <c r="V10" s="8" t="s">
        <v>729</v>
      </c>
    </row>
    <row r="11" ht="65.5" customHeight="1" spans="1:22">
      <c r="A11" s="16"/>
      <c r="B11" s="6" t="s">
        <v>729</v>
      </c>
      <c r="C11" s="6" t="s">
        <v>729</v>
      </c>
      <c r="D11" s="18" t="s">
        <v>1216</v>
      </c>
      <c r="E11" s="6" t="s">
        <v>729</v>
      </c>
      <c r="F11" s="11" t="s">
        <v>752</v>
      </c>
      <c r="G11" s="11" t="s">
        <v>756</v>
      </c>
      <c r="H11" s="11" t="s">
        <v>729</v>
      </c>
      <c r="I11" s="11" t="s">
        <v>729</v>
      </c>
      <c r="J11" s="11" t="s">
        <v>729</v>
      </c>
      <c r="K11" s="11" t="s">
        <v>729</v>
      </c>
      <c r="L11" s="11" t="s">
        <v>729</v>
      </c>
      <c r="M11" s="11" t="s">
        <v>729</v>
      </c>
      <c r="N11" s="11" t="s">
        <v>729</v>
      </c>
      <c r="O11" s="11" t="s">
        <v>729</v>
      </c>
      <c r="P11" s="11" t="s">
        <v>729</v>
      </c>
      <c r="Q11" s="11" t="s">
        <v>729</v>
      </c>
      <c r="R11" s="11" t="s">
        <v>729</v>
      </c>
      <c r="S11" s="11" t="s">
        <v>729</v>
      </c>
      <c r="T11" s="11" t="s">
        <v>729</v>
      </c>
      <c r="U11" s="11" t="s">
        <v>729</v>
      </c>
      <c r="V11" s="12" t="s">
        <v>729</v>
      </c>
    </row>
    <row r="12" ht="65.5" customHeight="1" spans="1:22">
      <c r="A12" s="16"/>
      <c r="B12" s="6" t="s">
        <v>729</v>
      </c>
      <c r="C12" s="6" t="s">
        <v>729</v>
      </c>
      <c r="D12" s="18" t="s">
        <v>1217</v>
      </c>
      <c r="E12" s="6" t="s">
        <v>729</v>
      </c>
      <c r="F12" s="11" t="s">
        <v>756</v>
      </c>
      <c r="G12" s="11" t="s">
        <v>752</v>
      </c>
      <c r="H12" s="11" t="s">
        <v>729</v>
      </c>
      <c r="I12" s="11" t="s">
        <v>729</v>
      </c>
      <c r="J12" s="11" t="s">
        <v>729</v>
      </c>
      <c r="K12" s="11" t="s">
        <v>729</v>
      </c>
      <c r="L12" s="11" t="s">
        <v>729</v>
      </c>
      <c r="M12" s="11" t="s">
        <v>729</v>
      </c>
      <c r="N12" s="11" t="s">
        <v>729</v>
      </c>
      <c r="O12" s="11" t="s">
        <v>729</v>
      </c>
      <c r="P12" s="11" t="s">
        <v>729</v>
      </c>
      <c r="Q12" s="11" t="s">
        <v>729</v>
      </c>
      <c r="R12" s="11" t="s">
        <v>729</v>
      </c>
      <c r="S12" s="11" t="s">
        <v>729</v>
      </c>
      <c r="T12" s="11" t="s">
        <v>729</v>
      </c>
      <c r="U12" s="11" t="s">
        <v>729</v>
      </c>
      <c r="V12" s="12" t="s">
        <v>729</v>
      </c>
    </row>
    <row r="13" ht="18" customHeight="1" spans="1:22">
      <c r="A13" s="19" t="s">
        <v>696</v>
      </c>
      <c r="B13" s="20" t="s">
        <v>765</v>
      </c>
      <c r="C13" s="20"/>
      <c r="D13" s="20"/>
      <c r="E13" s="6" t="s">
        <v>729</v>
      </c>
      <c r="F13" s="11" t="s">
        <v>670</v>
      </c>
      <c r="G13" s="11" t="s">
        <v>670</v>
      </c>
      <c r="H13" s="11" t="s">
        <v>729</v>
      </c>
      <c r="I13" s="11" t="s">
        <v>729</v>
      </c>
      <c r="J13" s="11" t="s">
        <v>729</v>
      </c>
      <c r="K13" s="11" t="s">
        <v>729</v>
      </c>
      <c r="L13" s="11" t="s">
        <v>729</v>
      </c>
      <c r="M13" s="11" t="s">
        <v>729</v>
      </c>
      <c r="N13" s="11" t="s">
        <v>729</v>
      </c>
      <c r="O13" s="11" t="s">
        <v>729</v>
      </c>
      <c r="P13" s="11" t="s">
        <v>729</v>
      </c>
      <c r="Q13" s="11" t="s">
        <v>729</v>
      </c>
      <c r="R13" s="11" t="s">
        <v>729</v>
      </c>
      <c r="S13" s="11" t="s">
        <v>729</v>
      </c>
      <c r="T13" s="11" t="s">
        <v>729</v>
      </c>
      <c r="U13" s="11" t="s">
        <v>729</v>
      </c>
      <c r="V13" s="12" t="s">
        <v>729</v>
      </c>
    </row>
    <row r="14" ht="18" customHeight="1" spans="1:22">
      <c r="A14" s="19"/>
      <c r="B14" s="20" t="s">
        <v>698</v>
      </c>
      <c r="C14" s="20"/>
      <c r="D14" s="20"/>
      <c r="E14" s="6" t="s">
        <v>729</v>
      </c>
      <c r="F14" s="11" t="s">
        <v>766</v>
      </c>
      <c r="G14" s="11" t="s">
        <v>766</v>
      </c>
      <c r="H14" s="11" t="s">
        <v>729</v>
      </c>
      <c r="I14" s="11" t="s">
        <v>729</v>
      </c>
      <c r="J14" s="11" t="s">
        <v>729</v>
      </c>
      <c r="K14" s="11" t="s">
        <v>729</v>
      </c>
      <c r="L14" s="11" t="s">
        <v>729</v>
      </c>
      <c r="M14" s="11" t="s">
        <v>729</v>
      </c>
      <c r="N14" s="11" t="s">
        <v>729</v>
      </c>
      <c r="O14" s="11" t="s">
        <v>729</v>
      </c>
      <c r="P14" s="11" t="s">
        <v>729</v>
      </c>
      <c r="Q14" s="11" t="s">
        <v>729</v>
      </c>
      <c r="R14" s="11" t="s">
        <v>729</v>
      </c>
      <c r="S14" s="11" t="s">
        <v>729</v>
      </c>
      <c r="T14" s="11" t="s">
        <v>729</v>
      </c>
      <c r="U14" s="11" t="s">
        <v>729</v>
      </c>
      <c r="V14" s="12" t="s">
        <v>729</v>
      </c>
    </row>
    <row r="15" ht="18" customHeight="1" spans="1:22">
      <c r="A15" s="19"/>
      <c r="B15" s="20" t="s">
        <v>699</v>
      </c>
      <c r="C15" s="20"/>
      <c r="D15" s="20"/>
      <c r="E15" s="6" t="s">
        <v>729</v>
      </c>
      <c r="F15" s="6" t="s">
        <v>729</v>
      </c>
      <c r="G15" s="6" t="s">
        <v>729</v>
      </c>
      <c r="H15" s="6" t="s">
        <v>729</v>
      </c>
      <c r="I15" s="6" t="s">
        <v>729</v>
      </c>
      <c r="J15" s="6" t="s">
        <v>729</v>
      </c>
      <c r="K15" s="6" t="s">
        <v>729</v>
      </c>
      <c r="L15" s="6" t="s">
        <v>729</v>
      </c>
      <c r="M15" s="6" t="s">
        <v>729</v>
      </c>
      <c r="N15" s="6" t="s">
        <v>729</v>
      </c>
      <c r="O15" s="6" t="s">
        <v>729</v>
      </c>
      <c r="P15" s="6" t="s">
        <v>729</v>
      </c>
      <c r="Q15" s="6" t="s">
        <v>729</v>
      </c>
      <c r="R15" s="6" t="s">
        <v>729</v>
      </c>
      <c r="S15" s="6" t="s">
        <v>729</v>
      </c>
      <c r="T15" s="6" t="s">
        <v>729</v>
      </c>
      <c r="U15" s="6" t="s">
        <v>729</v>
      </c>
      <c r="V15" s="8" t="s">
        <v>729</v>
      </c>
    </row>
    <row r="16" ht="18" customHeight="1" spans="1:22">
      <c r="A16" s="19"/>
      <c r="B16" s="21" t="s">
        <v>700</v>
      </c>
      <c r="C16" s="21"/>
      <c r="D16" s="21"/>
      <c r="E16" s="22" t="s">
        <v>729</v>
      </c>
      <c r="F16" s="22" t="s">
        <v>729</v>
      </c>
      <c r="G16" s="22" t="s">
        <v>729</v>
      </c>
      <c r="H16" s="22" t="s">
        <v>729</v>
      </c>
      <c r="I16" s="22" t="s">
        <v>729</v>
      </c>
      <c r="J16" s="22" t="s">
        <v>729</v>
      </c>
      <c r="K16" s="22" t="s">
        <v>729</v>
      </c>
      <c r="L16" s="22" t="s">
        <v>729</v>
      </c>
      <c r="M16" s="22" t="s">
        <v>729</v>
      </c>
      <c r="N16" s="22" t="s">
        <v>729</v>
      </c>
      <c r="O16" s="22" t="s">
        <v>729</v>
      </c>
      <c r="P16" s="22" t="s">
        <v>729</v>
      </c>
      <c r="Q16" s="22" t="s">
        <v>729</v>
      </c>
      <c r="R16" s="22" t="s">
        <v>729</v>
      </c>
      <c r="S16" s="22" t="s">
        <v>729</v>
      </c>
      <c r="T16" s="22" t="s">
        <v>729</v>
      </c>
      <c r="U16" s="22" t="s">
        <v>729</v>
      </c>
      <c r="V16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3:D13"/>
    <mergeCell ref="B14:D14"/>
    <mergeCell ref="B15:D15"/>
    <mergeCell ref="B16:D16"/>
    <mergeCell ref="A7:A9"/>
    <mergeCell ref="A10:A12"/>
    <mergeCell ref="A13:A16"/>
  </mergeCells>
  <dataValidations count="3">
    <dataValidation type="list" allowBlank="1" sqref="F13:V13">
      <formula1>"N,A,B"</formula1>
    </dataValidation>
    <dataValidation type="list" allowBlank="1" sqref="F14:V14">
      <formula1>"P,F"</formula1>
    </dataValidation>
    <dataValidation type="list" allowBlank="1" sqref="F11:V12 F8:V9">
      <formula1>"O,-"</formula1>
    </dataValidation>
  </dataValidations>
  <pageMargins left="0.7" right="0.7" top="0.75" bottom="0.75" header="0.3" footer="0.3"/>
  <pageSetup paperSize="1" orientation="portrait"/>
  <headerFooter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8"/>
  <sheetViews>
    <sheetView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135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388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1218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3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2</v>
      </c>
      <c r="M5" s="11">
        <v>1</v>
      </c>
      <c r="N5" s="11">
        <v>0</v>
      </c>
      <c r="O5" s="12">
        <v>3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687</v>
      </c>
      <c r="H6" s="14" t="s">
        <v>688</v>
      </c>
      <c r="I6" s="14" t="s">
        <v>729</v>
      </c>
      <c r="J6" s="14" t="s">
        <v>729</v>
      </c>
      <c r="K6" s="14" t="s">
        <v>729</v>
      </c>
      <c r="L6" s="14" t="s">
        <v>729</v>
      </c>
      <c r="M6" s="14" t="s">
        <v>729</v>
      </c>
      <c r="N6" s="14" t="s">
        <v>729</v>
      </c>
      <c r="O6" s="14" t="s">
        <v>729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15.5" customHeight="1" spans="1:22">
      <c r="A7" s="16" t="s">
        <v>690</v>
      </c>
      <c r="B7" s="17" t="s">
        <v>1023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28" customHeight="1" spans="1:22">
      <c r="A8" s="16"/>
      <c r="B8" s="6" t="s">
        <v>729</v>
      </c>
      <c r="C8" s="6" t="s">
        <v>729</v>
      </c>
      <c r="D8" s="18" t="s">
        <v>1219</v>
      </c>
      <c r="E8" s="6" t="s">
        <v>729</v>
      </c>
      <c r="F8" s="11" t="s">
        <v>752</v>
      </c>
      <c r="G8" s="11" t="s">
        <v>756</v>
      </c>
      <c r="H8" s="11" t="s">
        <v>756</v>
      </c>
      <c r="I8" s="11" t="s">
        <v>729</v>
      </c>
      <c r="J8" s="11" t="s">
        <v>729</v>
      </c>
      <c r="K8" s="11" t="s">
        <v>729</v>
      </c>
      <c r="L8" s="11" t="s">
        <v>729</v>
      </c>
      <c r="M8" s="11" t="s">
        <v>729</v>
      </c>
      <c r="N8" s="11" t="s">
        <v>729</v>
      </c>
      <c r="O8" s="11" t="s">
        <v>729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28" customHeight="1" spans="1:22">
      <c r="A9" s="16"/>
      <c r="B9" s="6" t="s">
        <v>729</v>
      </c>
      <c r="C9" s="6" t="s">
        <v>729</v>
      </c>
      <c r="D9" s="18" t="s">
        <v>1220</v>
      </c>
      <c r="E9" s="6" t="s">
        <v>729</v>
      </c>
      <c r="F9" s="11" t="s">
        <v>756</v>
      </c>
      <c r="G9" s="11" t="s">
        <v>752</v>
      </c>
      <c r="H9" s="11" t="s">
        <v>756</v>
      </c>
      <c r="I9" s="11" t="s">
        <v>729</v>
      </c>
      <c r="J9" s="11" t="s">
        <v>729</v>
      </c>
      <c r="K9" s="11" t="s">
        <v>729</v>
      </c>
      <c r="L9" s="11" t="s">
        <v>729</v>
      </c>
      <c r="M9" s="11" t="s">
        <v>729</v>
      </c>
      <c r="N9" s="11" t="s">
        <v>729</v>
      </c>
      <c r="O9" s="11" t="s">
        <v>729</v>
      </c>
      <c r="P9" s="11" t="s">
        <v>729</v>
      </c>
      <c r="Q9" s="11" t="s">
        <v>729</v>
      </c>
      <c r="R9" s="11" t="s">
        <v>729</v>
      </c>
      <c r="S9" s="11" t="s">
        <v>729</v>
      </c>
      <c r="T9" s="11" t="s">
        <v>729</v>
      </c>
      <c r="U9" s="11" t="s">
        <v>729</v>
      </c>
      <c r="V9" s="12" t="s">
        <v>729</v>
      </c>
    </row>
    <row r="10" ht="40.5" customHeight="1" spans="1:22">
      <c r="A10" s="16"/>
      <c r="B10" s="6" t="s">
        <v>729</v>
      </c>
      <c r="C10" s="6" t="s">
        <v>729</v>
      </c>
      <c r="D10" s="18" t="s">
        <v>1221</v>
      </c>
      <c r="E10" s="6" t="s">
        <v>729</v>
      </c>
      <c r="F10" s="11" t="s">
        <v>756</v>
      </c>
      <c r="G10" s="11" t="s">
        <v>756</v>
      </c>
      <c r="H10" s="11" t="s">
        <v>752</v>
      </c>
      <c r="I10" s="11" t="s">
        <v>729</v>
      </c>
      <c r="J10" s="11" t="s">
        <v>729</v>
      </c>
      <c r="K10" s="11" t="s">
        <v>729</v>
      </c>
      <c r="L10" s="11" t="s">
        <v>729</v>
      </c>
      <c r="M10" s="11" t="s">
        <v>729</v>
      </c>
      <c r="N10" s="11" t="s">
        <v>729</v>
      </c>
      <c r="O10" s="11" t="s">
        <v>729</v>
      </c>
      <c r="P10" s="11" t="s">
        <v>729</v>
      </c>
      <c r="Q10" s="11" t="s">
        <v>729</v>
      </c>
      <c r="R10" s="11" t="s">
        <v>729</v>
      </c>
      <c r="S10" s="11" t="s">
        <v>729</v>
      </c>
      <c r="T10" s="11" t="s">
        <v>729</v>
      </c>
      <c r="U10" s="11" t="s">
        <v>729</v>
      </c>
      <c r="V10" s="12" t="s">
        <v>729</v>
      </c>
    </row>
    <row r="11" ht="15.5" customHeight="1" spans="1:22">
      <c r="A11" s="16" t="s">
        <v>692</v>
      </c>
      <c r="B11" s="17" t="s">
        <v>693</v>
      </c>
      <c r="C11" s="6" t="s">
        <v>729</v>
      </c>
      <c r="D11" s="6" t="s">
        <v>729</v>
      </c>
      <c r="E11" s="6" t="s">
        <v>729</v>
      </c>
      <c r="F11" s="6" t="s">
        <v>729</v>
      </c>
      <c r="G11" s="6" t="s">
        <v>729</v>
      </c>
      <c r="H11" s="6" t="s">
        <v>729</v>
      </c>
      <c r="I11" s="6" t="s">
        <v>729</v>
      </c>
      <c r="J11" s="6" t="s">
        <v>729</v>
      </c>
      <c r="K11" s="6" t="s">
        <v>729</v>
      </c>
      <c r="L11" s="6" t="s">
        <v>729</v>
      </c>
      <c r="M11" s="6" t="s">
        <v>729</v>
      </c>
      <c r="N11" s="6" t="s">
        <v>729</v>
      </c>
      <c r="O11" s="6" t="s">
        <v>729</v>
      </c>
      <c r="P11" s="6" t="s">
        <v>729</v>
      </c>
      <c r="Q11" s="6" t="s">
        <v>729</v>
      </c>
      <c r="R11" s="6" t="s">
        <v>729</v>
      </c>
      <c r="S11" s="6" t="s">
        <v>729</v>
      </c>
      <c r="T11" s="6" t="s">
        <v>729</v>
      </c>
      <c r="U11" s="6" t="s">
        <v>729</v>
      </c>
      <c r="V11" s="8" t="s">
        <v>729</v>
      </c>
    </row>
    <row r="12" ht="40.5" customHeight="1" spans="1:22">
      <c r="A12" s="16"/>
      <c r="B12" s="6" t="s">
        <v>729</v>
      </c>
      <c r="C12" s="6" t="s">
        <v>729</v>
      </c>
      <c r="D12" s="18" t="s">
        <v>1222</v>
      </c>
      <c r="E12" s="6" t="s">
        <v>729</v>
      </c>
      <c r="F12" s="11" t="s">
        <v>752</v>
      </c>
      <c r="G12" s="11" t="s">
        <v>756</v>
      </c>
      <c r="H12" s="11" t="s">
        <v>756</v>
      </c>
      <c r="I12" s="11" t="s">
        <v>729</v>
      </c>
      <c r="J12" s="11" t="s">
        <v>729</v>
      </c>
      <c r="K12" s="11" t="s">
        <v>729</v>
      </c>
      <c r="L12" s="11" t="s">
        <v>729</v>
      </c>
      <c r="M12" s="11" t="s">
        <v>729</v>
      </c>
      <c r="N12" s="11" t="s">
        <v>729</v>
      </c>
      <c r="O12" s="11" t="s">
        <v>729</v>
      </c>
      <c r="P12" s="11" t="s">
        <v>729</v>
      </c>
      <c r="Q12" s="11" t="s">
        <v>729</v>
      </c>
      <c r="R12" s="11" t="s">
        <v>729</v>
      </c>
      <c r="S12" s="11" t="s">
        <v>729</v>
      </c>
      <c r="T12" s="11" t="s">
        <v>729</v>
      </c>
      <c r="U12" s="11" t="s">
        <v>729</v>
      </c>
      <c r="V12" s="12" t="s">
        <v>729</v>
      </c>
    </row>
    <row r="13" ht="40.5" customHeight="1" spans="1:22">
      <c r="A13" s="16"/>
      <c r="B13" s="6" t="s">
        <v>729</v>
      </c>
      <c r="C13" s="6" t="s">
        <v>729</v>
      </c>
      <c r="D13" s="18" t="s">
        <v>1223</v>
      </c>
      <c r="E13" s="6" t="s">
        <v>729</v>
      </c>
      <c r="F13" s="11" t="s">
        <v>756</v>
      </c>
      <c r="G13" s="11" t="s">
        <v>752</v>
      </c>
      <c r="H13" s="11" t="s">
        <v>756</v>
      </c>
      <c r="I13" s="11" t="s">
        <v>729</v>
      </c>
      <c r="J13" s="11" t="s">
        <v>729</v>
      </c>
      <c r="K13" s="11" t="s">
        <v>729</v>
      </c>
      <c r="L13" s="11" t="s">
        <v>729</v>
      </c>
      <c r="M13" s="11" t="s">
        <v>729</v>
      </c>
      <c r="N13" s="11" t="s">
        <v>729</v>
      </c>
      <c r="O13" s="11" t="s">
        <v>729</v>
      </c>
      <c r="P13" s="11" t="s">
        <v>729</v>
      </c>
      <c r="Q13" s="11" t="s">
        <v>729</v>
      </c>
      <c r="R13" s="11" t="s">
        <v>729</v>
      </c>
      <c r="S13" s="11" t="s">
        <v>729</v>
      </c>
      <c r="T13" s="11" t="s">
        <v>729</v>
      </c>
      <c r="U13" s="11" t="s">
        <v>729</v>
      </c>
      <c r="V13" s="12" t="s">
        <v>729</v>
      </c>
    </row>
    <row r="14" ht="78" customHeight="1" spans="1:22">
      <c r="A14" s="16"/>
      <c r="B14" s="6" t="s">
        <v>729</v>
      </c>
      <c r="C14" s="6" t="s">
        <v>729</v>
      </c>
      <c r="D14" s="18" t="s">
        <v>1224</v>
      </c>
      <c r="E14" s="6" t="s">
        <v>729</v>
      </c>
      <c r="F14" s="11" t="s">
        <v>756</v>
      </c>
      <c r="G14" s="11" t="s">
        <v>756</v>
      </c>
      <c r="H14" s="11" t="s">
        <v>752</v>
      </c>
      <c r="I14" s="11" t="s">
        <v>729</v>
      </c>
      <c r="J14" s="11" t="s">
        <v>729</v>
      </c>
      <c r="K14" s="11" t="s">
        <v>729</v>
      </c>
      <c r="L14" s="11" t="s">
        <v>729</v>
      </c>
      <c r="M14" s="11" t="s">
        <v>729</v>
      </c>
      <c r="N14" s="11" t="s">
        <v>729</v>
      </c>
      <c r="O14" s="11" t="s">
        <v>729</v>
      </c>
      <c r="P14" s="11" t="s">
        <v>729</v>
      </c>
      <c r="Q14" s="11" t="s">
        <v>729</v>
      </c>
      <c r="R14" s="11" t="s">
        <v>729</v>
      </c>
      <c r="S14" s="11" t="s">
        <v>729</v>
      </c>
      <c r="T14" s="11" t="s">
        <v>729</v>
      </c>
      <c r="U14" s="11" t="s">
        <v>729</v>
      </c>
      <c r="V14" s="12" t="s">
        <v>729</v>
      </c>
    </row>
    <row r="15" ht="18" customHeight="1" spans="1:22">
      <c r="A15" s="19" t="s">
        <v>696</v>
      </c>
      <c r="B15" s="20" t="s">
        <v>765</v>
      </c>
      <c r="C15" s="20"/>
      <c r="D15" s="20"/>
      <c r="E15" s="6" t="s">
        <v>729</v>
      </c>
      <c r="F15" s="11" t="s">
        <v>670</v>
      </c>
      <c r="G15" s="11" t="s">
        <v>670</v>
      </c>
      <c r="H15" s="11" t="s">
        <v>63</v>
      </c>
      <c r="I15" s="11" t="s">
        <v>729</v>
      </c>
      <c r="J15" s="11" t="s">
        <v>729</v>
      </c>
      <c r="K15" s="11" t="s">
        <v>729</v>
      </c>
      <c r="L15" s="11" t="s">
        <v>729</v>
      </c>
      <c r="M15" s="11" t="s">
        <v>729</v>
      </c>
      <c r="N15" s="11" t="s">
        <v>729</v>
      </c>
      <c r="O15" s="11" t="s">
        <v>729</v>
      </c>
      <c r="P15" s="11" t="s">
        <v>729</v>
      </c>
      <c r="Q15" s="11" t="s">
        <v>729</v>
      </c>
      <c r="R15" s="11" t="s">
        <v>729</v>
      </c>
      <c r="S15" s="11" t="s">
        <v>729</v>
      </c>
      <c r="T15" s="11" t="s">
        <v>729</v>
      </c>
      <c r="U15" s="11" t="s">
        <v>729</v>
      </c>
      <c r="V15" s="12" t="s">
        <v>729</v>
      </c>
    </row>
    <row r="16" ht="18" customHeight="1" spans="1:22">
      <c r="A16" s="19"/>
      <c r="B16" s="20" t="s">
        <v>698</v>
      </c>
      <c r="C16" s="20"/>
      <c r="D16" s="20"/>
      <c r="E16" s="6" t="s">
        <v>729</v>
      </c>
      <c r="F16" s="11" t="s">
        <v>766</v>
      </c>
      <c r="G16" s="11" t="s">
        <v>766</v>
      </c>
      <c r="H16" s="11" t="s">
        <v>766</v>
      </c>
      <c r="I16" s="11" t="s">
        <v>729</v>
      </c>
      <c r="J16" s="11" t="s">
        <v>729</v>
      </c>
      <c r="K16" s="11" t="s">
        <v>729</v>
      </c>
      <c r="L16" s="11" t="s">
        <v>729</v>
      </c>
      <c r="M16" s="11" t="s">
        <v>729</v>
      </c>
      <c r="N16" s="11" t="s">
        <v>729</v>
      </c>
      <c r="O16" s="11" t="s">
        <v>729</v>
      </c>
      <c r="P16" s="11" t="s">
        <v>729</v>
      </c>
      <c r="Q16" s="11" t="s">
        <v>729</v>
      </c>
      <c r="R16" s="11" t="s">
        <v>729</v>
      </c>
      <c r="S16" s="11" t="s">
        <v>729</v>
      </c>
      <c r="T16" s="11" t="s">
        <v>729</v>
      </c>
      <c r="U16" s="11" t="s">
        <v>729</v>
      </c>
      <c r="V16" s="12" t="s">
        <v>729</v>
      </c>
    </row>
    <row r="17" ht="18" customHeight="1" spans="1:22">
      <c r="A17" s="19"/>
      <c r="B17" s="20" t="s">
        <v>699</v>
      </c>
      <c r="C17" s="20"/>
      <c r="D17" s="20"/>
      <c r="E17" s="6" t="s">
        <v>729</v>
      </c>
      <c r="F17" s="6" t="s">
        <v>729</v>
      </c>
      <c r="G17" s="6" t="s">
        <v>729</v>
      </c>
      <c r="H17" s="6" t="s">
        <v>729</v>
      </c>
      <c r="I17" s="6" t="s">
        <v>729</v>
      </c>
      <c r="J17" s="6" t="s">
        <v>729</v>
      </c>
      <c r="K17" s="6" t="s">
        <v>729</v>
      </c>
      <c r="L17" s="6" t="s">
        <v>729</v>
      </c>
      <c r="M17" s="6" t="s">
        <v>729</v>
      </c>
      <c r="N17" s="6" t="s">
        <v>729</v>
      </c>
      <c r="O17" s="6" t="s">
        <v>729</v>
      </c>
      <c r="P17" s="6" t="s">
        <v>729</v>
      </c>
      <c r="Q17" s="6" t="s">
        <v>729</v>
      </c>
      <c r="R17" s="6" t="s">
        <v>729</v>
      </c>
      <c r="S17" s="6" t="s">
        <v>729</v>
      </c>
      <c r="T17" s="6" t="s">
        <v>729</v>
      </c>
      <c r="U17" s="6" t="s">
        <v>729</v>
      </c>
      <c r="V17" s="8" t="s">
        <v>729</v>
      </c>
    </row>
    <row r="18" ht="18" customHeight="1" spans="1:22">
      <c r="A18" s="19"/>
      <c r="B18" s="21" t="s">
        <v>700</v>
      </c>
      <c r="C18" s="21"/>
      <c r="D18" s="21"/>
      <c r="E18" s="22" t="s">
        <v>729</v>
      </c>
      <c r="F18" s="22" t="s">
        <v>729</v>
      </c>
      <c r="G18" s="22" t="s">
        <v>729</v>
      </c>
      <c r="H18" s="22" t="s">
        <v>729</v>
      </c>
      <c r="I18" s="22" t="s">
        <v>729</v>
      </c>
      <c r="J18" s="22" t="s">
        <v>729</v>
      </c>
      <c r="K18" s="22" t="s">
        <v>729</v>
      </c>
      <c r="L18" s="22" t="s">
        <v>729</v>
      </c>
      <c r="M18" s="22" t="s">
        <v>729</v>
      </c>
      <c r="N18" s="22" t="s">
        <v>729</v>
      </c>
      <c r="O18" s="22" t="s">
        <v>729</v>
      </c>
      <c r="P18" s="22" t="s">
        <v>729</v>
      </c>
      <c r="Q18" s="22" t="s">
        <v>729</v>
      </c>
      <c r="R18" s="22" t="s">
        <v>729</v>
      </c>
      <c r="S18" s="22" t="s">
        <v>729</v>
      </c>
      <c r="T18" s="22" t="s">
        <v>729</v>
      </c>
      <c r="U18" s="22" t="s">
        <v>729</v>
      </c>
      <c r="V18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5:D15"/>
    <mergeCell ref="B16:D16"/>
    <mergeCell ref="B17:D17"/>
    <mergeCell ref="B18:D18"/>
    <mergeCell ref="A7:A10"/>
    <mergeCell ref="A11:A14"/>
    <mergeCell ref="A15:A18"/>
  </mergeCells>
  <dataValidations count="3">
    <dataValidation type="list" allowBlank="1" sqref="F10:V10 F12:V14 F8:V9">
      <formula1>"O,-"</formula1>
    </dataValidation>
    <dataValidation type="list" allowBlank="1" sqref="F15:V15">
      <formula1>"N,A,B"</formula1>
    </dataValidation>
    <dataValidation type="list" allowBlank="1" sqref="F16:V16">
      <formula1>"P,F"</formula1>
    </dataValidation>
  </dataValidations>
  <pageMargins left="0.7" right="0.7" top="0.75" bottom="0.75" header="0.3" footer="0.3"/>
  <pageSetup paperSize="1" orientation="portrait"/>
  <headerFooter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6"/>
  <sheetViews>
    <sheetView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135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393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1225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2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2</v>
      </c>
      <c r="M5" s="11">
        <v>0</v>
      </c>
      <c r="N5" s="11">
        <v>0</v>
      </c>
      <c r="O5" s="12">
        <v>2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687</v>
      </c>
      <c r="H6" s="14" t="s">
        <v>729</v>
      </c>
      <c r="I6" s="14" t="s">
        <v>729</v>
      </c>
      <c r="J6" s="14" t="s">
        <v>729</v>
      </c>
      <c r="K6" s="14" t="s">
        <v>729</v>
      </c>
      <c r="L6" s="14" t="s">
        <v>729</v>
      </c>
      <c r="M6" s="14" t="s">
        <v>729</v>
      </c>
      <c r="N6" s="14" t="s">
        <v>729</v>
      </c>
      <c r="O6" s="14" t="s">
        <v>729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28" customHeight="1" spans="1:22">
      <c r="A7" s="16" t="s">
        <v>690</v>
      </c>
      <c r="B7" s="17" t="s">
        <v>1226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28" customHeight="1" spans="1:22">
      <c r="A8" s="16"/>
      <c r="B8" s="6" t="s">
        <v>729</v>
      </c>
      <c r="C8" s="6" t="s">
        <v>729</v>
      </c>
      <c r="D8" s="18" t="s">
        <v>1227</v>
      </c>
      <c r="E8" s="6" t="s">
        <v>729</v>
      </c>
      <c r="F8" s="11" t="s">
        <v>752</v>
      </c>
      <c r="G8" s="11" t="s">
        <v>756</v>
      </c>
      <c r="H8" s="11" t="s">
        <v>729</v>
      </c>
      <c r="I8" s="11" t="s">
        <v>729</v>
      </c>
      <c r="J8" s="11" t="s">
        <v>729</v>
      </c>
      <c r="K8" s="11" t="s">
        <v>729</v>
      </c>
      <c r="L8" s="11" t="s">
        <v>729</v>
      </c>
      <c r="M8" s="11" t="s">
        <v>729</v>
      </c>
      <c r="N8" s="11" t="s">
        <v>729</v>
      </c>
      <c r="O8" s="11" t="s">
        <v>729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15.5" customHeight="1" spans="1:22">
      <c r="A9" s="16"/>
      <c r="B9" s="6" t="s">
        <v>729</v>
      </c>
      <c r="C9" s="6" t="s">
        <v>729</v>
      </c>
      <c r="D9" s="18" t="s">
        <v>879</v>
      </c>
      <c r="E9" s="6" t="s">
        <v>729</v>
      </c>
      <c r="F9" s="11" t="s">
        <v>756</v>
      </c>
      <c r="G9" s="11" t="s">
        <v>752</v>
      </c>
      <c r="H9" s="11" t="s">
        <v>729</v>
      </c>
      <c r="I9" s="11" t="s">
        <v>729</v>
      </c>
      <c r="J9" s="11" t="s">
        <v>729</v>
      </c>
      <c r="K9" s="11" t="s">
        <v>729</v>
      </c>
      <c r="L9" s="11" t="s">
        <v>729</v>
      </c>
      <c r="M9" s="11" t="s">
        <v>729</v>
      </c>
      <c r="N9" s="11" t="s">
        <v>729</v>
      </c>
      <c r="O9" s="11" t="s">
        <v>729</v>
      </c>
      <c r="P9" s="11" t="s">
        <v>729</v>
      </c>
      <c r="Q9" s="11" t="s">
        <v>729</v>
      </c>
      <c r="R9" s="11" t="s">
        <v>729</v>
      </c>
      <c r="S9" s="11" t="s">
        <v>729</v>
      </c>
      <c r="T9" s="11" t="s">
        <v>729</v>
      </c>
      <c r="U9" s="11" t="s">
        <v>729</v>
      </c>
      <c r="V9" s="12" t="s">
        <v>729</v>
      </c>
    </row>
    <row r="10" ht="15.5" customHeight="1" spans="1:22">
      <c r="A10" s="16" t="s">
        <v>692</v>
      </c>
      <c r="B10" s="17" t="s">
        <v>693</v>
      </c>
      <c r="C10" s="6" t="s">
        <v>729</v>
      </c>
      <c r="D10" s="6" t="s">
        <v>729</v>
      </c>
      <c r="E10" s="6" t="s">
        <v>729</v>
      </c>
      <c r="F10" s="6" t="s">
        <v>729</v>
      </c>
      <c r="G10" s="6" t="s">
        <v>729</v>
      </c>
      <c r="H10" s="6" t="s">
        <v>729</v>
      </c>
      <c r="I10" s="6" t="s">
        <v>729</v>
      </c>
      <c r="J10" s="6" t="s">
        <v>729</v>
      </c>
      <c r="K10" s="6" t="s">
        <v>729</v>
      </c>
      <c r="L10" s="6" t="s">
        <v>729</v>
      </c>
      <c r="M10" s="6" t="s">
        <v>729</v>
      </c>
      <c r="N10" s="6" t="s">
        <v>729</v>
      </c>
      <c r="O10" s="6" t="s">
        <v>729</v>
      </c>
      <c r="P10" s="6" t="s">
        <v>729</v>
      </c>
      <c r="Q10" s="6" t="s">
        <v>729</v>
      </c>
      <c r="R10" s="6" t="s">
        <v>729</v>
      </c>
      <c r="S10" s="6" t="s">
        <v>729</v>
      </c>
      <c r="T10" s="6" t="s">
        <v>729</v>
      </c>
      <c r="U10" s="6" t="s">
        <v>729</v>
      </c>
      <c r="V10" s="8" t="s">
        <v>729</v>
      </c>
    </row>
    <row r="11" ht="40.5" customHeight="1" spans="1:22">
      <c r="A11" s="16"/>
      <c r="B11" s="6" t="s">
        <v>729</v>
      </c>
      <c r="C11" s="6" t="s">
        <v>729</v>
      </c>
      <c r="D11" s="18" t="s">
        <v>1228</v>
      </c>
      <c r="E11" s="6" t="s">
        <v>729</v>
      </c>
      <c r="F11" s="11" t="s">
        <v>752</v>
      </c>
      <c r="G11" s="11" t="s">
        <v>756</v>
      </c>
      <c r="H11" s="11" t="s">
        <v>729</v>
      </c>
      <c r="I11" s="11" t="s">
        <v>729</v>
      </c>
      <c r="J11" s="11" t="s">
        <v>729</v>
      </c>
      <c r="K11" s="11" t="s">
        <v>729</v>
      </c>
      <c r="L11" s="11" t="s">
        <v>729</v>
      </c>
      <c r="M11" s="11" t="s">
        <v>729</v>
      </c>
      <c r="N11" s="11" t="s">
        <v>729</v>
      </c>
      <c r="O11" s="11" t="s">
        <v>729</v>
      </c>
      <c r="P11" s="11" t="s">
        <v>729</v>
      </c>
      <c r="Q11" s="11" t="s">
        <v>729</v>
      </c>
      <c r="R11" s="11" t="s">
        <v>729</v>
      </c>
      <c r="S11" s="11" t="s">
        <v>729</v>
      </c>
      <c r="T11" s="11" t="s">
        <v>729</v>
      </c>
      <c r="U11" s="11" t="s">
        <v>729</v>
      </c>
      <c r="V11" s="12" t="s">
        <v>729</v>
      </c>
    </row>
    <row r="12" ht="53" customHeight="1" spans="1:22">
      <c r="A12" s="16"/>
      <c r="B12" s="6" t="s">
        <v>729</v>
      </c>
      <c r="C12" s="6" t="s">
        <v>729</v>
      </c>
      <c r="D12" s="18" t="s">
        <v>1229</v>
      </c>
      <c r="E12" s="6" t="s">
        <v>729</v>
      </c>
      <c r="F12" s="11" t="s">
        <v>756</v>
      </c>
      <c r="G12" s="11" t="s">
        <v>752</v>
      </c>
      <c r="H12" s="11" t="s">
        <v>729</v>
      </c>
      <c r="I12" s="11" t="s">
        <v>729</v>
      </c>
      <c r="J12" s="11" t="s">
        <v>729</v>
      </c>
      <c r="K12" s="11" t="s">
        <v>729</v>
      </c>
      <c r="L12" s="11" t="s">
        <v>729</v>
      </c>
      <c r="M12" s="11" t="s">
        <v>729</v>
      </c>
      <c r="N12" s="11" t="s">
        <v>729</v>
      </c>
      <c r="O12" s="11" t="s">
        <v>729</v>
      </c>
      <c r="P12" s="11" t="s">
        <v>729</v>
      </c>
      <c r="Q12" s="11" t="s">
        <v>729</v>
      </c>
      <c r="R12" s="11" t="s">
        <v>729</v>
      </c>
      <c r="S12" s="11" t="s">
        <v>729</v>
      </c>
      <c r="T12" s="11" t="s">
        <v>729</v>
      </c>
      <c r="U12" s="11" t="s">
        <v>729</v>
      </c>
      <c r="V12" s="12" t="s">
        <v>729</v>
      </c>
    </row>
    <row r="13" ht="18" customHeight="1" spans="1:22">
      <c r="A13" s="19" t="s">
        <v>696</v>
      </c>
      <c r="B13" s="20" t="s">
        <v>765</v>
      </c>
      <c r="C13" s="20"/>
      <c r="D13" s="20"/>
      <c r="E13" s="6" t="s">
        <v>729</v>
      </c>
      <c r="F13" s="11" t="s">
        <v>670</v>
      </c>
      <c r="G13" s="11" t="s">
        <v>670</v>
      </c>
      <c r="H13" s="11" t="s">
        <v>729</v>
      </c>
      <c r="I13" s="11" t="s">
        <v>729</v>
      </c>
      <c r="J13" s="11" t="s">
        <v>729</v>
      </c>
      <c r="K13" s="11" t="s">
        <v>729</v>
      </c>
      <c r="L13" s="11" t="s">
        <v>729</v>
      </c>
      <c r="M13" s="11" t="s">
        <v>729</v>
      </c>
      <c r="N13" s="11" t="s">
        <v>729</v>
      </c>
      <c r="O13" s="11" t="s">
        <v>729</v>
      </c>
      <c r="P13" s="11" t="s">
        <v>729</v>
      </c>
      <c r="Q13" s="11" t="s">
        <v>729</v>
      </c>
      <c r="R13" s="11" t="s">
        <v>729</v>
      </c>
      <c r="S13" s="11" t="s">
        <v>729</v>
      </c>
      <c r="T13" s="11" t="s">
        <v>729</v>
      </c>
      <c r="U13" s="11" t="s">
        <v>729</v>
      </c>
      <c r="V13" s="12" t="s">
        <v>729</v>
      </c>
    </row>
    <row r="14" ht="18" customHeight="1" spans="1:22">
      <c r="A14" s="19"/>
      <c r="B14" s="20" t="s">
        <v>698</v>
      </c>
      <c r="C14" s="20"/>
      <c r="D14" s="20"/>
      <c r="E14" s="6" t="s">
        <v>729</v>
      </c>
      <c r="F14" s="11" t="s">
        <v>766</v>
      </c>
      <c r="G14" s="11" t="s">
        <v>766</v>
      </c>
      <c r="H14" s="11" t="s">
        <v>729</v>
      </c>
      <c r="I14" s="11" t="s">
        <v>729</v>
      </c>
      <c r="J14" s="11" t="s">
        <v>729</v>
      </c>
      <c r="K14" s="11" t="s">
        <v>729</v>
      </c>
      <c r="L14" s="11" t="s">
        <v>729</v>
      </c>
      <c r="M14" s="11" t="s">
        <v>729</v>
      </c>
      <c r="N14" s="11" t="s">
        <v>729</v>
      </c>
      <c r="O14" s="11" t="s">
        <v>729</v>
      </c>
      <c r="P14" s="11" t="s">
        <v>729</v>
      </c>
      <c r="Q14" s="11" t="s">
        <v>729</v>
      </c>
      <c r="R14" s="11" t="s">
        <v>729</v>
      </c>
      <c r="S14" s="11" t="s">
        <v>729</v>
      </c>
      <c r="T14" s="11" t="s">
        <v>729</v>
      </c>
      <c r="U14" s="11" t="s">
        <v>729</v>
      </c>
      <c r="V14" s="12" t="s">
        <v>729</v>
      </c>
    </row>
    <row r="15" ht="18" customHeight="1" spans="1:22">
      <c r="A15" s="19"/>
      <c r="B15" s="20" t="s">
        <v>699</v>
      </c>
      <c r="C15" s="20"/>
      <c r="D15" s="20"/>
      <c r="E15" s="6" t="s">
        <v>729</v>
      </c>
      <c r="F15" s="6" t="s">
        <v>729</v>
      </c>
      <c r="G15" s="6" t="s">
        <v>729</v>
      </c>
      <c r="H15" s="6" t="s">
        <v>729</v>
      </c>
      <c r="I15" s="6" t="s">
        <v>729</v>
      </c>
      <c r="J15" s="6" t="s">
        <v>729</v>
      </c>
      <c r="K15" s="6" t="s">
        <v>729</v>
      </c>
      <c r="L15" s="6" t="s">
        <v>729</v>
      </c>
      <c r="M15" s="6" t="s">
        <v>729</v>
      </c>
      <c r="N15" s="6" t="s">
        <v>729</v>
      </c>
      <c r="O15" s="6" t="s">
        <v>729</v>
      </c>
      <c r="P15" s="6" t="s">
        <v>729</v>
      </c>
      <c r="Q15" s="6" t="s">
        <v>729</v>
      </c>
      <c r="R15" s="6" t="s">
        <v>729</v>
      </c>
      <c r="S15" s="6" t="s">
        <v>729</v>
      </c>
      <c r="T15" s="6" t="s">
        <v>729</v>
      </c>
      <c r="U15" s="6" t="s">
        <v>729</v>
      </c>
      <c r="V15" s="8" t="s">
        <v>729</v>
      </c>
    </row>
    <row r="16" ht="18" customHeight="1" spans="1:22">
      <c r="A16" s="19"/>
      <c r="B16" s="21" t="s">
        <v>700</v>
      </c>
      <c r="C16" s="21"/>
      <c r="D16" s="21"/>
      <c r="E16" s="22" t="s">
        <v>729</v>
      </c>
      <c r="F16" s="22" t="s">
        <v>729</v>
      </c>
      <c r="G16" s="22" t="s">
        <v>729</v>
      </c>
      <c r="H16" s="22" t="s">
        <v>729</v>
      </c>
      <c r="I16" s="22" t="s">
        <v>729</v>
      </c>
      <c r="J16" s="22" t="s">
        <v>729</v>
      </c>
      <c r="K16" s="22" t="s">
        <v>729</v>
      </c>
      <c r="L16" s="22" t="s">
        <v>729</v>
      </c>
      <c r="M16" s="22" t="s">
        <v>729</v>
      </c>
      <c r="N16" s="22" t="s">
        <v>729</v>
      </c>
      <c r="O16" s="22" t="s">
        <v>729</v>
      </c>
      <c r="P16" s="22" t="s">
        <v>729</v>
      </c>
      <c r="Q16" s="22" t="s">
        <v>729</v>
      </c>
      <c r="R16" s="22" t="s">
        <v>729</v>
      </c>
      <c r="S16" s="22" t="s">
        <v>729</v>
      </c>
      <c r="T16" s="22" t="s">
        <v>729</v>
      </c>
      <c r="U16" s="22" t="s">
        <v>729</v>
      </c>
      <c r="V16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3:D13"/>
    <mergeCell ref="B14:D14"/>
    <mergeCell ref="B15:D15"/>
    <mergeCell ref="B16:D16"/>
    <mergeCell ref="A7:A9"/>
    <mergeCell ref="A10:A12"/>
    <mergeCell ref="A13:A16"/>
  </mergeCells>
  <dataValidations count="3">
    <dataValidation type="list" allowBlank="1" sqref="F13:V13">
      <formula1>"N,A,B"</formula1>
    </dataValidation>
    <dataValidation type="list" allowBlank="1" sqref="F14:V14">
      <formula1>"P,F"</formula1>
    </dataValidation>
    <dataValidation type="list" allowBlank="1" sqref="F11:V12 F8:V9">
      <formula1>"O,-"</formula1>
    </dataValidation>
  </dataValidations>
  <pageMargins left="0.7" right="0.7" top="0.75" bottom="0.75" header="0.3" footer="0.3"/>
  <pageSetup paperSize="1" orientation="portrait"/>
  <headerFooter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7"/>
  <sheetViews>
    <sheetView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135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398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1230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3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2</v>
      </c>
      <c r="M5" s="11">
        <v>1</v>
      </c>
      <c r="N5" s="11">
        <v>0</v>
      </c>
      <c r="O5" s="12">
        <v>3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687</v>
      </c>
      <c r="H6" s="14" t="s">
        <v>688</v>
      </c>
      <c r="I6" s="14" t="s">
        <v>729</v>
      </c>
      <c r="J6" s="14" t="s">
        <v>729</v>
      </c>
      <c r="K6" s="14" t="s">
        <v>729</v>
      </c>
      <c r="L6" s="14" t="s">
        <v>729</v>
      </c>
      <c r="M6" s="14" t="s">
        <v>729</v>
      </c>
      <c r="N6" s="14" t="s">
        <v>729</v>
      </c>
      <c r="O6" s="14" t="s">
        <v>729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15.5" customHeight="1" spans="1:22">
      <c r="A7" s="16" t="s">
        <v>690</v>
      </c>
      <c r="B7" s="17" t="s">
        <v>884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28" customHeight="1" spans="1:22">
      <c r="A8" s="16"/>
      <c r="B8" s="6" t="s">
        <v>729</v>
      </c>
      <c r="C8" s="6" t="s">
        <v>729</v>
      </c>
      <c r="D8" s="18" t="s">
        <v>1231</v>
      </c>
      <c r="E8" s="6" t="s">
        <v>729</v>
      </c>
      <c r="F8" s="11" t="s">
        <v>752</v>
      </c>
      <c r="G8" s="11" t="s">
        <v>756</v>
      </c>
      <c r="H8" s="11" t="s">
        <v>756</v>
      </c>
      <c r="I8" s="11" t="s">
        <v>729</v>
      </c>
      <c r="J8" s="11" t="s">
        <v>729</v>
      </c>
      <c r="K8" s="11" t="s">
        <v>729</v>
      </c>
      <c r="L8" s="11" t="s">
        <v>729</v>
      </c>
      <c r="M8" s="11" t="s">
        <v>729</v>
      </c>
      <c r="N8" s="11" t="s">
        <v>729</v>
      </c>
      <c r="O8" s="11" t="s">
        <v>729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40.5" customHeight="1" spans="1:22">
      <c r="A9" s="16"/>
      <c r="B9" s="6" t="s">
        <v>729</v>
      </c>
      <c r="C9" s="6" t="s">
        <v>729</v>
      </c>
      <c r="D9" s="18" t="s">
        <v>1232</v>
      </c>
      <c r="E9" s="6" t="s">
        <v>729</v>
      </c>
      <c r="F9" s="11" t="s">
        <v>756</v>
      </c>
      <c r="G9" s="11" t="s">
        <v>752</v>
      </c>
      <c r="H9" s="11" t="s">
        <v>756</v>
      </c>
      <c r="I9" s="11" t="s">
        <v>729</v>
      </c>
      <c r="J9" s="11" t="s">
        <v>729</v>
      </c>
      <c r="K9" s="11" t="s">
        <v>729</v>
      </c>
      <c r="L9" s="11" t="s">
        <v>729</v>
      </c>
      <c r="M9" s="11" t="s">
        <v>729</v>
      </c>
      <c r="N9" s="11" t="s">
        <v>729</v>
      </c>
      <c r="O9" s="11" t="s">
        <v>729</v>
      </c>
      <c r="P9" s="11" t="s">
        <v>729</v>
      </c>
      <c r="Q9" s="11" t="s">
        <v>729</v>
      </c>
      <c r="R9" s="11" t="s">
        <v>729</v>
      </c>
      <c r="S9" s="11" t="s">
        <v>729</v>
      </c>
      <c r="T9" s="11" t="s">
        <v>729</v>
      </c>
      <c r="U9" s="11" t="s">
        <v>729</v>
      </c>
      <c r="V9" s="12" t="s">
        <v>729</v>
      </c>
    </row>
    <row r="10" ht="40.5" customHeight="1" spans="1:22">
      <c r="A10" s="16"/>
      <c r="B10" s="6" t="s">
        <v>729</v>
      </c>
      <c r="C10" s="6" t="s">
        <v>729</v>
      </c>
      <c r="D10" s="18" t="s">
        <v>1233</v>
      </c>
      <c r="E10" s="6" t="s">
        <v>729</v>
      </c>
      <c r="F10" s="11" t="s">
        <v>756</v>
      </c>
      <c r="G10" s="11" t="s">
        <v>756</v>
      </c>
      <c r="H10" s="11" t="s">
        <v>752</v>
      </c>
      <c r="I10" s="11" t="s">
        <v>729</v>
      </c>
      <c r="J10" s="11" t="s">
        <v>729</v>
      </c>
      <c r="K10" s="11" t="s">
        <v>729</v>
      </c>
      <c r="L10" s="11" t="s">
        <v>729</v>
      </c>
      <c r="M10" s="11" t="s">
        <v>729</v>
      </c>
      <c r="N10" s="11" t="s">
        <v>729</v>
      </c>
      <c r="O10" s="11" t="s">
        <v>729</v>
      </c>
      <c r="P10" s="11" t="s">
        <v>729</v>
      </c>
      <c r="Q10" s="11" t="s">
        <v>729</v>
      </c>
      <c r="R10" s="11" t="s">
        <v>729</v>
      </c>
      <c r="S10" s="11" t="s">
        <v>729</v>
      </c>
      <c r="T10" s="11" t="s">
        <v>729</v>
      </c>
      <c r="U10" s="11" t="s">
        <v>729</v>
      </c>
      <c r="V10" s="12" t="s">
        <v>729</v>
      </c>
    </row>
    <row r="11" ht="15.5" customHeight="1" spans="1:22">
      <c r="A11" s="16" t="s">
        <v>692</v>
      </c>
      <c r="B11" s="17" t="s">
        <v>693</v>
      </c>
      <c r="C11" s="6" t="s">
        <v>729</v>
      </c>
      <c r="D11" s="6" t="s">
        <v>729</v>
      </c>
      <c r="E11" s="6" t="s">
        <v>729</v>
      </c>
      <c r="F11" s="6" t="s">
        <v>729</v>
      </c>
      <c r="G11" s="6" t="s">
        <v>729</v>
      </c>
      <c r="H11" s="6" t="s">
        <v>729</v>
      </c>
      <c r="I11" s="6" t="s">
        <v>729</v>
      </c>
      <c r="J11" s="6" t="s">
        <v>729</v>
      </c>
      <c r="K11" s="6" t="s">
        <v>729</v>
      </c>
      <c r="L11" s="6" t="s">
        <v>729</v>
      </c>
      <c r="M11" s="6" t="s">
        <v>729</v>
      </c>
      <c r="N11" s="6" t="s">
        <v>729</v>
      </c>
      <c r="O11" s="6" t="s">
        <v>729</v>
      </c>
      <c r="P11" s="6" t="s">
        <v>729</v>
      </c>
      <c r="Q11" s="6" t="s">
        <v>729</v>
      </c>
      <c r="R11" s="6" t="s">
        <v>729</v>
      </c>
      <c r="S11" s="6" t="s">
        <v>729</v>
      </c>
      <c r="T11" s="6" t="s">
        <v>729</v>
      </c>
      <c r="U11" s="6" t="s">
        <v>729</v>
      </c>
      <c r="V11" s="8" t="s">
        <v>729</v>
      </c>
    </row>
    <row r="12" ht="53" customHeight="1" spans="1:22">
      <c r="A12" s="16"/>
      <c r="B12" s="6" t="s">
        <v>729</v>
      </c>
      <c r="C12" s="6" t="s">
        <v>729</v>
      </c>
      <c r="D12" s="18" t="s">
        <v>1234</v>
      </c>
      <c r="E12" s="6" t="s">
        <v>729</v>
      </c>
      <c r="F12" s="11" t="s">
        <v>752</v>
      </c>
      <c r="G12" s="11" t="s">
        <v>752</v>
      </c>
      <c r="H12" s="11" t="s">
        <v>756</v>
      </c>
      <c r="I12" s="11" t="s">
        <v>729</v>
      </c>
      <c r="J12" s="11" t="s">
        <v>729</v>
      </c>
      <c r="K12" s="11" t="s">
        <v>729</v>
      </c>
      <c r="L12" s="11" t="s">
        <v>729</v>
      </c>
      <c r="M12" s="11" t="s">
        <v>729</v>
      </c>
      <c r="N12" s="11" t="s">
        <v>729</v>
      </c>
      <c r="O12" s="11" t="s">
        <v>729</v>
      </c>
      <c r="P12" s="11" t="s">
        <v>729</v>
      </c>
      <c r="Q12" s="11" t="s">
        <v>729</v>
      </c>
      <c r="R12" s="11" t="s">
        <v>729</v>
      </c>
      <c r="S12" s="11" t="s">
        <v>729</v>
      </c>
      <c r="T12" s="11" t="s">
        <v>729</v>
      </c>
      <c r="U12" s="11" t="s">
        <v>729</v>
      </c>
      <c r="V12" s="12" t="s">
        <v>729</v>
      </c>
    </row>
    <row r="13" ht="65.5" customHeight="1" spans="1:22">
      <c r="A13" s="16"/>
      <c r="B13" s="6" t="s">
        <v>729</v>
      </c>
      <c r="C13" s="6" t="s">
        <v>729</v>
      </c>
      <c r="D13" s="18" t="s">
        <v>1235</v>
      </c>
      <c r="E13" s="6" t="s">
        <v>729</v>
      </c>
      <c r="F13" s="11" t="s">
        <v>756</v>
      </c>
      <c r="G13" s="11" t="s">
        <v>756</v>
      </c>
      <c r="H13" s="11" t="s">
        <v>752</v>
      </c>
      <c r="I13" s="11" t="s">
        <v>729</v>
      </c>
      <c r="J13" s="11" t="s">
        <v>729</v>
      </c>
      <c r="K13" s="11" t="s">
        <v>729</v>
      </c>
      <c r="L13" s="11" t="s">
        <v>729</v>
      </c>
      <c r="M13" s="11" t="s">
        <v>729</v>
      </c>
      <c r="N13" s="11" t="s">
        <v>729</v>
      </c>
      <c r="O13" s="11" t="s">
        <v>729</v>
      </c>
      <c r="P13" s="11" t="s">
        <v>729</v>
      </c>
      <c r="Q13" s="11" t="s">
        <v>729</v>
      </c>
      <c r="R13" s="11" t="s">
        <v>729</v>
      </c>
      <c r="S13" s="11" t="s">
        <v>729</v>
      </c>
      <c r="T13" s="11" t="s">
        <v>729</v>
      </c>
      <c r="U13" s="11" t="s">
        <v>729</v>
      </c>
      <c r="V13" s="12" t="s">
        <v>729</v>
      </c>
    </row>
    <row r="14" ht="18" customHeight="1" spans="1:22">
      <c r="A14" s="19" t="s">
        <v>696</v>
      </c>
      <c r="B14" s="20" t="s">
        <v>765</v>
      </c>
      <c r="C14" s="20"/>
      <c r="D14" s="20"/>
      <c r="E14" s="6" t="s">
        <v>729</v>
      </c>
      <c r="F14" s="11" t="s">
        <v>670</v>
      </c>
      <c r="G14" s="11" t="s">
        <v>670</v>
      </c>
      <c r="H14" s="11" t="s">
        <v>63</v>
      </c>
      <c r="I14" s="11" t="s">
        <v>729</v>
      </c>
      <c r="J14" s="11" t="s">
        <v>729</v>
      </c>
      <c r="K14" s="11" t="s">
        <v>729</v>
      </c>
      <c r="L14" s="11" t="s">
        <v>729</v>
      </c>
      <c r="M14" s="11" t="s">
        <v>729</v>
      </c>
      <c r="N14" s="11" t="s">
        <v>729</v>
      </c>
      <c r="O14" s="11" t="s">
        <v>729</v>
      </c>
      <c r="P14" s="11" t="s">
        <v>729</v>
      </c>
      <c r="Q14" s="11" t="s">
        <v>729</v>
      </c>
      <c r="R14" s="11" t="s">
        <v>729</v>
      </c>
      <c r="S14" s="11" t="s">
        <v>729</v>
      </c>
      <c r="T14" s="11" t="s">
        <v>729</v>
      </c>
      <c r="U14" s="11" t="s">
        <v>729</v>
      </c>
      <c r="V14" s="12" t="s">
        <v>729</v>
      </c>
    </row>
    <row r="15" ht="18" customHeight="1" spans="1:22">
      <c r="A15" s="19"/>
      <c r="B15" s="20" t="s">
        <v>698</v>
      </c>
      <c r="C15" s="20"/>
      <c r="D15" s="20"/>
      <c r="E15" s="6" t="s">
        <v>729</v>
      </c>
      <c r="F15" s="11" t="s">
        <v>766</v>
      </c>
      <c r="G15" s="11" t="s">
        <v>766</v>
      </c>
      <c r="H15" s="11" t="s">
        <v>766</v>
      </c>
      <c r="I15" s="11" t="s">
        <v>729</v>
      </c>
      <c r="J15" s="11" t="s">
        <v>729</v>
      </c>
      <c r="K15" s="11" t="s">
        <v>729</v>
      </c>
      <c r="L15" s="11" t="s">
        <v>729</v>
      </c>
      <c r="M15" s="11" t="s">
        <v>729</v>
      </c>
      <c r="N15" s="11" t="s">
        <v>729</v>
      </c>
      <c r="O15" s="11" t="s">
        <v>729</v>
      </c>
      <c r="P15" s="11" t="s">
        <v>729</v>
      </c>
      <c r="Q15" s="11" t="s">
        <v>729</v>
      </c>
      <c r="R15" s="11" t="s">
        <v>729</v>
      </c>
      <c r="S15" s="11" t="s">
        <v>729</v>
      </c>
      <c r="T15" s="11" t="s">
        <v>729</v>
      </c>
      <c r="U15" s="11" t="s">
        <v>729</v>
      </c>
      <c r="V15" s="12" t="s">
        <v>729</v>
      </c>
    </row>
    <row r="16" ht="18" customHeight="1" spans="1:22">
      <c r="A16" s="19"/>
      <c r="B16" s="20" t="s">
        <v>699</v>
      </c>
      <c r="C16" s="20"/>
      <c r="D16" s="20"/>
      <c r="E16" s="6" t="s">
        <v>729</v>
      </c>
      <c r="F16" s="6" t="s">
        <v>729</v>
      </c>
      <c r="G16" s="6" t="s">
        <v>729</v>
      </c>
      <c r="H16" s="6" t="s">
        <v>729</v>
      </c>
      <c r="I16" s="6" t="s">
        <v>729</v>
      </c>
      <c r="J16" s="6" t="s">
        <v>729</v>
      </c>
      <c r="K16" s="6" t="s">
        <v>729</v>
      </c>
      <c r="L16" s="6" t="s">
        <v>729</v>
      </c>
      <c r="M16" s="6" t="s">
        <v>729</v>
      </c>
      <c r="N16" s="6" t="s">
        <v>729</v>
      </c>
      <c r="O16" s="6" t="s">
        <v>729</v>
      </c>
      <c r="P16" s="6" t="s">
        <v>729</v>
      </c>
      <c r="Q16" s="6" t="s">
        <v>729</v>
      </c>
      <c r="R16" s="6" t="s">
        <v>729</v>
      </c>
      <c r="S16" s="6" t="s">
        <v>729</v>
      </c>
      <c r="T16" s="6" t="s">
        <v>729</v>
      </c>
      <c r="U16" s="6" t="s">
        <v>729</v>
      </c>
      <c r="V16" s="8" t="s">
        <v>729</v>
      </c>
    </row>
    <row r="17" ht="18" customHeight="1" spans="1:22">
      <c r="A17" s="19"/>
      <c r="B17" s="21" t="s">
        <v>700</v>
      </c>
      <c r="C17" s="21"/>
      <c r="D17" s="21"/>
      <c r="E17" s="22" t="s">
        <v>729</v>
      </c>
      <c r="F17" s="22" t="s">
        <v>729</v>
      </c>
      <c r="G17" s="22" t="s">
        <v>729</v>
      </c>
      <c r="H17" s="22" t="s">
        <v>729</v>
      </c>
      <c r="I17" s="22" t="s">
        <v>729</v>
      </c>
      <c r="J17" s="22" t="s">
        <v>729</v>
      </c>
      <c r="K17" s="22" t="s">
        <v>729</v>
      </c>
      <c r="L17" s="22" t="s">
        <v>729</v>
      </c>
      <c r="M17" s="22" t="s">
        <v>729</v>
      </c>
      <c r="N17" s="22" t="s">
        <v>729</v>
      </c>
      <c r="O17" s="22" t="s">
        <v>729</v>
      </c>
      <c r="P17" s="22" t="s">
        <v>729</v>
      </c>
      <c r="Q17" s="22" t="s">
        <v>729</v>
      </c>
      <c r="R17" s="22" t="s">
        <v>729</v>
      </c>
      <c r="S17" s="22" t="s">
        <v>729</v>
      </c>
      <c r="T17" s="22" t="s">
        <v>729</v>
      </c>
      <c r="U17" s="22" t="s">
        <v>729</v>
      </c>
      <c r="V17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4:D14"/>
    <mergeCell ref="B15:D15"/>
    <mergeCell ref="B16:D16"/>
    <mergeCell ref="B17:D17"/>
    <mergeCell ref="A7:A10"/>
    <mergeCell ref="A11:A13"/>
    <mergeCell ref="A14:A17"/>
  </mergeCells>
  <dataValidations count="3">
    <dataValidation type="list" allowBlank="1" sqref="F10:V10 F8:V9 F12:V13">
      <formula1>"O,-"</formula1>
    </dataValidation>
    <dataValidation type="list" allowBlank="1" sqref="F14:V14">
      <formula1>"N,A,B"</formula1>
    </dataValidation>
    <dataValidation type="list" allowBlank="1" sqref="F15:V15">
      <formula1>"P,F"</formula1>
    </dataValidation>
  </dataValidations>
  <pageMargins left="0.7" right="0.7" top="0.75" bottom="0.75" header="0.3" footer="0.3"/>
  <pageSetup paperSize="1" orientation="portrait"/>
  <headerFooter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6"/>
  <sheetViews>
    <sheetView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257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403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1236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2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2</v>
      </c>
      <c r="M5" s="11">
        <v>0</v>
      </c>
      <c r="N5" s="11">
        <v>0</v>
      </c>
      <c r="O5" s="12">
        <v>2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687</v>
      </c>
      <c r="H6" s="14" t="s">
        <v>729</v>
      </c>
      <c r="I6" s="14" t="s">
        <v>729</v>
      </c>
      <c r="J6" s="14" t="s">
        <v>729</v>
      </c>
      <c r="K6" s="14" t="s">
        <v>729</v>
      </c>
      <c r="L6" s="14" t="s">
        <v>729</v>
      </c>
      <c r="M6" s="14" t="s">
        <v>729</v>
      </c>
      <c r="N6" s="14" t="s">
        <v>729</v>
      </c>
      <c r="O6" s="14" t="s">
        <v>729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15.5" customHeight="1" spans="1:22">
      <c r="A7" s="16" t="s">
        <v>690</v>
      </c>
      <c r="B7" s="17" t="s">
        <v>1237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28" customHeight="1" spans="1:22">
      <c r="A8" s="16"/>
      <c r="B8" s="6" t="s">
        <v>729</v>
      </c>
      <c r="C8" s="6" t="s">
        <v>729</v>
      </c>
      <c r="D8" s="18" t="s">
        <v>1238</v>
      </c>
      <c r="E8" s="6" t="s">
        <v>729</v>
      </c>
      <c r="F8" s="11" t="s">
        <v>752</v>
      </c>
      <c r="G8" s="11" t="s">
        <v>756</v>
      </c>
      <c r="H8" s="11" t="s">
        <v>729</v>
      </c>
      <c r="I8" s="11" t="s">
        <v>729</v>
      </c>
      <c r="J8" s="11" t="s">
        <v>729</v>
      </c>
      <c r="K8" s="11" t="s">
        <v>729</v>
      </c>
      <c r="L8" s="11" t="s">
        <v>729</v>
      </c>
      <c r="M8" s="11" t="s">
        <v>729</v>
      </c>
      <c r="N8" s="11" t="s">
        <v>729</v>
      </c>
      <c r="O8" s="11" t="s">
        <v>729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28" customHeight="1" spans="1:22">
      <c r="A9" s="16"/>
      <c r="B9" s="6" t="s">
        <v>729</v>
      </c>
      <c r="C9" s="6" t="s">
        <v>729</v>
      </c>
      <c r="D9" s="18" t="s">
        <v>1239</v>
      </c>
      <c r="E9" s="6" t="s">
        <v>729</v>
      </c>
      <c r="F9" s="11" t="s">
        <v>756</v>
      </c>
      <c r="G9" s="11" t="s">
        <v>752</v>
      </c>
      <c r="H9" s="11" t="s">
        <v>729</v>
      </c>
      <c r="I9" s="11" t="s">
        <v>729</v>
      </c>
      <c r="J9" s="11" t="s">
        <v>729</v>
      </c>
      <c r="K9" s="11" t="s">
        <v>729</v>
      </c>
      <c r="L9" s="11" t="s">
        <v>729</v>
      </c>
      <c r="M9" s="11" t="s">
        <v>729</v>
      </c>
      <c r="N9" s="11" t="s">
        <v>729</v>
      </c>
      <c r="O9" s="11" t="s">
        <v>729</v>
      </c>
      <c r="P9" s="11" t="s">
        <v>729</v>
      </c>
      <c r="Q9" s="11" t="s">
        <v>729</v>
      </c>
      <c r="R9" s="11" t="s">
        <v>729</v>
      </c>
      <c r="S9" s="11" t="s">
        <v>729</v>
      </c>
      <c r="T9" s="11" t="s">
        <v>729</v>
      </c>
      <c r="U9" s="11" t="s">
        <v>729</v>
      </c>
      <c r="V9" s="12" t="s">
        <v>729</v>
      </c>
    </row>
    <row r="10" ht="15.5" customHeight="1" spans="1:22">
      <c r="A10" s="16" t="s">
        <v>692</v>
      </c>
      <c r="B10" s="17" t="s">
        <v>693</v>
      </c>
      <c r="C10" s="6" t="s">
        <v>729</v>
      </c>
      <c r="D10" s="6" t="s">
        <v>729</v>
      </c>
      <c r="E10" s="6" t="s">
        <v>729</v>
      </c>
      <c r="F10" s="6" t="s">
        <v>729</v>
      </c>
      <c r="G10" s="6" t="s">
        <v>729</v>
      </c>
      <c r="H10" s="6" t="s">
        <v>729</v>
      </c>
      <c r="I10" s="6" t="s">
        <v>729</v>
      </c>
      <c r="J10" s="6" t="s">
        <v>729</v>
      </c>
      <c r="K10" s="6" t="s">
        <v>729</v>
      </c>
      <c r="L10" s="6" t="s">
        <v>729</v>
      </c>
      <c r="M10" s="6" t="s">
        <v>729</v>
      </c>
      <c r="N10" s="6" t="s">
        <v>729</v>
      </c>
      <c r="O10" s="6" t="s">
        <v>729</v>
      </c>
      <c r="P10" s="6" t="s">
        <v>729</v>
      </c>
      <c r="Q10" s="6" t="s">
        <v>729</v>
      </c>
      <c r="R10" s="6" t="s">
        <v>729</v>
      </c>
      <c r="S10" s="6" t="s">
        <v>729</v>
      </c>
      <c r="T10" s="6" t="s">
        <v>729</v>
      </c>
      <c r="U10" s="6" t="s">
        <v>729</v>
      </c>
      <c r="V10" s="8" t="s">
        <v>729</v>
      </c>
    </row>
    <row r="11" ht="78" customHeight="1" spans="1:22">
      <c r="A11" s="16"/>
      <c r="B11" s="6" t="s">
        <v>729</v>
      </c>
      <c r="C11" s="6" t="s">
        <v>729</v>
      </c>
      <c r="D11" s="18" t="s">
        <v>1240</v>
      </c>
      <c r="E11" s="6" t="s">
        <v>729</v>
      </c>
      <c r="F11" s="11" t="s">
        <v>752</v>
      </c>
      <c r="G11" s="11" t="s">
        <v>756</v>
      </c>
      <c r="H11" s="11" t="s">
        <v>729</v>
      </c>
      <c r="I11" s="11" t="s">
        <v>729</v>
      </c>
      <c r="J11" s="11" t="s">
        <v>729</v>
      </c>
      <c r="K11" s="11" t="s">
        <v>729</v>
      </c>
      <c r="L11" s="11" t="s">
        <v>729</v>
      </c>
      <c r="M11" s="11" t="s">
        <v>729</v>
      </c>
      <c r="N11" s="11" t="s">
        <v>729</v>
      </c>
      <c r="O11" s="11" t="s">
        <v>729</v>
      </c>
      <c r="P11" s="11" t="s">
        <v>729</v>
      </c>
      <c r="Q11" s="11" t="s">
        <v>729</v>
      </c>
      <c r="R11" s="11" t="s">
        <v>729</v>
      </c>
      <c r="S11" s="11" t="s">
        <v>729</v>
      </c>
      <c r="T11" s="11" t="s">
        <v>729</v>
      </c>
      <c r="U11" s="11" t="s">
        <v>729</v>
      </c>
      <c r="V11" s="12" t="s">
        <v>729</v>
      </c>
    </row>
    <row r="12" ht="65.5" customHeight="1" spans="1:22">
      <c r="A12" s="16"/>
      <c r="B12" s="6" t="s">
        <v>729</v>
      </c>
      <c r="C12" s="6" t="s">
        <v>729</v>
      </c>
      <c r="D12" s="18" t="s">
        <v>1241</v>
      </c>
      <c r="E12" s="6" t="s">
        <v>729</v>
      </c>
      <c r="F12" s="11" t="s">
        <v>756</v>
      </c>
      <c r="G12" s="11" t="s">
        <v>752</v>
      </c>
      <c r="H12" s="11" t="s">
        <v>729</v>
      </c>
      <c r="I12" s="11" t="s">
        <v>729</v>
      </c>
      <c r="J12" s="11" t="s">
        <v>729</v>
      </c>
      <c r="K12" s="11" t="s">
        <v>729</v>
      </c>
      <c r="L12" s="11" t="s">
        <v>729</v>
      </c>
      <c r="M12" s="11" t="s">
        <v>729</v>
      </c>
      <c r="N12" s="11" t="s">
        <v>729</v>
      </c>
      <c r="O12" s="11" t="s">
        <v>729</v>
      </c>
      <c r="P12" s="11" t="s">
        <v>729</v>
      </c>
      <c r="Q12" s="11" t="s">
        <v>729</v>
      </c>
      <c r="R12" s="11" t="s">
        <v>729</v>
      </c>
      <c r="S12" s="11" t="s">
        <v>729</v>
      </c>
      <c r="T12" s="11" t="s">
        <v>729</v>
      </c>
      <c r="U12" s="11" t="s">
        <v>729</v>
      </c>
      <c r="V12" s="12" t="s">
        <v>729</v>
      </c>
    </row>
    <row r="13" ht="18" customHeight="1" spans="1:22">
      <c r="A13" s="19" t="s">
        <v>696</v>
      </c>
      <c r="B13" s="20" t="s">
        <v>765</v>
      </c>
      <c r="C13" s="20"/>
      <c r="D13" s="20"/>
      <c r="E13" s="6" t="s">
        <v>729</v>
      </c>
      <c r="F13" s="11" t="s">
        <v>670</v>
      </c>
      <c r="G13" s="11" t="s">
        <v>670</v>
      </c>
      <c r="H13" s="11" t="s">
        <v>729</v>
      </c>
      <c r="I13" s="11" t="s">
        <v>729</v>
      </c>
      <c r="J13" s="11" t="s">
        <v>729</v>
      </c>
      <c r="K13" s="11" t="s">
        <v>729</v>
      </c>
      <c r="L13" s="11" t="s">
        <v>729</v>
      </c>
      <c r="M13" s="11" t="s">
        <v>729</v>
      </c>
      <c r="N13" s="11" t="s">
        <v>729</v>
      </c>
      <c r="O13" s="11" t="s">
        <v>729</v>
      </c>
      <c r="P13" s="11" t="s">
        <v>729</v>
      </c>
      <c r="Q13" s="11" t="s">
        <v>729</v>
      </c>
      <c r="R13" s="11" t="s">
        <v>729</v>
      </c>
      <c r="S13" s="11" t="s">
        <v>729</v>
      </c>
      <c r="T13" s="11" t="s">
        <v>729</v>
      </c>
      <c r="U13" s="11" t="s">
        <v>729</v>
      </c>
      <c r="V13" s="12" t="s">
        <v>729</v>
      </c>
    </row>
    <row r="14" ht="18" customHeight="1" spans="1:22">
      <c r="A14" s="19"/>
      <c r="B14" s="20" t="s">
        <v>698</v>
      </c>
      <c r="C14" s="20"/>
      <c r="D14" s="20"/>
      <c r="E14" s="6" t="s">
        <v>729</v>
      </c>
      <c r="F14" s="11" t="s">
        <v>766</v>
      </c>
      <c r="G14" s="11" t="s">
        <v>766</v>
      </c>
      <c r="H14" s="11" t="s">
        <v>729</v>
      </c>
      <c r="I14" s="11" t="s">
        <v>729</v>
      </c>
      <c r="J14" s="11" t="s">
        <v>729</v>
      </c>
      <c r="K14" s="11" t="s">
        <v>729</v>
      </c>
      <c r="L14" s="11" t="s">
        <v>729</v>
      </c>
      <c r="M14" s="11" t="s">
        <v>729</v>
      </c>
      <c r="N14" s="11" t="s">
        <v>729</v>
      </c>
      <c r="O14" s="11" t="s">
        <v>729</v>
      </c>
      <c r="P14" s="11" t="s">
        <v>729</v>
      </c>
      <c r="Q14" s="11" t="s">
        <v>729</v>
      </c>
      <c r="R14" s="11" t="s">
        <v>729</v>
      </c>
      <c r="S14" s="11" t="s">
        <v>729</v>
      </c>
      <c r="T14" s="11" t="s">
        <v>729</v>
      </c>
      <c r="U14" s="11" t="s">
        <v>729</v>
      </c>
      <c r="V14" s="12" t="s">
        <v>729</v>
      </c>
    </row>
    <row r="15" ht="18" customHeight="1" spans="1:22">
      <c r="A15" s="19"/>
      <c r="B15" s="20" t="s">
        <v>699</v>
      </c>
      <c r="C15" s="20"/>
      <c r="D15" s="20"/>
      <c r="E15" s="6" t="s">
        <v>729</v>
      </c>
      <c r="F15" s="6" t="s">
        <v>729</v>
      </c>
      <c r="G15" s="6" t="s">
        <v>729</v>
      </c>
      <c r="H15" s="6" t="s">
        <v>729</v>
      </c>
      <c r="I15" s="6" t="s">
        <v>729</v>
      </c>
      <c r="J15" s="6" t="s">
        <v>729</v>
      </c>
      <c r="K15" s="6" t="s">
        <v>729</v>
      </c>
      <c r="L15" s="6" t="s">
        <v>729</v>
      </c>
      <c r="M15" s="6" t="s">
        <v>729</v>
      </c>
      <c r="N15" s="6" t="s">
        <v>729</v>
      </c>
      <c r="O15" s="6" t="s">
        <v>729</v>
      </c>
      <c r="P15" s="6" t="s">
        <v>729</v>
      </c>
      <c r="Q15" s="6" t="s">
        <v>729</v>
      </c>
      <c r="R15" s="6" t="s">
        <v>729</v>
      </c>
      <c r="S15" s="6" t="s">
        <v>729</v>
      </c>
      <c r="T15" s="6" t="s">
        <v>729</v>
      </c>
      <c r="U15" s="6" t="s">
        <v>729</v>
      </c>
      <c r="V15" s="8" t="s">
        <v>729</v>
      </c>
    </row>
    <row r="16" ht="18" customHeight="1" spans="1:22">
      <c r="A16" s="19"/>
      <c r="B16" s="21" t="s">
        <v>700</v>
      </c>
      <c r="C16" s="21"/>
      <c r="D16" s="21"/>
      <c r="E16" s="22" t="s">
        <v>729</v>
      </c>
      <c r="F16" s="22" t="s">
        <v>729</v>
      </c>
      <c r="G16" s="22" t="s">
        <v>729</v>
      </c>
      <c r="H16" s="22" t="s">
        <v>729</v>
      </c>
      <c r="I16" s="22" t="s">
        <v>729</v>
      </c>
      <c r="J16" s="22" t="s">
        <v>729</v>
      </c>
      <c r="K16" s="22" t="s">
        <v>729</v>
      </c>
      <c r="L16" s="22" t="s">
        <v>729</v>
      </c>
      <c r="M16" s="22" t="s">
        <v>729</v>
      </c>
      <c r="N16" s="22" t="s">
        <v>729</v>
      </c>
      <c r="O16" s="22" t="s">
        <v>729</v>
      </c>
      <c r="P16" s="22" t="s">
        <v>729</v>
      </c>
      <c r="Q16" s="22" t="s">
        <v>729</v>
      </c>
      <c r="R16" s="22" t="s">
        <v>729</v>
      </c>
      <c r="S16" s="22" t="s">
        <v>729</v>
      </c>
      <c r="T16" s="22" t="s">
        <v>729</v>
      </c>
      <c r="U16" s="22" t="s">
        <v>729</v>
      </c>
      <c r="V16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3:D13"/>
    <mergeCell ref="B14:D14"/>
    <mergeCell ref="B15:D15"/>
    <mergeCell ref="B16:D16"/>
    <mergeCell ref="A7:A9"/>
    <mergeCell ref="A10:A12"/>
    <mergeCell ref="A13:A16"/>
  </mergeCells>
  <dataValidations count="3">
    <dataValidation type="list" allowBlank="1" sqref="F13:V13">
      <formula1>"N,A,B"</formula1>
    </dataValidation>
    <dataValidation type="list" allowBlank="1" sqref="F14:V14">
      <formula1>"P,F"</formula1>
    </dataValidation>
    <dataValidation type="list" allowBlank="1" sqref="F11:V12 F8:V9">
      <formula1>"O,-"</formula1>
    </dataValidation>
  </dataValidations>
  <pageMargins left="0.7" right="0.7" top="0.75" bottom="0.75" header="0.3" footer="0.3"/>
  <pageSetup paperSize="1" orientation="portrait"/>
  <headerFooter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6"/>
  <sheetViews>
    <sheetView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257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408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28" customHeight="1" spans="1:22">
      <c r="A3" s="5" t="s">
        <v>684</v>
      </c>
      <c r="B3" s="8" t="s">
        <v>1242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2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2</v>
      </c>
      <c r="M5" s="11">
        <v>0</v>
      </c>
      <c r="N5" s="11">
        <v>0</v>
      </c>
      <c r="O5" s="12">
        <v>2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687</v>
      </c>
      <c r="H6" s="14" t="s">
        <v>729</v>
      </c>
      <c r="I6" s="14" t="s">
        <v>729</v>
      </c>
      <c r="J6" s="14" t="s">
        <v>729</v>
      </c>
      <c r="K6" s="14" t="s">
        <v>729</v>
      </c>
      <c r="L6" s="14" t="s">
        <v>729</v>
      </c>
      <c r="M6" s="14" t="s">
        <v>729</v>
      </c>
      <c r="N6" s="14" t="s">
        <v>729</v>
      </c>
      <c r="O6" s="14" t="s">
        <v>729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15.5" customHeight="1" spans="1:22">
      <c r="A7" s="16" t="s">
        <v>690</v>
      </c>
      <c r="B7" s="17" t="s">
        <v>1243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53" customHeight="1" spans="1:22">
      <c r="A8" s="16"/>
      <c r="B8" s="6" t="s">
        <v>729</v>
      </c>
      <c r="C8" s="6" t="s">
        <v>729</v>
      </c>
      <c r="D8" s="18" t="s">
        <v>1244</v>
      </c>
      <c r="E8" s="6" t="s">
        <v>729</v>
      </c>
      <c r="F8" s="11" t="s">
        <v>752</v>
      </c>
      <c r="G8" s="11" t="s">
        <v>756</v>
      </c>
      <c r="H8" s="11" t="s">
        <v>729</v>
      </c>
      <c r="I8" s="11" t="s">
        <v>729</v>
      </c>
      <c r="J8" s="11" t="s">
        <v>729</v>
      </c>
      <c r="K8" s="11" t="s">
        <v>729</v>
      </c>
      <c r="L8" s="11" t="s">
        <v>729</v>
      </c>
      <c r="M8" s="11" t="s">
        <v>729</v>
      </c>
      <c r="N8" s="11" t="s">
        <v>729</v>
      </c>
      <c r="O8" s="11" t="s">
        <v>729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40.5" customHeight="1" spans="1:22">
      <c r="A9" s="16"/>
      <c r="B9" s="6" t="s">
        <v>729</v>
      </c>
      <c r="C9" s="6" t="s">
        <v>729</v>
      </c>
      <c r="D9" s="18" t="s">
        <v>1245</v>
      </c>
      <c r="E9" s="6" t="s">
        <v>729</v>
      </c>
      <c r="F9" s="11" t="s">
        <v>756</v>
      </c>
      <c r="G9" s="11" t="s">
        <v>752</v>
      </c>
      <c r="H9" s="11" t="s">
        <v>729</v>
      </c>
      <c r="I9" s="11" t="s">
        <v>729</v>
      </c>
      <c r="J9" s="11" t="s">
        <v>729</v>
      </c>
      <c r="K9" s="11" t="s">
        <v>729</v>
      </c>
      <c r="L9" s="11" t="s">
        <v>729</v>
      </c>
      <c r="M9" s="11" t="s">
        <v>729</v>
      </c>
      <c r="N9" s="11" t="s">
        <v>729</v>
      </c>
      <c r="O9" s="11" t="s">
        <v>729</v>
      </c>
      <c r="P9" s="11" t="s">
        <v>729</v>
      </c>
      <c r="Q9" s="11" t="s">
        <v>729</v>
      </c>
      <c r="R9" s="11" t="s">
        <v>729</v>
      </c>
      <c r="S9" s="11" t="s">
        <v>729</v>
      </c>
      <c r="T9" s="11" t="s">
        <v>729</v>
      </c>
      <c r="U9" s="11" t="s">
        <v>729</v>
      </c>
      <c r="V9" s="12" t="s">
        <v>729</v>
      </c>
    </row>
    <row r="10" ht="15.5" customHeight="1" spans="1:22">
      <c r="A10" s="16" t="s">
        <v>692</v>
      </c>
      <c r="B10" s="17" t="s">
        <v>693</v>
      </c>
      <c r="C10" s="6" t="s">
        <v>729</v>
      </c>
      <c r="D10" s="6" t="s">
        <v>729</v>
      </c>
      <c r="E10" s="6" t="s">
        <v>729</v>
      </c>
      <c r="F10" s="6" t="s">
        <v>729</v>
      </c>
      <c r="G10" s="6" t="s">
        <v>729</v>
      </c>
      <c r="H10" s="6" t="s">
        <v>729</v>
      </c>
      <c r="I10" s="6" t="s">
        <v>729</v>
      </c>
      <c r="J10" s="6" t="s">
        <v>729</v>
      </c>
      <c r="K10" s="6" t="s">
        <v>729</v>
      </c>
      <c r="L10" s="6" t="s">
        <v>729</v>
      </c>
      <c r="M10" s="6" t="s">
        <v>729</v>
      </c>
      <c r="N10" s="6" t="s">
        <v>729</v>
      </c>
      <c r="O10" s="6" t="s">
        <v>729</v>
      </c>
      <c r="P10" s="6" t="s">
        <v>729</v>
      </c>
      <c r="Q10" s="6" t="s">
        <v>729</v>
      </c>
      <c r="R10" s="6" t="s">
        <v>729</v>
      </c>
      <c r="S10" s="6" t="s">
        <v>729</v>
      </c>
      <c r="T10" s="6" t="s">
        <v>729</v>
      </c>
      <c r="U10" s="6" t="s">
        <v>729</v>
      </c>
      <c r="V10" s="8" t="s">
        <v>729</v>
      </c>
    </row>
    <row r="11" ht="53" customHeight="1" spans="1:22">
      <c r="A11" s="16"/>
      <c r="B11" s="6" t="s">
        <v>729</v>
      </c>
      <c r="C11" s="6" t="s">
        <v>729</v>
      </c>
      <c r="D11" s="18" t="s">
        <v>1246</v>
      </c>
      <c r="E11" s="6" t="s">
        <v>729</v>
      </c>
      <c r="F11" s="11" t="s">
        <v>752</v>
      </c>
      <c r="G11" s="11" t="s">
        <v>756</v>
      </c>
      <c r="H11" s="11" t="s">
        <v>729</v>
      </c>
      <c r="I11" s="11" t="s">
        <v>729</v>
      </c>
      <c r="J11" s="11" t="s">
        <v>729</v>
      </c>
      <c r="K11" s="11" t="s">
        <v>729</v>
      </c>
      <c r="L11" s="11" t="s">
        <v>729</v>
      </c>
      <c r="M11" s="11" t="s">
        <v>729</v>
      </c>
      <c r="N11" s="11" t="s">
        <v>729</v>
      </c>
      <c r="O11" s="11" t="s">
        <v>729</v>
      </c>
      <c r="P11" s="11" t="s">
        <v>729</v>
      </c>
      <c r="Q11" s="11" t="s">
        <v>729</v>
      </c>
      <c r="R11" s="11" t="s">
        <v>729</v>
      </c>
      <c r="S11" s="11" t="s">
        <v>729</v>
      </c>
      <c r="T11" s="11" t="s">
        <v>729</v>
      </c>
      <c r="U11" s="11" t="s">
        <v>729</v>
      </c>
      <c r="V11" s="12" t="s">
        <v>729</v>
      </c>
    </row>
    <row r="12" ht="78" customHeight="1" spans="1:22">
      <c r="A12" s="16"/>
      <c r="B12" s="6" t="s">
        <v>729</v>
      </c>
      <c r="C12" s="6" t="s">
        <v>729</v>
      </c>
      <c r="D12" s="18" t="s">
        <v>1247</v>
      </c>
      <c r="E12" s="6" t="s">
        <v>729</v>
      </c>
      <c r="F12" s="11" t="s">
        <v>756</v>
      </c>
      <c r="G12" s="11" t="s">
        <v>752</v>
      </c>
      <c r="H12" s="11" t="s">
        <v>729</v>
      </c>
      <c r="I12" s="11" t="s">
        <v>729</v>
      </c>
      <c r="J12" s="11" t="s">
        <v>729</v>
      </c>
      <c r="K12" s="11" t="s">
        <v>729</v>
      </c>
      <c r="L12" s="11" t="s">
        <v>729</v>
      </c>
      <c r="M12" s="11" t="s">
        <v>729</v>
      </c>
      <c r="N12" s="11" t="s">
        <v>729</v>
      </c>
      <c r="O12" s="11" t="s">
        <v>729</v>
      </c>
      <c r="P12" s="11" t="s">
        <v>729</v>
      </c>
      <c r="Q12" s="11" t="s">
        <v>729</v>
      </c>
      <c r="R12" s="11" t="s">
        <v>729</v>
      </c>
      <c r="S12" s="11" t="s">
        <v>729</v>
      </c>
      <c r="T12" s="11" t="s">
        <v>729</v>
      </c>
      <c r="U12" s="11" t="s">
        <v>729</v>
      </c>
      <c r="V12" s="12" t="s">
        <v>729</v>
      </c>
    </row>
    <row r="13" ht="18" customHeight="1" spans="1:22">
      <c r="A13" s="19" t="s">
        <v>696</v>
      </c>
      <c r="B13" s="20" t="s">
        <v>765</v>
      </c>
      <c r="C13" s="20"/>
      <c r="D13" s="20"/>
      <c r="E13" s="6" t="s">
        <v>729</v>
      </c>
      <c r="F13" s="11" t="s">
        <v>670</v>
      </c>
      <c r="G13" s="11" t="s">
        <v>670</v>
      </c>
      <c r="H13" s="11" t="s">
        <v>729</v>
      </c>
      <c r="I13" s="11" t="s">
        <v>729</v>
      </c>
      <c r="J13" s="11" t="s">
        <v>729</v>
      </c>
      <c r="K13" s="11" t="s">
        <v>729</v>
      </c>
      <c r="L13" s="11" t="s">
        <v>729</v>
      </c>
      <c r="M13" s="11" t="s">
        <v>729</v>
      </c>
      <c r="N13" s="11" t="s">
        <v>729</v>
      </c>
      <c r="O13" s="11" t="s">
        <v>729</v>
      </c>
      <c r="P13" s="11" t="s">
        <v>729</v>
      </c>
      <c r="Q13" s="11" t="s">
        <v>729</v>
      </c>
      <c r="R13" s="11" t="s">
        <v>729</v>
      </c>
      <c r="S13" s="11" t="s">
        <v>729</v>
      </c>
      <c r="T13" s="11" t="s">
        <v>729</v>
      </c>
      <c r="U13" s="11" t="s">
        <v>729</v>
      </c>
      <c r="V13" s="12" t="s">
        <v>729</v>
      </c>
    </row>
    <row r="14" ht="18" customHeight="1" spans="1:22">
      <c r="A14" s="19"/>
      <c r="B14" s="20" t="s">
        <v>698</v>
      </c>
      <c r="C14" s="20"/>
      <c r="D14" s="20"/>
      <c r="E14" s="6" t="s">
        <v>729</v>
      </c>
      <c r="F14" s="11" t="s">
        <v>766</v>
      </c>
      <c r="G14" s="11" t="s">
        <v>766</v>
      </c>
      <c r="H14" s="11" t="s">
        <v>729</v>
      </c>
      <c r="I14" s="11" t="s">
        <v>729</v>
      </c>
      <c r="J14" s="11" t="s">
        <v>729</v>
      </c>
      <c r="K14" s="11" t="s">
        <v>729</v>
      </c>
      <c r="L14" s="11" t="s">
        <v>729</v>
      </c>
      <c r="M14" s="11" t="s">
        <v>729</v>
      </c>
      <c r="N14" s="11" t="s">
        <v>729</v>
      </c>
      <c r="O14" s="11" t="s">
        <v>729</v>
      </c>
      <c r="P14" s="11" t="s">
        <v>729</v>
      </c>
      <c r="Q14" s="11" t="s">
        <v>729</v>
      </c>
      <c r="R14" s="11" t="s">
        <v>729</v>
      </c>
      <c r="S14" s="11" t="s">
        <v>729</v>
      </c>
      <c r="T14" s="11" t="s">
        <v>729</v>
      </c>
      <c r="U14" s="11" t="s">
        <v>729</v>
      </c>
      <c r="V14" s="12" t="s">
        <v>729</v>
      </c>
    </row>
    <row r="15" ht="18" customHeight="1" spans="1:22">
      <c r="A15" s="19"/>
      <c r="B15" s="20" t="s">
        <v>699</v>
      </c>
      <c r="C15" s="20"/>
      <c r="D15" s="20"/>
      <c r="E15" s="6" t="s">
        <v>729</v>
      </c>
      <c r="F15" s="6" t="s">
        <v>729</v>
      </c>
      <c r="G15" s="6" t="s">
        <v>729</v>
      </c>
      <c r="H15" s="6" t="s">
        <v>729</v>
      </c>
      <c r="I15" s="6" t="s">
        <v>729</v>
      </c>
      <c r="J15" s="6" t="s">
        <v>729</v>
      </c>
      <c r="K15" s="6" t="s">
        <v>729</v>
      </c>
      <c r="L15" s="6" t="s">
        <v>729</v>
      </c>
      <c r="M15" s="6" t="s">
        <v>729</v>
      </c>
      <c r="N15" s="6" t="s">
        <v>729</v>
      </c>
      <c r="O15" s="6" t="s">
        <v>729</v>
      </c>
      <c r="P15" s="6" t="s">
        <v>729</v>
      </c>
      <c r="Q15" s="6" t="s">
        <v>729</v>
      </c>
      <c r="R15" s="6" t="s">
        <v>729</v>
      </c>
      <c r="S15" s="6" t="s">
        <v>729</v>
      </c>
      <c r="T15" s="6" t="s">
        <v>729</v>
      </c>
      <c r="U15" s="6" t="s">
        <v>729</v>
      </c>
      <c r="V15" s="8" t="s">
        <v>729</v>
      </c>
    </row>
    <row r="16" ht="18" customHeight="1" spans="1:22">
      <c r="A16" s="19"/>
      <c r="B16" s="21" t="s">
        <v>700</v>
      </c>
      <c r="C16" s="21"/>
      <c r="D16" s="21"/>
      <c r="E16" s="22" t="s">
        <v>729</v>
      </c>
      <c r="F16" s="22" t="s">
        <v>729</v>
      </c>
      <c r="G16" s="22" t="s">
        <v>729</v>
      </c>
      <c r="H16" s="22" t="s">
        <v>729</v>
      </c>
      <c r="I16" s="22" t="s">
        <v>729</v>
      </c>
      <c r="J16" s="22" t="s">
        <v>729</v>
      </c>
      <c r="K16" s="22" t="s">
        <v>729</v>
      </c>
      <c r="L16" s="22" t="s">
        <v>729</v>
      </c>
      <c r="M16" s="22" t="s">
        <v>729</v>
      </c>
      <c r="N16" s="22" t="s">
        <v>729</v>
      </c>
      <c r="O16" s="22" t="s">
        <v>729</v>
      </c>
      <c r="P16" s="22" t="s">
        <v>729</v>
      </c>
      <c r="Q16" s="22" t="s">
        <v>729</v>
      </c>
      <c r="R16" s="22" t="s">
        <v>729</v>
      </c>
      <c r="S16" s="22" t="s">
        <v>729</v>
      </c>
      <c r="T16" s="22" t="s">
        <v>729</v>
      </c>
      <c r="U16" s="22" t="s">
        <v>729</v>
      </c>
      <c r="V16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3:D13"/>
    <mergeCell ref="B14:D14"/>
    <mergeCell ref="B15:D15"/>
    <mergeCell ref="B16:D16"/>
    <mergeCell ref="A7:A9"/>
    <mergeCell ref="A10:A12"/>
    <mergeCell ref="A13:A16"/>
  </mergeCells>
  <dataValidations count="3">
    <dataValidation type="list" allowBlank="1" sqref="F13:V13">
      <formula1>"N,A,B"</formula1>
    </dataValidation>
    <dataValidation type="list" allowBlank="1" sqref="F14:V14">
      <formula1>"P,F"</formula1>
    </dataValidation>
    <dataValidation type="list" allowBlank="1" sqref="F11:V12 F8:V9">
      <formula1>"O,-"</formula1>
    </dataValidation>
  </dataValidations>
  <pageMargins left="0.7" right="0.7" top="0.75" bottom="0.75" header="0.3" footer="0.3"/>
  <pageSetup paperSize="1" orientation="portrait"/>
  <headerFooter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7"/>
  <sheetViews>
    <sheetView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257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413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28" customHeight="1" spans="1:22">
      <c r="A3" s="5" t="s">
        <v>684</v>
      </c>
      <c r="B3" s="8" t="s">
        <v>1248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2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0</v>
      </c>
      <c r="M5" s="11">
        <v>0</v>
      </c>
      <c r="N5" s="11">
        <v>2</v>
      </c>
      <c r="O5" s="12">
        <v>2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687</v>
      </c>
      <c r="H6" s="14" t="s">
        <v>729</v>
      </c>
      <c r="I6" s="14" t="s">
        <v>729</v>
      </c>
      <c r="J6" s="14" t="s">
        <v>729</v>
      </c>
      <c r="K6" s="14" t="s">
        <v>729</v>
      </c>
      <c r="L6" s="14" t="s">
        <v>729</v>
      </c>
      <c r="M6" s="14" t="s">
        <v>729</v>
      </c>
      <c r="N6" s="14" t="s">
        <v>729</v>
      </c>
      <c r="O6" s="14" t="s">
        <v>729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15.5" customHeight="1" spans="1:22">
      <c r="A7" s="16" t="s">
        <v>690</v>
      </c>
      <c r="B7" s="17" t="s">
        <v>1249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53" customHeight="1" spans="1:22">
      <c r="A8" s="16"/>
      <c r="B8" s="6" t="s">
        <v>729</v>
      </c>
      <c r="C8" s="6" t="s">
        <v>729</v>
      </c>
      <c r="D8" s="18" t="s">
        <v>1250</v>
      </c>
      <c r="E8" s="6" t="s">
        <v>729</v>
      </c>
      <c r="F8" s="11" t="s">
        <v>752</v>
      </c>
      <c r="G8" s="11" t="s">
        <v>756</v>
      </c>
      <c r="H8" s="11" t="s">
        <v>729</v>
      </c>
      <c r="I8" s="11" t="s">
        <v>729</v>
      </c>
      <c r="J8" s="11" t="s">
        <v>729</v>
      </c>
      <c r="K8" s="11" t="s">
        <v>729</v>
      </c>
      <c r="L8" s="11" t="s">
        <v>729</v>
      </c>
      <c r="M8" s="11" t="s">
        <v>729</v>
      </c>
      <c r="N8" s="11" t="s">
        <v>729</v>
      </c>
      <c r="O8" s="11" t="s">
        <v>729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53" customHeight="1" spans="1:22">
      <c r="A9" s="16"/>
      <c r="B9" s="6" t="s">
        <v>729</v>
      </c>
      <c r="C9" s="6" t="s">
        <v>729</v>
      </c>
      <c r="D9" s="18" t="s">
        <v>1251</v>
      </c>
      <c r="E9" s="6" t="s">
        <v>729</v>
      </c>
      <c r="F9" s="11" t="s">
        <v>756</v>
      </c>
      <c r="G9" s="11" t="s">
        <v>752</v>
      </c>
      <c r="H9" s="11" t="s">
        <v>729</v>
      </c>
      <c r="I9" s="11" t="s">
        <v>729</v>
      </c>
      <c r="J9" s="11" t="s">
        <v>729</v>
      </c>
      <c r="K9" s="11" t="s">
        <v>729</v>
      </c>
      <c r="L9" s="11" t="s">
        <v>729</v>
      </c>
      <c r="M9" s="11" t="s">
        <v>729</v>
      </c>
      <c r="N9" s="11" t="s">
        <v>729</v>
      </c>
      <c r="O9" s="11" t="s">
        <v>729</v>
      </c>
      <c r="P9" s="11" t="s">
        <v>729</v>
      </c>
      <c r="Q9" s="11" t="s">
        <v>729</v>
      </c>
      <c r="R9" s="11" t="s">
        <v>729</v>
      </c>
      <c r="S9" s="11" t="s">
        <v>729</v>
      </c>
      <c r="T9" s="11" t="s">
        <v>729</v>
      </c>
      <c r="U9" s="11" t="s">
        <v>729</v>
      </c>
      <c r="V9" s="12" t="s">
        <v>729</v>
      </c>
    </row>
    <row r="10" ht="15.5" customHeight="1" spans="1:22">
      <c r="A10" s="16" t="s">
        <v>692</v>
      </c>
      <c r="B10" s="17" t="s">
        <v>693</v>
      </c>
      <c r="C10" s="6" t="s">
        <v>729</v>
      </c>
      <c r="D10" s="6" t="s">
        <v>729</v>
      </c>
      <c r="E10" s="6" t="s">
        <v>729</v>
      </c>
      <c r="F10" s="6" t="s">
        <v>729</v>
      </c>
      <c r="G10" s="6" t="s">
        <v>729</v>
      </c>
      <c r="H10" s="6" t="s">
        <v>729</v>
      </c>
      <c r="I10" s="6" t="s">
        <v>729</v>
      </c>
      <c r="J10" s="6" t="s">
        <v>729</v>
      </c>
      <c r="K10" s="6" t="s">
        <v>729</v>
      </c>
      <c r="L10" s="6" t="s">
        <v>729</v>
      </c>
      <c r="M10" s="6" t="s">
        <v>729</v>
      </c>
      <c r="N10" s="6" t="s">
        <v>729</v>
      </c>
      <c r="O10" s="6" t="s">
        <v>729</v>
      </c>
      <c r="P10" s="6" t="s">
        <v>729</v>
      </c>
      <c r="Q10" s="6" t="s">
        <v>729</v>
      </c>
      <c r="R10" s="6" t="s">
        <v>729</v>
      </c>
      <c r="S10" s="6" t="s">
        <v>729</v>
      </c>
      <c r="T10" s="6" t="s">
        <v>729</v>
      </c>
      <c r="U10" s="6" t="s">
        <v>729</v>
      </c>
      <c r="V10" s="8" t="s">
        <v>729</v>
      </c>
    </row>
    <row r="11" ht="103" customHeight="1" spans="1:22">
      <c r="A11" s="16"/>
      <c r="B11" s="6" t="s">
        <v>729</v>
      </c>
      <c r="C11" s="6" t="s">
        <v>729</v>
      </c>
      <c r="D11" s="18" t="s">
        <v>1252</v>
      </c>
      <c r="E11" s="6" t="s">
        <v>729</v>
      </c>
      <c r="F11" s="11" t="s">
        <v>752</v>
      </c>
      <c r="G11" s="11" t="s">
        <v>752</v>
      </c>
      <c r="H11" s="11" t="s">
        <v>729</v>
      </c>
      <c r="I11" s="11" t="s">
        <v>729</v>
      </c>
      <c r="J11" s="11" t="s">
        <v>729</v>
      </c>
      <c r="K11" s="11" t="s">
        <v>729</v>
      </c>
      <c r="L11" s="11" t="s">
        <v>729</v>
      </c>
      <c r="M11" s="11" t="s">
        <v>729</v>
      </c>
      <c r="N11" s="11" t="s">
        <v>729</v>
      </c>
      <c r="O11" s="11" t="s">
        <v>729</v>
      </c>
      <c r="P11" s="11" t="s">
        <v>729</v>
      </c>
      <c r="Q11" s="11" t="s">
        <v>729</v>
      </c>
      <c r="R11" s="11" t="s">
        <v>729</v>
      </c>
      <c r="S11" s="11" t="s">
        <v>729</v>
      </c>
      <c r="T11" s="11" t="s">
        <v>729</v>
      </c>
      <c r="U11" s="11" t="s">
        <v>729</v>
      </c>
      <c r="V11" s="12" t="s">
        <v>729</v>
      </c>
    </row>
    <row r="12" ht="15.5" customHeight="1" spans="1:22">
      <c r="A12" s="16"/>
      <c r="B12" s="17" t="s">
        <v>694</v>
      </c>
      <c r="C12" s="6" t="s">
        <v>729</v>
      </c>
      <c r="D12" s="6" t="s">
        <v>729</v>
      </c>
      <c r="E12" s="6" t="s">
        <v>729</v>
      </c>
      <c r="F12" s="6" t="s">
        <v>729</v>
      </c>
      <c r="G12" s="6" t="s">
        <v>729</v>
      </c>
      <c r="H12" s="6" t="s">
        <v>729</v>
      </c>
      <c r="I12" s="6" t="s">
        <v>729</v>
      </c>
      <c r="J12" s="6" t="s">
        <v>729</v>
      </c>
      <c r="K12" s="6" t="s">
        <v>729</v>
      </c>
      <c r="L12" s="6" t="s">
        <v>729</v>
      </c>
      <c r="M12" s="6" t="s">
        <v>729</v>
      </c>
      <c r="N12" s="6" t="s">
        <v>729</v>
      </c>
      <c r="O12" s="6" t="s">
        <v>729</v>
      </c>
      <c r="P12" s="6" t="s">
        <v>729</v>
      </c>
      <c r="Q12" s="6" t="s">
        <v>729</v>
      </c>
      <c r="R12" s="6" t="s">
        <v>729</v>
      </c>
      <c r="S12" s="6" t="s">
        <v>729</v>
      </c>
      <c r="T12" s="6" t="s">
        <v>729</v>
      </c>
      <c r="U12" s="6" t="s">
        <v>729</v>
      </c>
      <c r="V12" s="8" t="s">
        <v>729</v>
      </c>
    </row>
    <row r="13" ht="78" customHeight="1" spans="1:22">
      <c r="A13" s="16"/>
      <c r="B13" s="6" t="s">
        <v>729</v>
      </c>
      <c r="C13" s="6" t="s">
        <v>729</v>
      </c>
      <c r="D13" s="18" t="s">
        <v>1253</v>
      </c>
      <c r="E13" s="6" t="s">
        <v>729</v>
      </c>
      <c r="F13" s="11" t="s">
        <v>752</v>
      </c>
      <c r="G13" s="11" t="s">
        <v>752</v>
      </c>
      <c r="H13" s="11" t="s">
        <v>729</v>
      </c>
      <c r="I13" s="11" t="s">
        <v>729</v>
      </c>
      <c r="J13" s="11" t="s">
        <v>729</v>
      </c>
      <c r="K13" s="11" t="s">
        <v>729</v>
      </c>
      <c r="L13" s="11" t="s">
        <v>729</v>
      </c>
      <c r="M13" s="11" t="s">
        <v>729</v>
      </c>
      <c r="N13" s="11" t="s">
        <v>729</v>
      </c>
      <c r="O13" s="11" t="s">
        <v>729</v>
      </c>
      <c r="P13" s="11" t="s">
        <v>729</v>
      </c>
      <c r="Q13" s="11" t="s">
        <v>729</v>
      </c>
      <c r="R13" s="11" t="s">
        <v>729</v>
      </c>
      <c r="S13" s="11" t="s">
        <v>729</v>
      </c>
      <c r="T13" s="11" t="s">
        <v>729</v>
      </c>
      <c r="U13" s="11" t="s">
        <v>729</v>
      </c>
      <c r="V13" s="12" t="s">
        <v>729</v>
      </c>
    </row>
    <row r="14" ht="18" customHeight="1" spans="1:22">
      <c r="A14" s="19" t="s">
        <v>696</v>
      </c>
      <c r="B14" s="20" t="s">
        <v>765</v>
      </c>
      <c r="C14" s="20"/>
      <c r="D14" s="20"/>
      <c r="E14" s="6" t="s">
        <v>729</v>
      </c>
      <c r="F14" s="11" t="s">
        <v>671</v>
      </c>
      <c r="G14" s="11" t="s">
        <v>671</v>
      </c>
      <c r="H14" s="11" t="s">
        <v>729</v>
      </c>
      <c r="I14" s="11" t="s">
        <v>729</v>
      </c>
      <c r="J14" s="11" t="s">
        <v>729</v>
      </c>
      <c r="K14" s="11" t="s">
        <v>729</v>
      </c>
      <c r="L14" s="11" t="s">
        <v>729</v>
      </c>
      <c r="M14" s="11" t="s">
        <v>729</v>
      </c>
      <c r="N14" s="11" t="s">
        <v>729</v>
      </c>
      <c r="O14" s="11" t="s">
        <v>729</v>
      </c>
      <c r="P14" s="11" t="s">
        <v>729</v>
      </c>
      <c r="Q14" s="11" t="s">
        <v>729</v>
      </c>
      <c r="R14" s="11" t="s">
        <v>729</v>
      </c>
      <c r="S14" s="11" t="s">
        <v>729</v>
      </c>
      <c r="T14" s="11" t="s">
        <v>729</v>
      </c>
      <c r="U14" s="11" t="s">
        <v>729</v>
      </c>
      <c r="V14" s="12" t="s">
        <v>729</v>
      </c>
    </row>
    <row r="15" ht="18" customHeight="1" spans="1:22">
      <c r="A15" s="19"/>
      <c r="B15" s="20" t="s">
        <v>698</v>
      </c>
      <c r="C15" s="20"/>
      <c r="D15" s="20"/>
      <c r="E15" s="6" t="s">
        <v>729</v>
      </c>
      <c r="F15" s="11" t="s">
        <v>766</v>
      </c>
      <c r="G15" s="11" t="s">
        <v>766</v>
      </c>
      <c r="H15" s="11" t="s">
        <v>729</v>
      </c>
      <c r="I15" s="11" t="s">
        <v>729</v>
      </c>
      <c r="J15" s="11" t="s">
        <v>729</v>
      </c>
      <c r="K15" s="11" t="s">
        <v>729</v>
      </c>
      <c r="L15" s="11" t="s">
        <v>729</v>
      </c>
      <c r="M15" s="11" t="s">
        <v>729</v>
      </c>
      <c r="N15" s="11" t="s">
        <v>729</v>
      </c>
      <c r="O15" s="11" t="s">
        <v>729</v>
      </c>
      <c r="P15" s="11" t="s">
        <v>729</v>
      </c>
      <c r="Q15" s="11" t="s">
        <v>729</v>
      </c>
      <c r="R15" s="11" t="s">
        <v>729</v>
      </c>
      <c r="S15" s="11" t="s">
        <v>729</v>
      </c>
      <c r="T15" s="11" t="s">
        <v>729</v>
      </c>
      <c r="U15" s="11" t="s">
        <v>729</v>
      </c>
      <c r="V15" s="12" t="s">
        <v>729</v>
      </c>
    </row>
    <row r="16" ht="18" customHeight="1" spans="1:22">
      <c r="A16" s="19"/>
      <c r="B16" s="20" t="s">
        <v>699</v>
      </c>
      <c r="C16" s="20"/>
      <c r="D16" s="20"/>
      <c r="E16" s="6" t="s">
        <v>729</v>
      </c>
      <c r="F16" s="6" t="s">
        <v>729</v>
      </c>
      <c r="G16" s="6" t="s">
        <v>729</v>
      </c>
      <c r="H16" s="6" t="s">
        <v>729</v>
      </c>
      <c r="I16" s="6" t="s">
        <v>729</v>
      </c>
      <c r="J16" s="6" t="s">
        <v>729</v>
      </c>
      <c r="K16" s="6" t="s">
        <v>729</v>
      </c>
      <c r="L16" s="6" t="s">
        <v>729</v>
      </c>
      <c r="M16" s="6" t="s">
        <v>729</v>
      </c>
      <c r="N16" s="6" t="s">
        <v>729</v>
      </c>
      <c r="O16" s="6" t="s">
        <v>729</v>
      </c>
      <c r="P16" s="6" t="s">
        <v>729</v>
      </c>
      <c r="Q16" s="6" t="s">
        <v>729</v>
      </c>
      <c r="R16" s="6" t="s">
        <v>729</v>
      </c>
      <c r="S16" s="6" t="s">
        <v>729</v>
      </c>
      <c r="T16" s="6" t="s">
        <v>729</v>
      </c>
      <c r="U16" s="6" t="s">
        <v>729</v>
      </c>
      <c r="V16" s="8" t="s">
        <v>729</v>
      </c>
    </row>
    <row r="17" ht="18" customHeight="1" spans="1:22">
      <c r="A17" s="19"/>
      <c r="B17" s="21" t="s">
        <v>700</v>
      </c>
      <c r="C17" s="21"/>
      <c r="D17" s="21"/>
      <c r="E17" s="22" t="s">
        <v>729</v>
      </c>
      <c r="F17" s="22" t="s">
        <v>729</v>
      </c>
      <c r="G17" s="22" t="s">
        <v>729</v>
      </c>
      <c r="H17" s="22" t="s">
        <v>729</v>
      </c>
      <c r="I17" s="22" t="s">
        <v>729</v>
      </c>
      <c r="J17" s="22" t="s">
        <v>729</v>
      </c>
      <c r="K17" s="22" t="s">
        <v>729</v>
      </c>
      <c r="L17" s="22" t="s">
        <v>729</v>
      </c>
      <c r="M17" s="22" t="s">
        <v>729</v>
      </c>
      <c r="N17" s="22" t="s">
        <v>729</v>
      </c>
      <c r="O17" s="22" t="s">
        <v>729</v>
      </c>
      <c r="P17" s="22" t="s">
        <v>729</v>
      </c>
      <c r="Q17" s="22" t="s">
        <v>729</v>
      </c>
      <c r="R17" s="22" t="s">
        <v>729</v>
      </c>
      <c r="S17" s="22" t="s">
        <v>729</v>
      </c>
      <c r="T17" s="22" t="s">
        <v>729</v>
      </c>
      <c r="U17" s="22" t="s">
        <v>729</v>
      </c>
      <c r="V17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4:D14"/>
    <mergeCell ref="B15:D15"/>
    <mergeCell ref="B16:D16"/>
    <mergeCell ref="B17:D17"/>
    <mergeCell ref="A7:A9"/>
    <mergeCell ref="A10:A13"/>
    <mergeCell ref="A14:A17"/>
  </mergeCells>
  <dataValidations count="3">
    <dataValidation type="list" allowBlank="1" sqref="F11:V11 F13:V13 F8:V9">
      <formula1>"O,-"</formula1>
    </dataValidation>
    <dataValidation type="list" allowBlank="1" sqref="F14:V14">
      <formula1>"N,A,B"</formula1>
    </dataValidation>
    <dataValidation type="list" allowBlank="1" sqref="F15:V15">
      <formula1>"P,F"</formula1>
    </dataValidation>
  </dataValidations>
  <pageMargins left="0.7" right="0.7" top="0.75" bottom="0.75" header="0.3" footer="0.3"/>
  <pageSetup paperSize="1" orientation="portrait"/>
  <headerFooter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6"/>
  <sheetViews>
    <sheetView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257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418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28" customHeight="1" spans="1:22">
      <c r="A3" s="5" t="s">
        <v>684</v>
      </c>
      <c r="B3" s="8" t="s">
        <v>1254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2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2</v>
      </c>
      <c r="M5" s="11">
        <v>0</v>
      </c>
      <c r="N5" s="11">
        <v>0</v>
      </c>
      <c r="O5" s="12">
        <v>2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687</v>
      </c>
      <c r="H6" s="14" t="s">
        <v>729</v>
      </c>
      <c r="I6" s="14" t="s">
        <v>729</v>
      </c>
      <c r="J6" s="14" t="s">
        <v>729</v>
      </c>
      <c r="K6" s="14" t="s">
        <v>729</v>
      </c>
      <c r="L6" s="14" t="s">
        <v>729</v>
      </c>
      <c r="M6" s="14" t="s">
        <v>729</v>
      </c>
      <c r="N6" s="14" t="s">
        <v>729</v>
      </c>
      <c r="O6" s="14" t="s">
        <v>729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15.5" customHeight="1" spans="1:22">
      <c r="A7" s="16" t="s">
        <v>690</v>
      </c>
      <c r="B7" s="17" t="s">
        <v>1255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40.5" customHeight="1" spans="1:22">
      <c r="A8" s="16"/>
      <c r="B8" s="6" t="s">
        <v>729</v>
      </c>
      <c r="C8" s="6" t="s">
        <v>729</v>
      </c>
      <c r="D8" s="18" t="s">
        <v>1256</v>
      </c>
      <c r="E8" s="6" t="s">
        <v>729</v>
      </c>
      <c r="F8" s="11" t="s">
        <v>752</v>
      </c>
      <c r="G8" s="11" t="s">
        <v>756</v>
      </c>
      <c r="H8" s="11" t="s">
        <v>729</v>
      </c>
      <c r="I8" s="11" t="s">
        <v>729</v>
      </c>
      <c r="J8" s="11" t="s">
        <v>729</v>
      </c>
      <c r="K8" s="11" t="s">
        <v>729</v>
      </c>
      <c r="L8" s="11" t="s">
        <v>729</v>
      </c>
      <c r="M8" s="11" t="s">
        <v>729</v>
      </c>
      <c r="N8" s="11" t="s">
        <v>729</v>
      </c>
      <c r="O8" s="11" t="s">
        <v>729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28" customHeight="1" spans="1:22">
      <c r="A9" s="16"/>
      <c r="B9" s="6" t="s">
        <v>729</v>
      </c>
      <c r="C9" s="6" t="s">
        <v>729</v>
      </c>
      <c r="D9" s="18" t="s">
        <v>1257</v>
      </c>
      <c r="E9" s="6" t="s">
        <v>729</v>
      </c>
      <c r="F9" s="11" t="s">
        <v>756</v>
      </c>
      <c r="G9" s="11" t="s">
        <v>752</v>
      </c>
      <c r="H9" s="11" t="s">
        <v>729</v>
      </c>
      <c r="I9" s="11" t="s">
        <v>729</v>
      </c>
      <c r="J9" s="11" t="s">
        <v>729</v>
      </c>
      <c r="K9" s="11" t="s">
        <v>729</v>
      </c>
      <c r="L9" s="11" t="s">
        <v>729</v>
      </c>
      <c r="M9" s="11" t="s">
        <v>729</v>
      </c>
      <c r="N9" s="11" t="s">
        <v>729</v>
      </c>
      <c r="O9" s="11" t="s">
        <v>729</v>
      </c>
      <c r="P9" s="11" t="s">
        <v>729</v>
      </c>
      <c r="Q9" s="11" t="s">
        <v>729</v>
      </c>
      <c r="R9" s="11" t="s">
        <v>729</v>
      </c>
      <c r="S9" s="11" t="s">
        <v>729</v>
      </c>
      <c r="T9" s="11" t="s">
        <v>729</v>
      </c>
      <c r="U9" s="11" t="s">
        <v>729</v>
      </c>
      <c r="V9" s="12" t="s">
        <v>729</v>
      </c>
    </row>
    <row r="10" ht="15.5" customHeight="1" spans="1:22">
      <c r="A10" s="16" t="s">
        <v>692</v>
      </c>
      <c r="B10" s="17" t="s">
        <v>693</v>
      </c>
      <c r="C10" s="6" t="s">
        <v>729</v>
      </c>
      <c r="D10" s="6" t="s">
        <v>729</v>
      </c>
      <c r="E10" s="6" t="s">
        <v>729</v>
      </c>
      <c r="F10" s="6" t="s">
        <v>729</v>
      </c>
      <c r="G10" s="6" t="s">
        <v>729</v>
      </c>
      <c r="H10" s="6" t="s">
        <v>729</v>
      </c>
      <c r="I10" s="6" t="s">
        <v>729</v>
      </c>
      <c r="J10" s="6" t="s">
        <v>729</v>
      </c>
      <c r="K10" s="6" t="s">
        <v>729</v>
      </c>
      <c r="L10" s="6" t="s">
        <v>729</v>
      </c>
      <c r="M10" s="6" t="s">
        <v>729</v>
      </c>
      <c r="N10" s="6" t="s">
        <v>729</v>
      </c>
      <c r="O10" s="6" t="s">
        <v>729</v>
      </c>
      <c r="P10" s="6" t="s">
        <v>729</v>
      </c>
      <c r="Q10" s="6" t="s">
        <v>729</v>
      </c>
      <c r="R10" s="6" t="s">
        <v>729</v>
      </c>
      <c r="S10" s="6" t="s">
        <v>729</v>
      </c>
      <c r="T10" s="6" t="s">
        <v>729</v>
      </c>
      <c r="U10" s="6" t="s">
        <v>729</v>
      </c>
      <c r="V10" s="8" t="s">
        <v>729</v>
      </c>
    </row>
    <row r="11" ht="53" customHeight="1" spans="1:22">
      <c r="A11" s="16"/>
      <c r="B11" s="6" t="s">
        <v>729</v>
      </c>
      <c r="C11" s="6" t="s">
        <v>729</v>
      </c>
      <c r="D11" s="18" t="s">
        <v>1258</v>
      </c>
      <c r="E11" s="6" t="s">
        <v>729</v>
      </c>
      <c r="F11" s="11" t="s">
        <v>752</v>
      </c>
      <c r="G11" s="11" t="s">
        <v>756</v>
      </c>
      <c r="H11" s="11" t="s">
        <v>729</v>
      </c>
      <c r="I11" s="11" t="s">
        <v>729</v>
      </c>
      <c r="J11" s="11" t="s">
        <v>729</v>
      </c>
      <c r="K11" s="11" t="s">
        <v>729</v>
      </c>
      <c r="L11" s="11" t="s">
        <v>729</v>
      </c>
      <c r="M11" s="11" t="s">
        <v>729</v>
      </c>
      <c r="N11" s="11" t="s">
        <v>729</v>
      </c>
      <c r="O11" s="11" t="s">
        <v>729</v>
      </c>
      <c r="P11" s="11" t="s">
        <v>729</v>
      </c>
      <c r="Q11" s="11" t="s">
        <v>729</v>
      </c>
      <c r="R11" s="11" t="s">
        <v>729</v>
      </c>
      <c r="S11" s="11" t="s">
        <v>729</v>
      </c>
      <c r="T11" s="11" t="s">
        <v>729</v>
      </c>
      <c r="U11" s="11" t="s">
        <v>729</v>
      </c>
      <c r="V11" s="12" t="s">
        <v>729</v>
      </c>
    </row>
    <row r="12" ht="78" customHeight="1" spans="1:22">
      <c r="A12" s="16"/>
      <c r="B12" s="6" t="s">
        <v>729</v>
      </c>
      <c r="C12" s="6" t="s">
        <v>729</v>
      </c>
      <c r="D12" s="18" t="s">
        <v>1259</v>
      </c>
      <c r="E12" s="6" t="s">
        <v>729</v>
      </c>
      <c r="F12" s="11" t="s">
        <v>756</v>
      </c>
      <c r="G12" s="11" t="s">
        <v>752</v>
      </c>
      <c r="H12" s="11" t="s">
        <v>729</v>
      </c>
      <c r="I12" s="11" t="s">
        <v>729</v>
      </c>
      <c r="J12" s="11" t="s">
        <v>729</v>
      </c>
      <c r="K12" s="11" t="s">
        <v>729</v>
      </c>
      <c r="L12" s="11" t="s">
        <v>729</v>
      </c>
      <c r="M12" s="11" t="s">
        <v>729</v>
      </c>
      <c r="N12" s="11" t="s">
        <v>729</v>
      </c>
      <c r="O12" s="11" t="s">
        <v>729</v>
      </c>
      <c r="P12" s="11" t="s">
        <v>729</v>
      </c>
      <c r="Q12" s="11" t="s">
        <v>729</v>
      </c>
      <c r="R12" s="11" t="s">
        <v>729</v>
      </c>
      <c r="S12" s="11" t="s">
        <v>729</v>
      </c>
      <c r="T12" s="11" t="s">
        <v>729</v>
      </c>
      <c r="U12" s="11" t="s">
        <v>729</v>
      </c>
      <c r="V12" s="12" t="s">
        <v>729</v>
      </c>
    </row>
    <row r="13" ht="18" customHeight="1" spans="1:22">
      <c r="A13" s="19" t="s">
        <v>696</v>
      </c>
      <c r="B13" s="20" t="s">
        <v>765</v>
      </c>
      <c r="C13" s="20"/>
      <c r="D13" s="20"/>
      <c r="E13" s="6" t="s">
        <v>729</v>
      </c>
      <c r="F13" s="11" t="s">
        <v>670</v>
      </c>
      <c r="G13" s="11" t="s">
        <v>670</v>
      </c>
      <c r="H13" s="11" t="s">
        <v>729</v>
      </c>
      <c r="I13" s="11" t="s">
        <v>729</v>
      </c>
      <c r="J13" s="11" t="s">
        <v>729</v>
      </c>
      <c r="K13" s="11" t="s">
        <v>729</v>
      </c>
      <c r="L13" s="11" t="s">
        <v>729</v>
      </c>
      <c r="M13" s="11" t="s">
        <v>729</v>
      </c>
      <c r="N13" s="11" t="s">
        <v>729</v>
      </c>
      <c r="O13" s="11" t="s">
        <v>729</v>
      </c>
      <c r="P13" s="11" t="s">
        <v>729</v>
      </c>
      <c r="Q13" s="11" t="s">
        <v>729</v>
      </c>
      <c r="R13" s="11" t="s">
        <v>729</v>
      </c>
      <c r="S13" s="11" t="s">
        <v>729</v>
      </c>
      <c r="T13" s="11" t="s">
        <v>729</v>
      </c>
      <c r="U13" s="11" t="s">
        <v>729</v>
      </c>
      <c r="V13" s="12" t="s">
        <v>729</v>
      </c>
    </row>
    <row r="14" ht="18" customHeight="1" spans="1:22">
      <c r="A14" s="19"/>
      <c r="B14" s="20" t="s">
        <v>698</v>
      </c>
      <c r="C14" s="20"/>
      <c r="D14" s="20"/>
      <c r="E14" s="6" t="s">
        <v>729</v>
      </c>
      <c r="F14" s="11" t="s">
        <v>766</v>
      </c>
      <c r="G14" s="11" t="s">
        <v>766</v>
      </c>
      <c r="H14" s="11" t="s">
        <v>729</v>
      </c>
      <c r="I14" s="11" t="s">
        <v>729</v>
      </c>
      <c r="J14" s="11" t="s">
        <v>729</v>
      </c>
      <c r="K14" s="11" t="s">
        <v>729</v>
      </c>
      <c r="L14" s="11" t="s">
        <v>729</v>
      </c>
      <c r="M14" s="11" t="s">
        <v>729</v>
      </c>
      <c r="N14" s="11" t="s">
        <v>729</v>
      </c>
      <c r="O14" s="11" t="s">
        <v>729</v>
      </c>
      <c r="P14" s="11" t="s">
        <v>729</v>
      </c>
      <c r="Q14" s="11" t="s">
        <v>729</v>
      </c>
      <c r="R14" s="11" t="s">
        <v>729</v>
      </c>
      <c r="S14" s="11" t="s">
        <v>729</v>
      </c>
      <c r="T14" s="11" t="s">
        <v>729</v>
      </c>
      <c r="U14" s="11" t="s">
        <v>729</v>
      </c>
      <c r="V14" s="12" t="s">
        <v>729</v>
      </c>
    </row>
    <row r="15" ht="18" customHeight="1" spans="1:22">
      <c r="A15" s="19"/>
      <c r="B15" s="20" t="s">
        <v>699</v>
      </c>
      <c r="C15" s="20"/>
      <c r="D15" s="20"/>
      <c r="E15" s="6" t="s">
        <v>729</v>
      </c>
      <c r="F15" s="6" t="s">
        <v>729</v>
      </c>
      <c r="G15" s="6" t="s">
        <v>729</v>
      </c>
      <c r="H15" s="6" t="s">
        <v>729</v>
      </c>
      <c r="I15" s="6" t="s">
        <v>729</v>
      </c>
      <c r="J15" s="6" t="s">
        <v>729</v>
      </c>
      <c r="K15" s="6" t="s">
        <v>729</v>
      </c>
      <c r="L15" s="6" t="s">
        <v>729</v>
      </c>
      <c r="M15" s="6" t="s">
        <v>729</v>
      </c>
      <c r="N15" s="6" t="s">
        <v>729</v>
      </c>
      <c r="O15" s="6" t="s">
        <v>729</v>
      </c>
      <c r="P15" s="6" t="s">
        <v>729</v>
      </c>
      <c r="Q15" s="6" t="s">
        <v>729</v>
      </c>
      <c r="R15" s="6" t="s">
        <v>729</v>
      </c>
      <c r="S15" s="6" t="s">
        <v>729</v>
      </c>
      <c r="T15" s="6" t="s">
        <v>729</v>
      </c>
      <c r="U15" s="6" t="s">
        <v>729</v>
      </c>
      <c r="V15" s="8" t="s">
        <v>729</v>
      </c>
    </row>
    <row r="16" ht="18" customHeight="1" spans="1:22">
      <c r="A16" s="19"/>
      <c r="B16" s="21" t="s">
        <v>700</v>
      </c>
      <c r="C16" s="21"/>
      <c r="D16" s="21"/>
      <c r="E16" s="22" t="s">
        <v>729</v>
      </c>
      <c r="F16" s="22" t="s">
        <v>729</v>
      </c>
      <c r="G16" s="22" t="s">
        <v>729</v>
      </c>
      <c r="H16" s="22" t="s">
        <v>729</v>
      </c>
      <c r="I16" s="22" t="s">
        <v>729</v>
      </c>
      <c r="J16" s="22" t="s">
        <v>729</v>
      </c>
      <c r="K16" s="22" t="s">
        <v>729</v>
      </c>
      <c r="L16" s="22" t="s">
        <v>729</v>
      </c>
      <c r="M16" s="22" t="s">
        <v>729</v>
      </c>
      <c r="N16" s="22" t="s">
        <v>729</v>
      </c>
      <c r="O16" s="22" t="s">
        <v>729</v>
      </c>
      <c r="P16" s="22" t="s">
        <v>729</v>
      </c>
      <c r="Q16" s="22" t="s">
        <v>729</v>
      </c>
      <c r="R16" s="22" t="s">
        <v>729</v>
      </c>
      <c r="S16" s="22" t="s">
        <v>729</v>
      </c>
      <c r="T16" s="22" t="s">
        <v>729</v>
      </c>
      <c r="U16" s="22" t="s">
        <v>729</v>
      </c>
      <c r="V16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3:D13"/>
    <mergeCell ref="B14:D14"/>
    <mergeCell ref="B15:D15"/>
    <mergeCell ref="B16:D16"/>
    <mergeCell ref="A7:A9"/>
    <mergeCell ref="A10:A12"/>
    <mergeCell ref="A13:A16"/>
  </mergeCells>
  <dataValidations count="3">
    <dataValidation type="list" allowBlank="1" sqref="F13:V13">
      <formula1>"N,A,B"</formula1>
    </dataValidation>
    <dataValidation type="list" allowBlank="1" sqref="F14:V14">
      <formula1>"P,F"</formula1>
    </dataValidation>
    <dataValidation type="list" allowBlank="1" sqref="F11:V12 F8:V9">
      <formula1>"O,-"</formula1>
    </dataValidation>
  </dataValidations>
  <pageMargins left="0.7" right="0.7" top="0.75" bottom="0.75" header="0.3" footer="0.3"/>
  <pageSetup paperSize="1" orientation="portrait"/>
  <headerFooter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6"/>
  <sheetViews>
    <sheetView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257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423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1260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2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2</v>
      </c>
      <c r="M5" s="11">
        <v>0</v>
      </c>
      <c r="N5" s="11">
        <v>0</v>
      </c>
      <c r="O5" s="12">
        <v>2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687</v>
      </c>
      <c r="H6" s="14" t="s">
        <v>729</v>
      </c>
      <c r="I6" s="14" t="s">
        <v>729</v>
      </c>
      <c r="J6" s="14" t="s">
        <v>729</v>
      </c>
      <c r="K6" s="14" t="s">
        <v>729</v>
      </c>
      <c r="L6" s="14" t="s">
        <v>729</v>
      </c>
      <c r="M6" s="14" t="s">
        <v>729</v>
      </c>
      <c r="N6" s="14" t="s">
        <v>729</v>
      </c>
      <c r="O6" s="14" t="s">
        <v>729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15.5" customHeight="1" spans="1:22">
      <c r="A7" s="16" t="s">
        <v>690</v>
      </c>
      <c r="B7" s="17" t="s">
        <v>750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65.5" customHeight="1" spans="1:22">
      <c r="A8" s="16"/>
      <c r="B8" s="6" t="s">
        <v>729</v>
      </c>
      <c r="C8" s="6" t="s">
        <v>729</v>
      </c>
      <c r="D8" s="18" t="s">
        <v>1261</v>
      </c>
      <c r="E8" s="6" t="s">
        <v>729</v>
      </c>
      <c r="F8" s="11" t="s">
        <v>752</v>
      </c>
      <c r="G8" s="11" t="s">
        <v>756</v>
      </c>
      <c r="H8" s="11" t="s">
        <v>729</v>
      </c>
      <c r="I8" s="11" t="s">
        <v>729</v>
      </c>
      <c r="J8" s="11" t="s">
        <v>729</v>
      </c>
      <c r="K8" s="11" t="s">
        <v>729</v>
      </c>
      <c r="L8" s="11" t="s">
        <v>729</v>
      </c>
      <c r="M8" s="11" t="s">
        <v>729</v>
      </c>
      <c r="N8" s="11" t="s">
        <v>729</v>
      </c>
      <c r="O8" s="11" t="s">
        <v>729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53" customHeight="1" spans="1:22">
      <c r="A9" s="16"/>
      <c r="B9" s="6" t="s">
        <v>729</v>
      </c>
      <c r="C9" s="6" t="s">
        <v>729</v>
      </c>
      <c r="D9" s="18" t="s">
        <v>1262</v>
      </c>
      <c r="E9" s="6" t="s">
        <v>729</v>
      </c>
      <c r="F9" s="11" t="s">
        <v>756</v>
      </c>
      <c r="G9" s="11" t="s">
        <v>752</v>
      </c>
      <c r="H9" s="11" t="s">
        <v>729</v>
      </c>
      <c r="I9" s="11" t="s">
        <v>729</v>
      </c>
      <c r="J9" s="11" t="s">
        <v>729</v>
      </c>
      <c r="K9" s="11" t="s">
        <v>729</v>
      </c>
      <c r="L9" s="11" t="s">
        <v>729</v>
      </c>
      <c r="M9" s="11" t="s">
        <v>729</v>
      </c>
      <c r="N9" s="11" t="s">
        <v>729</v>
      </c>
      <c r="O9" s="11" t="s">
        <v>729</v>
      </c>
      <c r="P9" s="11" t="s">
        <v>729</v>
      </c>
      <c r="Q9" s="11" t="s">
        <v>729</v>
      </c>
      <c r="R9" s="11" t="s">
        <v>729</v>
      </c>
      <c r="S9" s="11" t="s">
        <v>729</v>
      </c>
      <c r="T9" s="11" t="s">
        <v>729</v>
      </c>
      <c r="U9" s="11" t="s">
        <v>729</v>
      </c>
      <c r="V9" s="12" t="s">
        <v>729</v>
      </c>
    </row>
    <row r="10" ht="15.5" customHeight="1" spans="1:22">
      <c r="A10" s="16" t="s">
        <v>692</v>
      </c>
      <c r="B10" s="17" t="s">
        <v>693</v>
      </c>
      <c r="C10" s="6" t="s">
        <v>729</v>
      </c>
      <c r="D10" s="6" t="s">
        <v>729</v>
      </c>
      <c r="E10" s="6" t="s">
        <v>729</v>
      </c>
      <c r="F10" s="6" t="s">
        <v>729</v>
      </c>
      <c r="G10" s="6" t="s">
        <v>729</v>
      </c>
      <c r="H10" s="6" t="s">
        <v>729</v>
      </c>
      <c r="I10" s="6" t="s">
        <v>729</v>
      </c>
      <c r="J10" s="6" t="s">
        <v>729</v>
      </c>
      <c r="K10" s="6" t="s">
        <v>729</v>
      </c>
      <c r="L10" s="6" t="s">
        <v>729</v>
      </c>
      <c r="M10" s="6" t="s">
        <v>729</v>
      </c>
      <c r="N10" s="6" t="s">
        <v>729</v>
      </c>
      <c r="O10" s="6" t="s">
        <v>729</v>
      </c>
      <c r="P10" s="6" t="s">
        <v>729</v>
      </c>
      <c r="Q10" s="6" t="s">
        <v>729</v>
      </c>
      <c r="R10" s="6" t="s">
        <v>729</v>
      </c>
      <c r="S10" s="6" t="s">
        <v>729</v>
      </c>
      <c r="T10" s="6" t="s">
        <v>729</v>
      </c>
      <c r="U10" s="6" t="s">
        <v>729</v>
      </c>
      <c r="V10" s="8" t="s">
        <v>729</v>
      </c>
    </row>
    <row r="11" ht="78" customHeight="1" spans="1:22">
      <c r="A11" s="16"/>
      <c r="B11" s="6" t="s">
        <v>729</v>
      </c>
      <c r="C11" s="6" t="s">
        <v>729</v>
      </c>
      <c r="D11" s="18" t="s">
        <v>1263</v>
      </c>
      <c r="E11" s="6" t="s">
        <v>729</v>
      </c>
      <c r="F11" s="11" t="s">
        <v>752</v>
      </c>
      <c r="G11" s="11" t="s">
        <v>756</v>
      </c>
      <c r="H11" s="11" t="s">
        <v>729</v>
      </c>
      <c r="I11" s="11" t="s">
        <v>729</v>
      </c>
      <c r="J11" s="11" t="s">
        <v>729</v>
      </c>
      <c r="K11" s="11" t="s">
        <v>729</v>
      </c>
      <c r="L11" s="11" t="s">
        <v>729</v>
      </c>
      <c r="M11" s="11" t="s">
        <v>729</v>
      </c>
      <c r="N11" s="11" t="s">
        <v>729</v>
      </c>
      <c r="O11" s="11" t="s">
        <v>729</v>
      </c>
      <c r="P11" s="11" t="s">
        <v>729</v>
      </c>
      <c r="Q11" s="11" t="s">
        <v>729</v>
      </c>
      <c r="R11" s="11" t="s">
        <v>729</v>
      </c>
      <c r="S11" s="11" t="s">
        <v>729</v>
      </c>
      <c r="T11" s="11" t="s">
        <v>729</v>
      </c>
      <c r="U11" s="11" t="s">
        <v>729</v>
      </c>
      <c r="V11" s="12" t="s">
        <v>729</v>
      </c>
    </row>
    <row r="12" ht="40.5" customHeight="1" spans="1:22">
      <c r="A12" s="16"/>
      <c r="B12" s="6" t="s">
        <v>729</v>
      </c>
      <c r="C12" s="6" t="s">
        <v>729</v>
      </c>
      <c r="D12" s="18" t="s">
        <v>1264</v>
      </c>
      <c r="E12" s="6" t="s">
        <v>729</v>
      </c>
      <c r="F12" s="11" t="s">
        <v>756</v>
      </c>
      <c r="G12" s="11" t="s">
        <v>752</v>
      </c>
      <c r="H12" s="11" t="s">
        <v>729</v>
      </c>
      <c r="I12" s="11" t="s">
        <v>729</v>
      </c>
      <c r="J12" s="11" t="s">
        <v>729</v>
      </c>
      <c r="K12" s="11" t="s">
        <v>729</v>
      </c>
      <c r="L12" s="11" t="s">
        <v>729</v>
      </c>
      <c r="M12" s="11" t="s">
        <v>729</v>
      </c>
      <c r="N12" s="11" t="s">
        <v>729</v>
      </c>
      <c r="O12" s="11" t="s">
        <v>729</v>
      </c>
      <c r="P12" s="11" t="s">
        <v>729</v>
      </c>
      <c r="Q12" s="11" t="s">
        <v>729</v>
      </c>
      <c r="R12" s="11" t="s">
        <v>729</v>
      </c>
      <c r="S12" s="11" t="s">
        <v>729</v>
      </c>
      <c r="T12" s="11" t="s">
        <v>729</v>
      </c>
      <c r="U12" s="11" t="s">
        <v>729</v>
      </c>
      <c r="V12" s="12" t="s">
        <v>729</v>
      </c>
    </row>
    <row r="13" ht="18" customHeight="1" spans="1:22">
      <c r="A13" s="19" t="s">
        <v>696</v>
      </c>
      <c r="B13" s="20" t="s">
        <v>765</v>
      </c>
      <c r="C13" s="20"/>
      <c r="D13" s="20"/>
      <c r="E13" s="6" t="s">
        <v>729</v>
      </c>
      <c r="F13" s="11" t="s">
        <v>670</v>
      </c>
      <c r="G13" s="11" t="s">
        <v>670</v>
      </c>
      <c r="H13" s="11" t="s">
        <v>729</v>
      </c>
      <c r="I13" s="11" t="s">
        <v>729</v>
      </c>
      <c r="J13" s="11" t="s">
        <v>729</v>
      </c>
      <c r="K13" s="11" t="s">
        <v>729</v>
      </c>
      <c r="L13" s="11" t="s">
        <v>729</v>
      </c>
      <c r="M13" s="11" t="s">
        <v>729</v>
      </c>
      <c r="N13" s="11" t="s">
        <v>729</v>
      </c>
      <c r="O13" s="11" t="s">
        <v>729</v>
      </c>
      <c r="P13" s="11" t="s">
        <v>729</v>
      </c>
      <c r="Q13" s="11" t="s">
        <v>729</v>
      </c>
      <c r="R13" s="11" t="s">
        <v>729</v>
      </c>
      <c r="S13" s="11" t="s">
        <v>729</v>
      </c>
      <c r="T13" s="11" t="s">
        <v>729</v>
      </c>
      <c r="U13" s="11" t="s">
        <v>729</v>
      </c>
      <c r="V13" s="12" t="s">
        <v>729</v>
      </c>
    </row>
    <row r="14" ht="18" customHeight="1" spans="1:22">
      <c r="A14" s="19"/>
      <c r="B14" s="20" t="s">
        <v>698</v>
      </c>
      <c r="C14" s="20"/>
      <c r="D14" s="20"/>
      <c r="E14" s="6" t="s">
        <v>729</v>
      </c>
      <c r="F14" s="11" t="s">
        <v>766</v>
      </c>
      <c r="G14" s="11" t="s">
        <v>766</v>
      </c>
      <c r="H14" s="11" t="s">
        <v>729</v>
      </c>
      <c r="I14" s="11" t="s">
        <v>729</v>
      </c>
      <c r="J14" s="11" t="s">
        <v>729</v>
      </c>
      <c r="K14" s="11" t="s">
        <v>729</v>
      </c>
      <c r="L14" s="11" t="s">
        <v>729</v>
      </c>
      <c r="M14" s="11" t="s">
        <v>729</v>
      </c>
      <c r="N14" s="11" t="s">
        <v>729</v>
      </c>
      <c r="O14" s="11" t="s">
        <v>729</v>
      </c>
      <c r="P14" s="11" t="s">
        <v>729</v>
      </c>
      <c r="Q14" s="11" t="s">
        <v>729</v>
      </c>
      <c r="R14" s="11" t="s">
        <v>729</v>
      </c>
      <c r="S14" s="11" t="s">
        <v>729</v>
      </c>
      <c r="T14" s="11" t="s">
        <v>729</v>
      </c>
      <c r="U14" s="11" t="s">
        <v>729</v>
      </c>
      <c r="V14" s="12" t="s">
        <v>729</v>
      </c>
    </row>
    <row r="15" ht="18" customHeight="1" spans="1:22">
      <c r="A15" s="19"/>
      <c r="B15" s="20" t="s">
        <v>699</v>
      </c>
      <c r="C15" s="20"/>
      <c r="D15" s="20"/>
      <c r="E15" s="6" t="s">
        <v>729</v>
      </c>
      <c r="F15" s="6" t="s">
        <v>729</v>
      </c>
      <c r="G15" s="6" t="s">
        <v>729</v>
      </c>
      <c r="H15" s="6" t="s">
        <v>729</v>
      </c>
      <c r="I15" s="6" t="s">
        <v>729</v>
      </c>
      <c r="J15" s="6" t="s">
        <v>729</v>
      </c>
      <c r="K15" s="6" t="s">
        <v>729</v>
      </c>
      <c r="L15" s="6" t="s">
        <v>729</v>
      </c>
      <c r="M15" s="6" t="s">
        <v>729</v>
      </c>
      <c r="N15" s="6" t="s">
        <v>729</v>
      </c>
      <c r="O15" s="6" t="s">
        <v>729</v>
      </c>
      <c r="P15" s="6" t="s">
        <v>729</v>
      </c>
      <c r="Q15" s="6" t="s">
        <v>729</v>
      </c>
      <c r="R15" s="6" t="s">
        <v>729</v>
      </c>
      <c r="S15" s="6" t="s">
        <v>729</v>
      </c>
      <c r="T15" s="6" t="s">
        <v>729</v>
      </c>
      <c r="U15" s="6" t="s">
        <v>729</v>
      </c>
      <c r="V15" s="8" t="s">
        <v>729</v>
      </c>
    </row>
    <row r="16" ht="18" customHeight="1" spans="1:22">
      <c r="A16" s="19"/>
      <c r="B16" s="21" t="s">
        <v>700</v>
      </c>
      <c r="C16" s="21"/>
      <c r="D16" s="21"/>
      <c r="E16" s="22" t="s">
        <v>729</v>
      </c>
      <c r="F16" s="22" t="s">
        <v>729</v>
      </c>
      <c r="G16" s="22" t="s">
        <v>729</v>
      </c>
      <c r="H16" s="22" t="s">
        <v>729</v>
      </c>
      <c r="I16" s="22" t="s">
        <v>729</v>
      </c>
      <c r="J16" s="22" t="s">
        <v>729</v>
      </c>
      <c r="K16" s="22" t="s">
        <v>729</v>
      </c>
      <c r="L16" s="22" t="s">
        <v>729</v>
      </c>
      <c r="M16" s="22" t="s">
        <v>729</v>
      </c>
      <c r="N16" s="22" t="s">
        <v>729</v>
      </c>
      <c r="O16" s="22" t="s">
        <v>729</v>
      </c>
      <c r="P16" s="22" t="s">
        <v>729</v>
      </c>
      <c r="Q16" s="22" t="s">
        <v>729</v>
      </c>
      <c r="R16" s="22" t="s">
        <v>729</v>
      </c>
      <c r="S16" s="22" t="s">
        <v>729</v>
      </c>
      <c r="T16" s="22" t="s">
        <v>729</v>
      </c>
      <c r="U16" s="22" t="s">
        <v>729</v>
      </c>
      <c r="V16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3:D13"/>
    <mergeCell ref="B14:D14"/>
    <mergeCell ref="B15:D15"/>
    <mergeCell ref="B16:D16"/>
    <mergeCell ref="A7:A9"/>
    <mergeCell ref="A10:A12"/>
    <mergeCell ref="A13:A16"/>
  </mergeCells>
  <dataValidations count="3">
    <dataValidation type="list" allowBlank="1" sqref="F13:V13">
      <formula1>"N,A,B"</formula1>
    </dataValidation>
    <dataValidation type="list" allowBlank="1" sqref="F14:V14">
      <formula1>"P,F"</formula1>
    </dataValidation>
    <dataValidation type="list" allowBlank="1" sqref="F11:V12 F8:V9">
      <formula1>"O,-"</formula1>
    </dataValidation>
  </dataValidations>
  <pageMargins left="0.7" right="0.7" top="0.75" bottom="0.75" header="0.3" footer="0.3"/>
  <pageSetup paperSize="1" orientation="portrait"/>
  <headerFooter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6"/>
  <sheetViews>
    <sheetView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257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428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1265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2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2</v>
      </c>
      <c r="M5" s="11">
        <v>0</v>
      </c>
      <c r="N5" s="11">
        <v>0</v>
      </c>
      <c r="O5" s="12">
        <v>2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687</v>
      </c>
      <c r="H6" s="14" t="s">
        <v>729</v>
      </c>
      <c r="I6" s="14" t="s">
        <v>729</v>
      </c>
      <c r="J6" s="14" t="s">
        <v>729</v>
      </c>
      <c r="K6" s="14" t="s">
        <v>729</v>
      </c>
      <c r="L6" s="14" t="s">
        <v>729</v>
      </c>
      <c r="M6" s="14" t="s">
        <v>729</v>
      </c>
      <c r="N6" s="14" t="s">
        <v>729</v>
      </c>
      <c r="O6" s="14" t="s">
        <v>729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28" customHeight="1" spans="1:22">
      <c r="A7" s="16" t="s">
        <v>690</v>
      </c>
      <c r="B7" s="17" t="s">
        <v>1266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65.5" customHeight="1" spans="1:22">
      <c r="A8" s="16"/>
      <c r="B8" s="6" t="s">
        <v>729</v>
      </c>
      <c r="C8" s="6" t="s">
        <v>729</v>
      </c>
      <c r="D8" s="18" t="s">
        <v>1267</v>
      </c>
      <c r="E8" s="6" t="s">
        <v>729</v>
      </c>
      <c r="F8" s="11" t="s">
        <v>752</v>
      </c>
      <c r="G8" s="11" t="s">
        <v>756</v>
      </c>
      <c r="H8" s="11" t="s">
        <v>729</v>
      </c>
      <c r="I8" s="11" t="s">
        <v>729</v>
      </c>
      <c r="J8" s="11" t="s">
        <v>729</v>
      </c>
      <c r="K8" s="11" t="s">
        <v>729</v>
      </c>
      <c r="L8" s="11" t="s">
        <v>729</v>
      </c>
      <c r="M8" s="11" t="s">
        <v>729</v>
      </c>
      <c r="N8" s="11" t="s">
        <v>729</v>
      </c>
      <c r="O8" s="11" t="s">
        <v>729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65.5" customHeight="1" spans="1:22">
      <c r="A9" s="16"/>
      <c r="B9" s="6" t="s">
        <v>729</v>
      </c>
      <c r="C9" s="6" t="s">
        <v>729</v>
      </c>
      <c r="D9" s="18" t="s">
        <v>1268</v>
      </c>
      <c r="E9" s="6" t="s">
        <v>729</v>
      </c>
      <c r="F9" s="11" t="s">
        <v>756</v>
      </c>
      <c r="G9" s="11" t="s">
        <v>752</v>
      </c>
      <c r="H9" s="11" t="s">
        <v>729</v>
      </c>
      <c r="I9" s="11" t="s">
        <v>729</v>
      </c>
      <c r="J9" s="11" t="s">
        <v>729</v>
      </c>
      <c r="K9" s="11" t="s">
        <v>729</v>
      </c>
      <c r="L9" s="11" t="s">
        <v>729</v>
      </c>
      <c r="M9" s="11" t="s">
        <v>729</v>
      </c>
      <c r="N9" s="11" t="s">
        <v>729</v>
      </c>
      <c r="O9" s="11" t="s">
        <v>729</v>
      </c>
      <c r="P9" s="11" t="s">
        <v>729</v>
      </c>
      <c r="Q9" s="11" t="s">
        <v>729</v>
      </c>
      <c r="R9" s="11" t="s">
        <v>729</v>
      </c>
      <c r="S9" s="11" t="s">
        <v>729</v>
      </c>
      <c r="T9" s="11" t="s">
        <v>729</v>
      </c>
      <c r="U9" s="11" t="s">
        <v>729</v>
      </c>
      <c r="V9" s="12" t="s">
        <v>729</v>
      </c>
    </row>
    <row r="10" ht="15.5" customHeight="1" spans="1:22">
      <c r="A10" s="16" t="s">
        <v>692</v>
      </c>
      <c r="B10" s="17" t="s">
        <v>693</v>
      </c>
      <c r="C10" s="6" t="s">
        <v>729</v>
      </c>
      <c r="D10" s="6" t="s">
        <v>729</v>
      </c>
      <c r="E10" s="6" t="s">
        <v>729</v>
      </c>
      <c r="F10" s="6" t="s">
        <v>729</v>
      </c>
      <c r="G10" s="6" t="s">
        <v>729</v>
      </c>
      <c r="H10" s="6" t="s">
        <v>729</v>
      </c>
      <c r="I10" s="6" t="s">
        <v>729</v>
      </c>
      <c r="J10" s="6" t="s">
        <v>729</v>
      </c>
      <c r="K10" s="6" t="s">
        <v>729</v>
      </c>
      <c r="L10" s="6" t="s">
        <v>729</v>
      </c>
      <c r="M10" s="6" t="s">
        <v>729</v>
      </c>
      <c r="N10" s="6" t="s">
        <v>729</v>
      </c>
      <c r="O10" s="6" t="s">
        <v>729</v>
      </c>
      <c r="P10" s="6" t="s">
        <v>729</v>
      </c>
      <c r="Q10" s="6" t="s">
        <v>729</v>
      </c>
      <c r="R10" s="6" t="s">
        <v>729</v>
      </c>
      <c r="S10" s="6" t="s">
        <v>729</v>
      </c>
      <c r="T10" s="6" t="s">
        <v>729</v>
      </c>
      <c r="U10" s="6" t="s">
        <v>729</v>
      </c>
      <c r="V10" s="8" t="s">
        <v>729</v>
      </c>
    </row>
    <row r="11" ht="65.5" customHeight="1" spans="1:22">
      <c r="A11" s="16"/>
      <c r="B11" s="6" t="s">
        <v>729</v>
      </c>
      <c r="C11" s="6" t="s">
        <v>729</v>
      </c>
      <c r="D11" s="18" t="s">
        <v>1269</v>
      </c>
      <c r="E11" s="6" t="s">
        <v>729</v>
      </c>
      <c r="F11" s="11" t="s">
        <v>752</v>
      </c>
      <c r="G11" s="11" t="s">
        <v>756</v>
      </c>
      <c r="H11" s="11" t="s">
        <v>729</v>
      </c>
      <c r="I11" s="11" t="s">
        <v>729</v>
      </c>
      <c r="J11" s="11" t="s">
        <v>729</v>
      </c>
      <c r="K11" s="11" t="s">
        <v>729</v>
      </c>
      <c r="L11" s="11" t="s">
        <v>729</v>
      </c>
      <c r="M11" s="11" t="s">
        <v>729</v>
      </c>
      <c r="N11" s="11" t="s">
        <v>729</v>
      </c>
      <c r="O11" s="11" t="s">
        <v>729</v>
      </c>
      <c r="P11" s="11" t="s">
        <v>729</v>
      </c>
      <c r="Q11" s="11" t="s">
        <v>729</v>
      </c>
      <c r="R11" s="11" t="s">
        <v>729</v>
      </c>
      <c r="S11" s="11" t="s">
        <v>729</v>
      </c>
      <c r="T11" s="11" t="s">
        <v>729</v>
      </c>
      <c r="U11" s="11" t="s">
        <v>729</v>
      </c>
      <c r="V11" s="12" t="s">
        <v>729</v>
      </c>
    </row>
    <row r="12" ht="90.5" customHeight="1" spans="1:22">
      <c r="A12" s="16"/>
      <c r="B12" s="6" t="s">
        <v>729</v>
      </c>
      <c r="C12" s="6" t="s">
        <v>729</v>
      </c>
      <c r="D12" s="18" t="s">
        <v>1270</v>
      </c>
      <c r="E12" s="6" t="s">
        <v>729</v>
      </c>
      <c r="F12" s="11" t="s">
        <v>756</v>
      </c>
      <c r="G12" s="11" t="s">
        <v>752</v>
      </c>
      <c r="H12" s="11" t="s">
        <v>729</v>
      </c>
      <c r="I12" s="11" t="s">
        <v>729</v>
      </c>
      <c r="J12" s="11" t="s">
        <v>729</v>
      </c>
      <c r="K12" s="11" t="s">
        <v>729</v>
      </c>
      <c r="L12" s="11" t="s">
        <v>729</v>
      </c>
      <c r="M12" s="11" t="s">
        <v>729</v>
      </c>
      <c r="N12" s="11" t="s">
        <v>729</v>
      </c>
      <c r="O12" s="11" t="s">
        <v>729</v>
      </c>
      <c r="P12" s="11" t="s">
        <v>729</v>
      </c>
      <c r="Q12" s="11" t="s">
        <v>729</v>
      </c>
      <c r="R12" s="11" t="s">
        <v>729</v>
      </c>
      <c r="S12" s="11" t="s">
        <v>729</v>
      </c>
      <c r="T12" s="11" t="s">
        <v>729</v>
      </c>
      <c r="U12" s="11" t="s">
        <v>729</v>
      </c>
      <c r="V12" s="12" t="s">
        <v>729</v>
      </c>
    </row>
    <row r="13" ht="18" customHeight="1" spans="1:22">
      <c r="A13" s="19" t="s">
        <v>696</v>
      </c>
      <c r="B13" s="20" t="s">
        <v>765</v>
      </c>
      <c r="C13" s="20"/>
      <c r="D13" s="20"/>
      <c r="E13" s="6" t="s">
        <v>729</v>
      </c>
      <c r="F13" s="11" t="s">
        <v>670</v>
      </c>
      <c r="G13" s="11" t="s">
        <v>670</v>
      </c>
      <c r="H13" s="11" t="s">
        <v>729</v>
      </c>
      <c r="I13" s="11" t="s">
        <v>729</v>
      </c>
      <c r="J13" s="11" t="s">
        <v>729</v>
      </c>
      <c r="K13" s="11" t="s">
        <v>729</v>
      </c>
      <c r="L13" s="11" t="s">
        <v>729</v>
      </c>
      <c r="M13" s="11" t="s">
        <v>729</v>
      </c>
      <c r="N13" s="11" t="s">
        <v>729</v>
      </c>
      <c r="O13" s="11" t="s">
        <v>729</v>
      </c>
      <c r="P13" s="11" t="s">
        <v>729</v>
      </c>
      <c r="Q13" s="11" t="s">
        <v>729</v>
      </c>
      <c r="R13" s="11" t="s">
        <v>729</v>
      </c>
      <c r="S13" s="11" t="s">
        <v>729</v>
      </c>
      <c r="T13" s="11" t="s">
        <v>729</v>
      </c>
      <c r="U13" s="11" t="s">
        <v>729</v>
      </c>
      <c r="V13" s="12" t="s">
        <v>729</v>
      </c>
    </row>
    <row r="14" ht="18" customHeight="1" spans="1:22">
      <c r="A14" s="19"/>
      <c r="B14" s="20" t="s">
        <v>698</v>
      </c>
      <c r="C14" s="20"/>
      <c r="D14" s="20"/>
      <c r="E14" s="6" t="s">
        <v>729</v>
      </c>
      <c r="F14" s="11" t="s">
        <v>766</v>
      </c>
      <c r="G14" s="11" t="s">
        <v>766</v>
      </c>
      <c r="H14" s="11" t="s">
        <v>729</v>
      </c>
      <c r="I14" s="11" t="s">
        <v>729</v>
      </c>
      <c r="J14" s="11" t="s">
        <v>729</v>
      </c>
      <c r="K14" s="11" t="s">
        <v>729</v>
      </c>
      <c r="L14" s="11" t="s">
        <v>729</v>
      </c>
      <c r="M14" s="11" t="s">
        <v>729</v>
      </c>
      <c r="N14" s="11" t="s">
        <v>729</v>
      </c>
      <c r="O14" s="11" t="s">
        <v>729</v>
      </c>
      <c r="P14" s="11" t="s">
        <v>729</v>
      </c>
      <c r="Q14" s="11" t="s">
        <v>729</v>
      </c>
      <c r="R14" s="11" t="s">
        <v>729</v>
      </c>
      <c r="S14" s="11" t="s">
        <v>729</v>
      </c>
      <c r="T14" s="11" t="s">
        <v>729</v>
      </c>
      <c r="U14" s="11" t="s">
        <v>729</v>
      </c>
      <c r="V14" s="12" t="s">
        <v>729</v>
      </c>
    </row>
    <row r="15" ht="18" customHeight="1" spans="1:22">
      <c r="A15" s="19"/>
      <c r="B15" s="20" t="s">
        <v>699</v>
      </c>
      <c r="C15" s="20"/>
      <c r="D15" s="20"/>
      <c r="E15" s="6" t="s">
        <v>729</v>
      </c>
      <c r="F15" s="6" t="s">
        <v>729</v>
      </c>
      <c r="G15" s="6" t="s">
        <v>729</v>
      </c>
      <c r="H15" s="6" t="s">
        <v>729</v>
      </c>
      <c r="I15" s="6" t="s">
        <v>729</v>
      </c>
      <c r="J15" s="6" t="s">
        <v>729</v>
      </c>
      <c r="K15" s="6" t="s">
        <v>729</v>
      </c>
      <c r="L15" s="6" t="s">
        <v>729</v>
      </c>
      <c r="M15" s="6" t="s">
        <v>729</v>
      </c>
      <c r="N15" s="6" t="s">
        <v>729</v>
      </c>
      <c r="O15" s="6" t="s">
        <v>729</v>
      </c>
      <c r="P15" s="6" t="s">
        <v>729</v>
      </c>
      <c r="Q15" s="6" t="s">
        <v>729</v>
      </c>
      <c r="R15" s="6" t="s">
        <v>729</v>
      </c>
      <c r="S15" s="6" t="s">
        <v>729</v>
      </c>
      <c r="T15" s="6" t="s">
        <v>729</v>
      </c>
      <c r="U15" s="6" t="s">
        <v>729</v>
      </c>
      <c r="V15" s="8" t="s">
        <v>729</v>
      </c>
    </row>
    <row r="16" ht="18" customHeight="1" spans="1:22">
      <c r="A16" s="19"/>
      <c r="B16" s="21" t="s">
        <v>700</v>
      </c>
      <c r="C16" s="21"/>
      <c r="D16" s="21"/>
      <c r="E16" s="22" t="s">
        <v>729</v>
      </c>
      <c r="F16" s="22" t="s">
        <v>729</v>
      </c>
      <c r="G16" s="22" t="s">
        <v>729</v>
      </c>
      <c r="H16" s="22" t="s">
        <v>729</v>
      </c>
      <c r="I16" s="22" t="s">
        <v>729</v>
      </c>
      <c r="J16" s="22" t="s">
        <v>729</v>
      </c>
      <c r="K16" s="22" t="s">
        <v>729</v>
      </c>
      <c r="L16" s="22" t="s">
        <v>729</v>
      </c>
      <c r="M16" s="22" t="s">
        <v>729</v>
      </c>
      <c r="N16" s="22" t="s">
        <v>729</v>
      </c>
      <c r="O16" s="22" t="s">
        <v>729</v>
      </c>
      <c r="P16" s="22" t="s">
        <v>729</v>
      </c>
      <c r="Q16" s="22" t="s">
        <v>729</v>
      </c>
      <c r="R16" s="22" t="s">
        <v>729</v>
      </c>
      <c r="S16" s="22" t="s">
        <v>729</v>
      </c>
      <c r="T16" s="22" t="s">
        <v>729</v>
      </c>
      <c r="U16" s="22" t="s">
        <v>729</v>
      </c>
      <c r="V16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3:D13"/>
    <mergeCell ref="B14:D14"/>
    <mergeCell ref="B15:D15"/>
    <mergeCell ref="B16:D16"/>
    <mergeCell ref="A7:A9"/>
    <mergeCell ref="A10:A12"/>
    <mergeCell ref="A13:A16"/>
  </mergeCells>
  <dataValidations count="3">
    <dataValidation type="list" allowBlank="1" sqref="F13:V13">
      <formula1>"N,A,B"</formula1>
    </dataValidation>
    <dataValidation type="list" allowBlank="1" sqref="F14:V14">
      <formula1>"P,F"</formula1>
    </dataValidation>
    <dataValidation type="list" allowBlank="1" sqref="F11:V12 F8:V9">
      <formula1>"O,-"</formula1>
    </dataValidation>
  </dataValidations>
  <pageMargins left="0.7" right="0.7" top="0.75" bottom="0.75" header="0.3" footer="0.3"/>
  <pageSetup paperSize="1" orientation="portrait"/>
  <headerFooter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9"/>
  <sheetViews>
    <sheetView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434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435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1271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4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4</v>
      </c>
      <c r="M5" s="11">
        <v>0</v>
      </c>
      <c r="N5" s="11">
        <v>0</v>
      </c>
      <c r="O5" s="12">
        <v>4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687</v>
      </c>
      <c r="H6" s="14" t="s">
        <v>688</v>
      </c>
      <c r="I6" s="14" t="s">
        <v>689</v>
      </c>
      <c r="J6" s="14" t="s">
        <v>729</v>
      </c>
      <c r="K6" s="14" t="s">
        <v>729</v>
      </c>
      <c r="L6" s="14" t="s">
        <v>729</v>
      </c>
      <c r="M6" s="14" t="s">
        <v>729</v>
      </c>
      <c r="N6" s="14" t="s">
        <v>729</v>
      </c>
      <c r="O6" s="14" t="s">
        <v>729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15.5" customHeight="1" spans="1:22">
      <c r="A7" s="16" t="s">
        <v>690</v>
      </c>
      <c r="B7" s="17" t="s">
        <v>1272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28" customHeight="1" spans="1:22">
      <c r="A8" s="16"/>
      <c r="B8" s="6" t="s">
        <v>729</v>
      </c>
      <c r="C8" s="6" t="s">
        <v>729</v>
      </c>
      <c r="D8" s="18" t="s">
        <v>1273</v>
      </c>
      <c r="E8" s="6" t="s">
        <v>729</v>
      </c>
      <c r="F8" s="11" t="s">
        <v>752</v>
      </c>
      <c r="G8" s="11" t="s">
        <v>756</v>
      </c>
      <c r="H8" s="11" t="s">
        <v>756</v>
      </c>
      <c r="I8" s="11" t="s">
        <v>756</v>
      </c>
      <c r="J8" s="11" t="s">
        <v>729</v>
      </c>
      <c r="K8" s="11" t="s">
        <v>729</v>
      </c>
      <c r="L8" s="11" t="s">
        <v>729</v>
      </c>
      <c r="M8" s="11" t="s">
        <v>729</v>
      </c>
      <c r="N8" s="11" t="s">
        <v>729</v>
      </c>
      <c r="O8" s="11" t="s">
        <v>729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28" customHeight="1" spans="1:22">
      <c r="A9" s="16"/>
      <c r="B9" s="6" t="s">
        <v>729</v>
      </c>
      <c r="C9" s="6" t="s">
        <v>729</v>
      </c>
      <c r="D9" s="18" t="s">
        <v>1274</v>
      </c>
      <c r="E9" s="6" t="s">
        <v>729</v>
      </c>
      <c r="F9" s="11" t="s">
        <v>756</v>
      </c>
      <c r="G9" s="11" t="s">
        <v>752</v>
      </c>
      <c r="H9" s="11" t="s">
        <v>756</v>
      </c>
      <c r="I9" s="11" t="s">
        <v>756</v>
      </c>
      <c r="J9" s="11" t="s">
        <v>729</v>
      </c>
      <c r="K9" s="11" t="s">
        <v>729</v>
      </c>
      <c r="L9" s="11" t="s">
        <v>729</v>
      </c>
      <c r="M9" s="11" t="s">
        <v>729</v>
      </c>
      <c r="N9" s="11" t="s">
        <v>729</v>
      </c>
      <c r="O9" s="11" t="s">
        <v>729</v>
      </c>
      <c r="P9" s="11" t="s">
        <v>729</v>
      </c>
      <c r="Q9" s="11" t="s">
        <v>729</v>
      </c>
      <c r="R9" s="11" t="s">
        <v>729</v>
      </c>
      <c r="S9" s="11" t="s">
        <v>729</v>
      </c>
      <c r="T9" s="11" t="s">
        <v>729</v>
      </c>
      <c r="U9" s="11" t="s">
        <v>729</v>
      </c>
      <c r="V9" s="12" t="s">
        <v>729</v>
      </c>
    </row>
    <row r="10" ht="28" customHeight="1" spans="1:22">
      <c r="A10" s="16"/>
      <c r="B10" s="6" t="s">
        <v>729</v>
      </c>
      <c r="C10" s="6" t="s">
        <v>729</v>
      </c>
      <c r="D10" s="18" t="s">
        <v>1275</v>
      </c>
      <c r="E10" s="6" t="s">
        <v>729</v>
      </c>
      <c r="F10" s="11" t="s">
        <v>756</v>
      </c>
      <c r="G10" s="11" t="s">
        <v>756</v>
      </c>
      <c r="H10" s="11" t="s">
        <v>752</v>
      </c>
      <c r="I10" s="11" t="s">
        <v>756</v>
      </c>
      <c r="J10" s="11" t="s">
        <v>729</v>
      </c>
      <c r="K10" s="11" t="s">
        <v>729</v>
      </c>
      <c r="L10" s="11" t="s">
        <v>729</v>
      </c>
      <c r="M10" s="11" t="s">
        <v>729</v>
      </c>
      <c r="N10" s="11" t="s">
        <v>729</v>
      </c>
      <c r="O10" s="11" t="s">
        <v>729</v>
      </c>
      <c r="P10" s="11" t="s">
        <v>729</v>
      </c>
      <c r="Q10" s="11" t="s">
        <v>729</v>
      </c>
      <c r="R10" s="11" t="s">
        <v>729</v>
      </c>
      <c r="S10" s="11" t="s">
        <v>729</v>
      </c>
      <c r="T10" s="11" t="s">
        <v>729</v>
      </c>
      <c r="U10" s="11" t="s">
        <v>729</v>
      </c>
      <c r="V10" s="12" t="s">
        <v>729</v>
      </c>
    </row>
    <row r="11" ht="15.5" customHeight="1" spans="1:22">
      <c r="A11" s="16"/>
      <c r="B11" s="6" t="s">
        <v>729</v>
      </c>
      <c r="C11" s="6" t="s">
        <v>729</v>
      </c>
      <c r="D11" s="18" t="s">
        <v>1276</v>
      </c>
      <c r="E11" s="6" t="s">
        <v>729</v>
      </c>
      <c r="F11" s="11" t="s">
        <v>756</v>
      </c>
      <c r="G11" s="11" t="s">
        <v>756</v>
      </c>
      <c r="H11" s="11" t="s">
        <v>756</v>
      </c>
      <c r="I11" s="11" t="s">
        <v>752</v>
      </c>
      <c r="J11" s="11" t="s">
        <v>729</v>
      </c>
      <c r="K11" s="11" t="s">
        <v>729</v>
      </c>
      <c r="L11" s="11" t="s">
        <v>729</v>
      </c>
      <c r="M11" s="11" t="s">
        <v>729</v>
      </c>
      <c r="N11" s="11" t="s">
        <v>729</v>
      </c>
      <c r="O11" s="11" t="s">
        <v>729</v>
      </c>
      <c r="P11" s="11" t="s">
        <v>729</v>
      </c>
      <c r="Q11" s="11" t="s">
        <v>729</v>
      </c>
      <c r="R11" s="11" t="s">
        <v>729</v>
      </c>
      <c r="S11" s="11" t="s">
        <v>729</v>
      </c>
      <c r="T11" s="11" t="s">
        <v>729</v>
      </c>
      <c r="U11" s="11" t="s">
        <v>729</v>
      </c>
      <c r="V11" s="12" t="s">
        <v>729</v>
      </c>
    </row>
    <row r="12" ht="15.5" customHeight="1" spans="1:22">
      <c r="A12" s="16" t="s">
        <v>692</v>
      </c>
      <c r="B12" s="17" t="s">
        <v>693</v>
      </c>
      <c r="C12" s="6" t="s">
        <v>729</v>
      </c>
      <c r="D12" s="6" t="s">
        <v>729</v>
      </c>
      <c r="E12" s="6" t="s">
        <v>729</v>
      </c>
      <c r="F12" s="6" t="s">
        <v>729</v>
      </c>
      <c r="G12" s="6" t="s">
        <v>729</v>
      </c>
      <c r="H12" s="6" t="s">
        <v>729</v>
      </c>
      <c r="I12" s="6" t="s">
        <v>729</v>
      </c>
      <c r="J12" s="6" t="s">
        <v>729</v>
      </c>
      <c r="K12" s="6" t="s">
        <v>729</v>
      </c>
      <c r="L12" s="6" t="s">
        <v>729</v>
      </c>
      <c r="M12" s="6" t="s">
        <v>729</v>
      </c>
      <c r="N12" s="6" t="s">
        <v>729</v>
      </c>
      <c r="O12" s="6" t="s">
        <v>729</v>
      </c>
      <c r="P12" s="6" t="s">
        <v>729</v>
      </c>
      <c r="Q12" s="6" t="s">
        <v>729</v>
      </c>
      <c r="R12" s="6" t="s">
        <v>729</v>
      </c>
      <c r="S12" s="6" t="s">
        <v>729</v>
      </c>
      <c r="T12" s="6" t="s">
        <v>729</v>
      </c>
      <c r="U12" s="6" t="s">
        <v>729</v>
      </c>
      <c r="V12" s="8" t="s">
        <v>729</v>
      </c>
    </row>
    <row r="13" ht="78" customHeight="1" spans="1:22">
      <c r="A13" s="16"/>
      <c r="B13" s="6" t="s">
        <v>729</v>
      </c>
      <c r="C13" s="6" t="s">
        <v>729</v>
      </c>
      <c r="D13" s="18" t="s">
        <v>1277</v>
      </c>
      <c r="E13" s="6" t="s">
        <v>729</v>
      </c>
      <c r="F13" s="11" t="s">
        <v>752</v>
      </c>
      <c r="G13" s="11" t="s">
        <v>752</v>
      </c>
      <c r="H13" s="11" t="s">
        <v>756</v>
      </c>
      <c r="I13" s="11" t="s">
        <v>756</v>
      </c>
      <c r="J13" s="11" t="s">
        <v>729</v>
      </c>
      <c r="K13" s="11" t="s">
        <v>729</v>
      </c>
      <c r="L13" s="11" t="s">
        <v>729</v>
      </c>
      <c r="M13" s="11" t="s">
        <v>729</v>
      </c>
      <c r="N13" s="11" t="s">
        <v>729</v>
      </c>
      <c r="O13" s="11" t="s">
        <v>729</v>
      </c>
      <c r="P13" s="11" t="s">
        <v>729</v>
      </c>
      <c r="Q13" s="11" t="s">
        <v>729</v>
      </c>
      <c r="R13" s="11" t="s">
        <v>729</v>
      </c>
      <c r="S13" s="11" t="s">
        <v>729</v>
      </c>
      <c r="T13" s="11" t="s">
        <v>729</v>
      </c>
      <c r="U13" s="11" t="s">
        <v>729</v>
      </c>
      <c r="V13" s="12" t="s">
        <v>729</v>
      </c>
    </row>
    <row r="14" ht="78" customHeight="1" spans="1:22">
      <c r="A14" s="16"/>
      <c r="B14" s="6" t="s">
        <v>729</v>
      </c>
      <c r="C14" s="6" t="s">
        <v>729</v>
      </c>
      <c r="D14" s="18" t="s">
        <v>1278</v>
      </c>
      <c r="E14" s="6" t="s">
        <v>729</v>
      </c>
      <c r="F14" s="11" t="s">
        <v>756</v>
      </c>
      <c r="G14" s="11" t="s">
        <v>756</v>
      </c>
      <c r="H14" s="11" t="s">
        <v>752</v>
      </c>
      <c r="I14" s="11" t="s">
        <v>752</v>
      </c>
      <c r="J14" s="11" t="s">
        <v>729</v>
      </c>
      <c r="K14" s="11" t="s">
        <v>729</v>
      </c>
      <c r="L14" s="11" t="s">
        <v>729</v>
      </c>
      <c r="M14" s="11" t="s">
        <v>729</v>
      </c>
      <c r="N14" s="11" t="s">
        <v>729</v>
      </c>
      <c r="O14" s="11" t="s">
        <v>729</v>
      </c>
      <c r="P14" s="11" t="s">
        <v>729</v>
      </c>
      <c r="Q14" s="11" t="s">
        <v>729</v>
      </c>
      <c r="R14" s="11" t="s">
        <v>729</v>
      </c>
      <c r="S14" s="11" t="s">
        <v>729</v>
      </c>
      <c r="T14" s="11" t="s">
        <v>729</v>
      </c>
      <c r="U14" s="11" t="s">
        <v>729</v>
      </c>
      <c r="V14" s="12" t="s">
        <v>729</v>
      </c>
    </row>
    <row r="15" ht="53" customHeight="1" spans="1:22">
      <c r="A15" s="16"/>
      <c r="B15" s="6" t="s">
        <v>729</v>
      </c>
      <c r="C15" s="6" t="s">
        <v>729</v>
      </c>
      <c r="D15" s="18" t="s">
        <v>1279</v>
      </c>
      <c r="E15" s="6" t="s">
        <v>729</v>
      </c>
      <c r="F15" s="11" t="s">
        <v>752</v>
      </c>
      <c r="G15" s="11" t="s">
        <v>752</v>
      </c>
      <c r="H15" s="11" t="s">
        <v>752</v>
      </c>
      <c r="I15" s="11" t="s">
        <v>752</v>
      </c>
      <c r="J15" s="11" t="s">
        <v>729</v>
      </c>
      <c r="K15" s="11" t="s">
        <v>729</v>
      </c>
      <c r="L15" s="11" t="s">
        <v>729</v>
      </c>
      <c r="M15" s="11" t="s">
        <v>729</v>
      </c>
      <c r="N15" s="11" t="s">
        <v>729</v>
      </c>
      <c r="O15" s="11" t="s">
        <v>729</v>
      </c>
      <c r="P15" s="11" t="s">
        <v>729</v>
      </c>
      <c r="Q15" s="11" t="s">
        <v>729</v>
      </c>
      <c r="R15" s="11" t="s">
        <v>729</v>
      </c>
      <c r="S15" s="11" t="s">
        <v>729</v>
      </c>
      <c r="T15" s="11" t="s">
        <v>729</v>
      </c>
      <c r="U15" s="11" t="s">
        <v>729</v>
      </c>
      <c r="V15" s="12" t="s">
        <v>729</v>
      </c>
    </row>
    <row r="16" ht="18" customHeight="1" spans="1:22">
      <c r="A16" s="19" t="s">
        <v>696</v>
      </c>
      <c r="B16" s="20" t="s">
        <v>765</v>
      </c>
      <c r="C16" s="20"/>
      <c r="D16" s="20"/>
      <c r="E16" s="6" t="s">
        <v>729</v>
      </c>
      <c r="F16" s="11" t="s">
        <v>670</v>
      </c>
      <c r="G16" s="11" t="s">
        <v>670</v>
      </c>
      <c r="H16" s="11" t="s">
        <v>670</v>
      </c>
      <c r="I16" s="11" t="s">
        <v>670</v>
      </c>
      <c r="J16" s="11" t="s">
        <v>729</v>
      </c>
      <c r="K16" s="11" t="s">
        <v>729</v>
      </c>
      <c r="L16" s="11" t="s">
        <v>729</v>
      </c>
      <c r="M16" s="11" t="s">
        <v>729</v>
      </c>
      <c r="N16" s="11" t="s">
        <v>729</v>
      </c>
      <c r="O16" s="11" t="s">
        <v>729</v>
      </c>
      <c r="P16" s="11" t="s">
        <v>729</v>
      </c>
      <c r="Q16" s="11" t="s">
        <v>729</v>
      </c>
      <c r="R16" s="11" t="s">
        <v>729</v>
      </c>
      <c r="S16" s="11" t="s">
        <v>729</v>
      </c>
      <c r="T16" s="11" t="s">
        <v>729</v>
      </c>
      <c r="U16" s="11" t="s">
        <v>729</v>
      </c>
      <c r="V16" s="12" t="s">
        <v>729</v>
      </c>
    </row>
    <row r="17" ht="18" customHeight="1" spans="1:22">
      <c r="A17" s="19"/>
      <c r="B17" s="20" t="s">
        <v>698</v>
      </c>
      <c r="C17" s="20"/>
      <c r="D17" s="20"/>
      <c r="E17" s="6" t="s">
        <v>729</v>
      </c>
      <c r="F17" s="11" t="s">
        <v>766</v>
      </c>
      <c r="G17" s="11" t="s">
        <v>766</v>
      </c>
      <c r="H17" s="11" t="s">
        <v>766</v>
      </c>
      <c r="I17" s="11" t="s">
        <v>766</v>
      </c>
      <c r="J17" s="11" t="s">
        <v>729</v>
      </c>
      <c r="K17" s="11" t="s">
        <v>729</v>
      </c>
      <c r="L17" s="11" t="s">
        <v>729</v>
      </c>
      <c r="M17" s="11" t="s">
        <v>729</v>
      </c>
      <c r="N17" s="11" t="s">
        <v>729</v>
      </c>
      <c r="O17" s="11" t="s">
        <v>729</v>
      </c>
      <c r="P17" s="11" t="s">
        <v>729</v>
      </c>
      <c r="Q17" s="11" t="s">
        <v>729</v>
      </c>
      <c r="R17" s="11" t="s">
        <v>729</v>
      </c>
      <c r="S17" s="11" t="s">
        <v>729</v>
      </c>
      <c r="T17" s="11" t="s">
        <v>729</v>
      </c>
      <c r="U17" s="11" t="s">
        <v>729</v>
      </c>
      <c r="V17" s="12" t="s">
        <v>729</v>
      </c>
    </row>
    <row r="18" ht="18" customHeight="1" spans="1:22">
      <c r="A18" s="19"/>
      <c r="B18" s="20" t="s">
        <v>699</v>
      </c>
      <c r="C18" s="20"/>
      <c r="D18" s="20"/>
      <c r="E18" s="6" t="s">
        <v>729</v>
      </c>
      <c r="F18" s="6" t="s">
        <v>729</v>
      </c>
      <c r="G18" s="6" t="s">
        <v>729</v>
      </c>
      <c r="H18" s="6" t="s">
        <v>729</v>
      </c>
      <c r="I18" s="6" t="s">
        <v>729</v>
      </c>
      <c r="J18" s="6" t="s">
        <v>729</v>
      </c>
      <c r="K18" s="6" t="s">
        <v>729</v>
      </c>
      <c r="L18" s="6" t="s">
        <v>729</v>
      </c>
      <c r="M18" s="6" t="s">
        <v>729</v>
      </c>
      <c r="N18" s="6" t="s">
        <v>729</v>
      </c>
      <c r="O18" s="6" t="s">
        <v>729</v>
      </c>
      <c r="P18" s="6" t="s">
        <v>729</v>
      </c>
      <c r="Q18" s="6" t="s">
        <v>729</v>
      </c>
      <c r="R18" s="6" t="s">
        <v>729</v>
      </c>
      <c r="S18" s="6" t="s">
        <v>729</v>
      </c>
      <c r="T18" s="6" t="s">
        <v>729</v>
      </c>
      <c r="U18" s="6" t="s">
        <v>729</v>
      </c>
      <c r="V18" s="8" t="s">
        <v>729</v>
      </c>
    </row>
    <row r="19" ht="18" customHeight="1" spans="1:22">
      <c r="A19" s="19"/>
      <c r="B19" s="21" t="s">
        <v>700</v>
      </c>
      <c r="C19" s="21"/>
      <c r="D19" s="21"/>
      <c r="E19" s="22" t="s">
        <v>729</v>
      </c>
      <c r="F19" s="22" t="s">
        <v>729</v>
      </c>
      <c r="G19" s="22" t="s">
        <v>729</v>
      </c>
      <c r="H19" s="22" t="s">
        <v>729</v>
      </c>
      <c r="I19" s="22" t="s">
        <v>729</v>
      </c>
      <c r="J19" s="22" t="s">
        <v>729</v>
      </c>
      <c r="K19" s="22" t="s">
        <v>729</v>
      </c>
      <c r="L19" s="22" t="s">
        <v>729</v>
      </c>
      <c r="M19" s="22" t="s">
        <v>729</v>
      </c>
      <c r="N19" s="22" t="s">
        <v>729</v>
      </c>
      <c r="O19" s="22" t="s">
        <v>729</v>
      </c>
      <c r="P19" s="22" t="s">
        <v>729</v>
      </c>
      <c r="Q19" s="22" t="s">
        <v>729</v>
      </c>
      <c r="R19" s="22" t="s">
        <v>729</v>
      </c>
      <c r="S19" s="22" t="s">
        <v>729</v>
      </c>
      <c r="T19" s="22" t="s">
        <v>729</v>
      </c>
      <c r="U19" s="22" t="s">
        <v>729</v>
      </c>
      <c r="V19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6:D16"/>
    <mergeCell ref="B17:D17"/>
    <mergeCell ref="B18:D18"/>
    <mergeCell ref="B19:D19"/>
    <mergeCell ref="A7:A11"/>
    <mergeCell ref="A12:A15"/>
    <mergeCell ref="A16:A19"/>
  </mergeCells>
  <dataValidations count="3">
    <dataValidation type="list" allowBlank="1" sqref="F16:V16">
      <formula1>"N,A,B"</formula1>
    </dataValidation>
    <dataValidation type="list" allowBlank="1" sqref="F17:V17">
      <formula1>"P,F"</formula1>
    </dataValidation>
    <dataValidation type="list" allowBlank="1" sqref="F8:V9 F10:V11 F13:V15">
      <formula1>"O,-"</formula1>
    </dataValidation>
  </dataValidations>
  <pageMargins left="0.7" right="0.7" top="0.75" bottom="0.75" header="0.3" footer="0.3"/>
  <pageSetup paperSize="1" orientation="portrait"/>
  <headerFooter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7"/>
  <sheetViews>
    <sheetView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434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440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1280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2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2</v>
      </c>
      <c r="M5" s="11">
        <v>0</v>
      </c>
      <c r="N5" s="11">
        <v>0</v>
      </c>
      <c r="O5" s="12">
        <v>2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687</v>
      </c>
      <c r="H6" s="14" t="s">
        <v>729</v>
      </c>
      <c r="I6" s="14" t="s">
        <v>729</v>
      </c>
      <c r="J6" s="14" t="s">
        <v>729</v>
      </c>
      <c r="K6" s="14" t="s">
        <v>729</v>
      </c>
      <c r="L6" s="14" t="s">
        <v>729</v>
      </c>
      <c r="M6" s="14" t="s">
        <v>729</v>
      </c>
      <c r="N6" s="14" t="s">
        <v>729</v>
      </c>
      <c r="O6" s="14" t="s">
        <v>729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15.5" customHeight="1" spans="1:22">
      <c r="A7" s="16" t="s">
        <v>690</v>
      </c>
      <c r="B7" s="17" t="s">
        <v>1281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15.5" customHeight="1" spans="1:22">
      <c r="A8" s="16"/>
      <c r="B8" s="6" t="s">
        <v>729</v>
      </c>
      <c r="C8" s="6" t="s">
        <v>729</v>
      </c>
      <c r="D8" s="18" t="s">
        <v>1282</v>
      </c>
      <c r="E8" s="6" t="s">
        <v>729</v>
      </c>
      <c r="F8" s="11" t="s">
        <v>752</v>
      </c>
      <c r="G8" s="11" t="s">
        <v>756</v>
      </c>
      <c r="H8" s="11" t="s">
        <v>729</v>
      </c>
      <c r="I8" s="11" t="s">
        <v>729</v>
      </c>
      <c r="J8" s="11" t="s">
        <v>729</v>
      </c>
      <c r="K8" s="11" t="s">
        <v>729</v>
      </c>
      <c r="L8" s="11" t="s">
        <v>729</v>
      </c>
      <c r="M8" s="11" t="s">
        <v>729</v>
      </c>
      <c r="N8" s="11" t="s">
        <v>729</v>
      </c>
      <c r="O8" s="11" t="s">
        <v>729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15.5" customHeight="1" spans="1:22">
      <c r="A9" s="16"/>
      <c r="B9" s="6" t="s">
        <v>729</v>
      </c>
      <c r="C9" s="6" t="s">
        <v>729</v>
      </c>
      <c r="D9" s="18" t="s">
        <v>1283</v>
      </c>
      <c r="E9" s="6" t="s">
        <v>729</v>
      </c>
      <c r="F9" s="11" t="s">
        <v>756</v>
      </c>
      <c r="G9" s="11" t="s">
        <v>752</v>
      </c>
      <c r="H9" s="11" t="s">
        <v>729</v>
      </c>
      <c r="I9" s="11" t="s">
        <v>729</v>
      </c>
      <c r="J9" s="11" t="s">
        <v>729</v>
      </c>
      <c r="K9" s="11" t="s">
        <v>729</v>
      </c>
      <c r="L9" s="11" t="s">
        <v>729</v>
      </c>
      <c r="M9" s="11" t="s">
        <v>729</v>
      </c>
      <c r="N9" s="11" t="s">
        <v>729</v>
      </c>
      <c r="O9" s="11" t="s">
        <v>729</v>
      </c>
      <c r="P9" s="11" t="s">
        <v>729</v>
      </c>
      <c r="Q9" s="11" t="s">
        <v>729</v>
      </c>
      <c r="R9" s="11" t="s">
        <v>729</v>
      </c>
      <c r="S9" s="11" t="s">
        <v>729</v>
      </c>
      <c r="T9" s="11" t="s">
        <v>729</v>
      </c>
      <c r="U9" s="11" t="s">
        <v>729</v>
      </c>
      <c r="V9" s="12" t="s">
        <v>729</v>
      </c>
    </row>
    <row r="10" ht="15.5" customHeight="1" spans="1:22">
      <c r="A10" s="16" t="s">
        <v>692</v>
      </c>
      <c r="B10" s="17" t="s">
        <v>693</v>
      </c>
      <c r="C10" s="6" t="s">
        <v>729</v>
      </c>
      <c r="D10" s="6" t="s">
        <v>729</v>
      </c>
      <c r="E10" s="6" t="s">
        <v>729</v>
      </c>
      <c r="F10" s="6" t="s">
        <v>729</v>
      </c>
      <c r="G10" s="6" t="s">
        <v>729</v>
      </c>
      <c r="H10" s="6" t="s">
        <v>729</v>
      </c>
      <c r="I10" s="6" t="s">
        <v>729</v>
      </c>
      <c r="J10" s="6" t="s">
        <v>729</v>
      </c>
      <c r="K10" s="6" t="s">
        <v>729</v>
      </c>
      <c r="L10" s="6" t="s">
        <v>729</v>
      </c>
      <c r="M10" s="6" t="s">
        <v>729</v>
      </c>
      <c r="N10" s="6" t="s">
        <v>729</v>
      </c>
      <c r="O10" s="6" t="s">
        <v>729</v>
      </c>
      <c r="P10" s="6" t="s">
        <v>729</v>
      </c>
      <c r="Q10" s="6" t="s">
        <v>729</v>
      </c>
      <c r="R10" s="6" t="s">
        <v>729</v>
      </c>
      <c r="S10" s="6" t="s">
        <v>729</v>
      </c>
      <c r="T10" s="6" t="s">
        <v>729</v>
      </c>
      <c r="U10" s="6" t="s">
        <v>729</v>
      </c>
      <c r="V10" s="8" t="s">
        <v>729</v>
      </c>
    </row>
    <row r="11" ht="53" customHeight="1" spans="1:22">
      <c r="A11" s="16"/>
      <c r="B11" s="6" t="s">
        <v>729</v>
      </c>
      <c r="C11" s="6" t="s">
        <v>729</v>
      </c>
      <c r="D11" s="18" t="s">
        <v>1284</v>
      </c>
      <c r="E11" s="6" t="s">
        <v>729</v>
      </c>
      <c r="F11" s="11" t="s">
        <v>752</v>
      </c>
      <c r="G11" s="11" t="s">
        <v>752</v>
      </c>
      <c r="H11" s="11" t="s">
        <v>729</v>
      </c>
      <c r="I11" s="11" t="s">
        <v>729</v>
      </c>
      <c r="J11" s="11" t="s">
        <v>729</v>
      </c>
      <c r="K11" s="11" t="s">
        <v>729</v>
      </c>
      <c r="L11" s="11" t="s">
        <v>729</v>
      </c>
      <c r="M11" s="11" t="s">
        <v>729</v>
      </c>
      <c r="N11" s="11" t="s">
        <v>729</v>
      </c>
      <c r="O11" s="11" t="s">
        <v>729</v>
      </c>
      <c r="P11" s="11" t="s">
        <v>729</v>
      </c>
      <c r="Q11" s="11" t="s">
        <v>729</v>
      </c>
      <c r="R11" s="11" t="s">
        <v>729</v>
      </c>
      <c r="S11" s="11" t="s">
        <v>729</v>
      </c>
      <c r="T11" s="11" t="s">
        <v>729</v>
      </c>
      <c r="U11" s="11" t="s">
        <v>729</v>
      </c>
      <c r="V11" s="12" t="s">
        <v>729</v>
      </c>
    </row>
    <row r="12" ht="90.5" customHeight="1" spans="1:22">
      <c r="A12" s="16"/>
      <c r="B12" s="6" t="s">
        <v>729</v>
      </c>
      <c r="C12" s="6" t="s">
        <v>729</v>
      </c>
      <c r="D12" s="18" t="s">
        <v>1285</v>
      </c>
      <c r="E12" s="6" t="s">
        <v>729</v>
      </c>
      <c r="F12" s="11" t="s">
        <v>752</v>
      </c>
      <c r="G12" s="11" t="s">
        <v>752</v>
      </c>
      <c r="H12" s="11" t="s">
        <v>729</v>
      </c>
      <c r="I12" s="11" t="s">
        <v>729</v>
      </c>
      <c r="J12" s="11" t="s">
        <v>729</v>
      </c>
      <c r="K12" s="11" t="s">
        <v>729</v>
      </c>
      <c r="L12" s="11" t="s">
        <v>729</v>
      </c>
      <c r="M12" s="11" t="s">
        <v>729</v>
      </c>
      <c r="N12" s="11" t="s">
        <v>729</v>
      </c>
      <c r="O12" s="11" t="s">
        <v>729</v>
      </c>
      <c r="P12" s="11" t="s">
        <v>729</v>
      </c>
      <c r="Q12" s="11" t="s">
        <v>729</v>
      </c>
      <c r="R12" s="11" t="s">
        <v>729</v>
      </c>
      <c r="S12" s="11" t="s">
        <v>729</v>
      </c>
      <c r="T12" s="11" t="s">
        <v>729</v>
      </c>
      <c r="U12" s="11" t="s">
        <v>729</v>
      </c>
      <c r="V12" s="12" t="s">
        <v>729</v>
      </c>
    </row>
    <row r="13" ht="90.5" customHeight="1" spans="1:22">
      <c r="A13" s="16"/>
      <c r="B13" s="6" t="s">
        <v>729</v>
      </c>
      <c r="C13" s="6" t="s">
        <v>729</v>
      </c>
      <c r="D13" s="18" t="s">
        <v>1286</v>
      </c>
      <c r="E13" s="6" t="s">
        <v>729</v>
      </c>
      <c r="F13" s="11" t="s">
        <v>756</v>
      </c>
      <c r="G13" s="11" t="s">
        <v>752</v>
      </c>
      <c r="H13" s="11" t="s">
        <v>729</v>
      </c>
      <c r="I13" s="11" t="s">
        <v>729</v>
      </c>
      <c r="J13" s="11" t="s">
        <v>729</v>
      </c>
      <c r="K13" s="11" t="s">
        <v>729</v>
      </c>
      <c r="L13" s="11" t="s">
        <v>729</v>
      </c>
      <c r="M13" s="11" t="s">
        <v>729</v>
      </c>
      <c r="N13" s="11" t="s">
        <v>729</v>
      </c>
      <c r="O13" s="11" t="s">
        <v>729</v>
      </c>
      <c r="P13" s="11" t="s">
        <v>729</v>
      </c>
      <c r="Q13" s="11" t="s">
        <v>729</v>
      </c>
      <c r="R13" s="11" t="s">
        <v>729</v>
      </c>
      <c r="S13" s="11" t="s">
        <v>729</v>
      </c>
      <c r="T13" s="11" t="s">
        <v>729</v>
      </c>
      <c r="U13" s="11" t="s">
        <v>729</v>
      </c>
      <c r="V13" s="12" t="s">
        <v>729</v>
      </c>
    </row>
    <row r="14" ht="18" customHeight="1" spans="1:22">
      <c r="A14" s="19" t="s">
        <v>696</v>
      </c>
      <c r="B14" s="20" t="s">
        <v>765</v>
      </c>
      <c r="C14" s="20"/>
      <c r="D14" s="20"/>
      <c r="E14" s="6" t="s">
        <v>729</v>
      </c>
      <c r="F14" s="11" t="s">
        <v>670</v>
      </c>
      <c r="G14" s="11" t="s">
        <v>670</v>
      </c>
      <c r="H14" s="11" t="s">
        <v>729</v>
      </c>
      <c r="I14" s="11" t="s">
        <v>729</v>
      </c>
      <c r="J14" s="11" t="s">
        <v>729</v>
      </c>
      <c r="K14" s="11" t="s">
        <v>729</v>
      </c>
      <c r="L14" s="11" t="s">
        <v>729</v>
      </c>
      <c r="M14" s="11" t="s">
        <v>729</v>
      </c>
      <c r="N14" s="11" t="s">
        <v>729</v>
      </c>
      <c r="O14" s="11" t="s">
        <v>729</v>
      </c>
      <c r="P14" s="11" t="s">
        <v>729</v>
      </c>
      <c r="Q14" s="11" t="s">
        <v>729</v>
      </c>
      <c r="R14" s="11" t="s">
        <v>729</v>
      </c>
      <c r="S14" s="11" t="s">
        <v>729</v>
      </c>
      <c r="T14" s="11" t="s">
        <v>729</v>
      </c>
      <c r="U14" s="11" t="s">
        <v>729</v>
      </c>
      <c r="V14" s="12" t="s">
        <v>729</v>
      </c>
    </row>
    <row r="15" ht="18" customHeight="1" spans="1:22">
      <c r="A15" s="19"/>
      <c r="B15" s="20" t="s">
        <v>698</v>
      </c>
      <c r="C15" s="20"/>
      <c r="D15" s="20"/>
      <c r="E15" s="6" t="s">
        <v>729</v>
      </c>
      <c r="F15" s="11" t="s">
        <v>766</v>
      </c>
      <c r="G15" s="11" t="s">
        <v>766</v>
      </c>
      <c r="H15" s="11" t="s">
        <v>729</v>
      </c>
      <c r="I15" s="11" t="s">
        <v>729</v>
      </c>
      <c r="J15" s="11" t="s">
        <v>729</v>
      </c>
      <c r="K15" s="11" t="s">
        <v>729</v>
      </c>
      <c r="L15" s="11" t="s">
        <v>729</v>
      </c>
      <c r="M15" s="11" t="s">
        <v>729</v>
      </c>
      <c r="N15" s="11" t="s">
        <v>729</v>
      </c>
      <c r="O15" s="11" t="s">
        <v>729</v>
      </c>
      <c r="P15" s="11" t="s">
        <v>729</v>
      </c>
      <c r="Q15" s="11" t="s">
        <v>729</v>
      </c>
      <c r="R15" s="11" t="s">
        <v>729</v>
      </c>
      <c r="S15" s="11" t="s">
        <v>729</v>
      </c>
      <c r="T15" s="11" t="s">
        <v>729</v>
      </c>
      <c r="U15" s="11" t="s">
        <v>729</v>
      </c>
      <c r="V15" s="12" t="s">
        <v>729</v>
      </c>
    </row>
    <row r="16" ht="18" customHeight="1" spans="1:22">
      <c r="A16" s="19"/>
      <c r="B16" s="20" t="s">
        <v>699</v>
      </c>
      <c r="C16" s="20"/>
      <c r="D16" s="20"/>
      <c r="E16" s="6" t="s">
        <v>729</v>
      </c>
      <c r="F16" s="6" t="s">
        <v>729</v>
      </c>
      <c r="G16" s="6" t="s">
        <v>729</v>
      </c>
      <c r="H16" s="6" t="s">
        <v>729</v>
      </c>
      <c r="I16" s="6" t="s">
        <v>729</v>
      </c>
      <c r="J16" s="6" t="s">
        <v>729</v>
      </c>
      <c r="K16" s="6" t="s">
        <v>729</v>
      </c>
      <c r="L16" s="6" t="s">
        <v>729</v>
      </c>
      <c r="M16" s="6" t="s">
        <v>729</v>
      </c>
      <c r="N16" s="6" t="s">
        <v>729</v>
      </c>
      <c r="O16" s="6" t="s">
        <v>729</v>
      </c>
      <c r="P16" s="6" t="s">
        <v>729</v>
      </c>
      <c r="Q16" s="6" t="s">
        <v>729</v>
      </c>
      <c r="R16" s="6" t="s">
        <v>729</v>
      </c>
      <c r="S16" s="6" t="s">
        <v>729</v>
      </c>
      <c r="T16" s="6" t="s">
        <v>729</v>
      </c>
      <c r="U16" s="6" t="s">
        <v>729</v>
      </c>
      <c r="V16" s="8" t="s">
        <v>729</v>
      </c>
    </row>
    <row r="17" ht="18" customHeight="1" spans="1:22">
      <c r="A17" s="19"/>
      <c r="B17" s="21" t="s">
        <v>700</v>
      </c>
      <c r="C17" s="21"/>
      <c r="D17" s="21"/>
      <c r="E17" s="22" t="s">
        <v>729</v>
      </c>
      <c r="F17" s="22" t="s">
        <v>729</v>
      </c>
      <c r="G17" s="22" t="s">
        <v>729</v>
      </c>
      <c r="H17" s="22" t="s">
        <v>729</v>
      </c>
      <c r="I17" s="22" t="s">
        <v>729</v>
      </c>
      <c r="J17" s="22" t="s">
        <v>729</v>
      </c>
      <c r="K17" s="22" t="s">
        <v>729</v>
      </c>
      <c r="L17" s="22" t="s">
        <v>729</v>
      </c>
      <c r="M17" s="22" t="s">
        <v>729</v>
      </c>
      <c r="N17" s="22" t="s">
        <v>729</v>
      </c>
      <c r="O17" s="22" t="s">
        <v>729</v>
      </c>
      <c r="P17" s="22" t="s">
        <v>729</v>
      </c>
      <c r="Q17" s="22" t="s">
        <v>729</v>
      </c>
      <c r="R17" s="22" t="s">
        <v>729</v>
      </c>
      <c r="S17" s="22" t="s">
        <v>729</v>
      </c>
      <c r="T17" s="22" t="s">
        <v>729</v>
      </c>
      <c r="U17" s="22" t="s">
        <v>729</v>
      </c>
      <c r="V17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4:D14"/>
    <mergeCell ref="B15:D15"/>
    <mergeCell ref="B16:D16"/>
    <mergeCell ref="B17:D17"/>
    <mergeCell ref="A7:A9"/>
    <mergeCell ref="A10:A13"/>
    <mergeCell ref="A14:A17"/>
  </mergeCells>
  <dataValidations count="3">
    <dataValidation type="list" allowBlank="1" sqref="F14:V14">
      <formula1>"N,A,B"</formula1>
    </dataValidation>
    <dataValidation type="list" allowBlank="1" sqref="F15:V15">
      <formula1>"P,F"</formula1>
    </dataValidation>
    <dataValidation type="list" allowBlank="1" sqref="F11:V13 F8:V9">
      <formula1>"O,-"</formula1>
    </dataValidation>
  </dataValidations>
  <pageMargins left="0.7" right="0.7" top="0.75" bottom="0.75" header="0.3" footer="0.3"/>
  <pageSetup paperSize="1" orientation="portrait"/>
  <headerFooter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0"/>
  <sheetViews>
    <sheetView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434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445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1287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4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3</v>
      </c>
      <c r="M5" s="11">
        <v>0</v>
      </c>
      <c r="N5" s="11">
        <v>1</v>
      </c>
      <c r="O5" s="12">
        <v>4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687</v>
      </c>
      <c r="H6" s="14" t="s">
        <v>688</v>
      </c>
      <c r="I6" s="14" t="s">
        <v>689</v>
      </c>
      <c r="J6" s="14" t="s">
        <v>729</v>
      </c>
      <c r="K6" s="14" t="s">
        <v>729</v>
      </c>
      <c r="L6" s="14" t="s">
        <v>729</v>
      </c>
      <c r="M6" s="14" t="s">
        <v>729</v>
      </c>
      <c r="N6" s="14" t="s">
        <v>729</v>
      </c>
      <c r="O6" s="14" t="s">
        <v>729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15.5" customHeight="1" spans="1:22">
      <c r="A7" s="16" t="s">
        <v>690</v>
      </c>
      <c r="B7" s="17" t="s">
        <v>1272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28" customHeight="1" spans="1:22">
      <c r="A8" s="16"/>
      <c r="B8" s="6" t="s">
        <v>729</v>
      </c>
      <c r="C8" s="6" t="s">
        <v>729</v>
      </c>
      <c r="D8" s="18" t="s">
        <v>1288</v>
      </c>
      <c r="E8" s="6" t="s">
        <v>729</v>
      </c>
      <c r="F8" s="11" t="s">
        <v>752</v>
      </c>
      <c r="G8" s="11" t="s">
        <v>756</v>
      </c>
      <c r="H8" s="11" t="s">
        <v>756</v>
      </c>
      <c r="I8" s="11" t="s">
        <v>756</v>
      </c>
      <c r="J8" s="11" t="s">
        <v>729</v>
      </c>
      <c r="K8" s="11" t="s">
        <v>729</v>
      </c>
      <c r="L8" s="11" t="s">
        <v>729</v>
      </c>
      <c r="M8" s="11" t="s">
        <v>729</v>
      </c>
      <c r="N8" s="11" t="s">
        <v>729</v>
      </c>
      <c r="O8" s="11" t="s">
        <v>729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28" customHeight="1" spans="1:22">
      <c r="A9" s="16"/>
      <c r="B9" s="6" t="s">
        <v>729</v>
      </c>
      <c r="C9" s="6" t="s">
        <v>729</v>
      </c>
      <c r="D9" s="18" t="s">
        <v>1289</v>
      </c>
      <c r="E9" s="6" t="s">
        <v>729</v>
      </c>
      <c r="F9" s="11" t="s">
        <v>756</v>
      </c>
      <c r="G9" s="11" t="s">
        <v>752</v>
      </c>
      <c r="H9" s="11" t="s">
        <v>756</v>
      </c>
      <c r="I9" s="11" t="s">
        <v>756</v>
      </c>
      <c r="J9" s="11" t="s">
        <v>729</v>
      </c>
      <c r="K9" s="11" t="s">
        <v>729</v>
      </c>
      <c r="L9" s="11" t="s">
        <v>729</v>
      </c>
      <c r="M9" s="11" t="s">
        <v>729</v>
      </c>
      <c r="N9" s="11" t="s">
        <v>729</v>
      </c>
      <c r="O9" s="11" t="s">
        <v>729</v>
      </c>
      <c r="P9" s="11" t="s">
        <v>729</v>
      </c>
      <c r="Q9" s="11" t="s">
        <v>729</v>
      </c>
      <c r="R9" s="11" t="s">
        <v>729</v>
      </c>
      <c r="S9" s="11" t="s">
        <v>729</v>
      </c>
      <c r="T9" s="11" t="s">
        <v>729</v>
      </c>
      <c r="U9" s="11" t="s">
        <v>729</v>
      </c>
      <c r="V9" s="12" t="s">
        <v>729</v>
      </c>
    </row>
    <row r="10" ht="28" customHeight="1" spans="1:22">
      <c r="A10" s="16"/>
      <c r="B10" s="6" t="s">
        <v>729</v>
      </c>
      <c r="C10" s="6" t="s">
        <v>729</v>
      </c>
      <c r="D10" s="18" t="s">
        <v>1290</v>
      </c>
      <c r="E10" s="6" t="s">
        <v>729</v>
      </c>
      <c r="F10" s="11" t="s">
        <v>756</v>
      </c>
      <c r="G10" s="11" t="s">
        <v>756</v>
      </c>
      <c r="H10" s="11" t="s">
        <v>752</v>
      </c>
      <c r="I10" s="11" t="s">
        <v>756</v>
      </c>
      <c r="J10" s="11" t="s">
        <v>729</v>
      </c>
      <c r="K10" s="11" t="s">
        <v>729</v>
      </c>
      <c r="L10" s="11" t="s">
        <v>729</v>
      </c>
      <c r="M10" s="11" t="s">
        <v>729</v>
      </c>
      <c r="N10" s="11" t="s">
        <v>729</v>
      </c>
      <c r="O10" s="11" t="s">
        <v>729</v>
      </c>
      <c r="P10" s="11" t="s">
        <v>729</v>
      </c>
      <c r="Q10" s="11" t="s">
        <v>729</v>
      </c>
      <c r="R10" s="11" t="s">
        <v>729</v>
      </c>
      <c r="S10" s="11" t="s">
        <v>729</v>
      </c>
      <c r="T10" s="11" t="s">
        <v>729</v>
      </c>
      <c r="U10" s="11" t="s">
        <v>729</v>
      </c>
      <c r="V10" s="12" t="s">
        <v>729</v>
      </c>
    </row>
    <row r="11" ht="28" customHeight="1" spans="1:22">
      <c r="A11" s="16"/>
      <c r="B11" s="6" t="s">
        <v>729</v>
      </c>
      <c r="C11" s="6" t="s">
        <v>729</v>
      </c>
      <c r="D11" s="18" t="s">
        <v>1291</v>
      </c>
      <c r="E11" s="6" t="s">
        <v>729</v>
      </c>
      <c r="F11" s="11" t="s">
        <v>756</v>
      </c>
      <c r="G11" s="11" t="s">
        <v>756</v>
      </c>
      <c r="H11" s="11" t="s">
        <v>756</v>
      </c>
      <c r="I11" s="11" t="s">
        <v>752</v>
      </c>
      <c r="J11" s="11" t="s">
        <v>729</v>
      </c>
      <c r="K11" s="11" t="s">
        <v>729</v>
      </c>
      <c r="L11" s="11" t="s">
        <v>729</v>
      </c>
      <c r="M11" s="11" t="s">
        <v>729</v>
      </c>
      <c r="N11" s="11" t="s">
        <v>729</v>
      </c>
      <c r="O11" s="11" t="s">
        <v>729</v>
      </c>
      <c r="P11" s="11" t="s">
        <v>729</v>
      </c>
      <c r="Q11" s="11" t="s">
        <v>729</v>
      </c>
      <c r="R11" s="11" t="s">
        <v>729</v>
      </c>
      <c r="S11" s="11" t="s">
        <v>729</v>
      </c>
      <c r="T11" s="11" t="s">
        <v>729</v>
      </c>
      <c r="U11" s="11" t="s">
        <v>729</v>
      </c>
      <c r="V11" s="12" t="s">
        <v>729</v>
      </c>
    </row>
    <row r="12" ht="15.5" customHeight="1" spans="1:22">
      <c r="A12" s="16" t="s">
        <v>692</v>
      </c>
      <c r="B12" s="17" t="s">
        <v>693</v>
      </c>
      <c r="C12" s="6" t="s">
        <v>729</v>
      </c>
      <c r="D12" s="6" t="s">
        <v>729</v>
      </c>
      <c r="E12" s="6" t="s">
        <v>729</v>
      </c>
      <c r="F12" s="6" t="s">
        <v>729</v>
      </c>
      <c r="G12" s="6" t="s">
        <v>729</v>
      </c>
      <c r="H12" s="6" t="s">
        <v>729</v>
      </c>
      <c r="I12" s="6" t="s">
        <v>729</v>
      </c>
      <c r="J12" s="6" t="s">
        <v>729</v>
      </c>
      <c r="K12" s="6" t="s">
        <v>729</v>
      </c>
      <c r="L12" s="6" t="s">
        <v>729</v>
      </c>
      <c r="M12" s="6" t="s">
        <v>729</v>
      </c>
      <c r="N12" s="6" t="s">
        <v>729</v>
      </c>
      <c r="O12" s="6" t="s">
        <v>729</v>
      </c>
      <c r="P12" s="6" t="s">
        <v>729</v>
      </c>
      <c r="Q12" s="6" t="s">
        <v>729</v>
      </c>
      <c r="R12" s="6" t="s">
        <v>729</v>
      </c>
      <c r="S12" s="6" t="s">
        <v>729</v>
      </c>
      <c r="T12" s="6" t="s">
        <v>729</v>
      </c>
      <c r="U12" s="6" t="s">
        <v>729</v>
      </c>
      <c r="V12" s="8" t="s">
        <v>729</v>
      </c>
    </row>
    <row r="13" ht="40.5" customHeight="1" spans="1:22">
      <c r="A13" s="16"/>
      <c r="B13" s="6" t="s">
        <v>729</v>
      </c>
      <c r="C13" s="6" t="s">
        <v>729</v>
      </c>
      <c r="D13" s="18" t="s">
        <v>1292</v>
      </c>
      <c r="E13" s="6" t="s">
        <v>729</v>
      </c>
      <c r="F13" s="11" t="s">
        <v>752</v>
      </c>
      <c r="G13" s="11" t="s">
        <v>756</v>
      </c>
      <c r="H13" s="11" t="s">
        <v>756</v>
      </c>
      <c r="I13" s="11" t="s">
        <v>756</v>
      </c>
      <c r="J13" s="11" t="s">
        <v>729</v>
      </c>
      <c r="K13" s="11" t="s">
        <v>729</v>
      </c>
      <c r="L13" s="11" t="s">
        <v>729</v>
      </c>
      <c r="M13" s="11" t="s">
        <v>729</v>
      </c>
      <c r="N13" s="11" t="s">
        <v>729</v>
      </c>
      <c r="O13" s="11" t="s">
        <v>729</v>
      </c>
      <c r="P13" s="11" t="s">
        <v>729</v>
      </c>
      <c r="Q13" s="11" t="s">
        <v>729</v>
      </c>
      <c r="R13" s="11" t="s">
        <v>729</v>
      </c>
      <c r="S13" s="11" t="s">
        <v>729</v>
      </c>
      <c r="T13" s="11" t="s">
        <v>729</v>
      </c>
      <c r="U13" s="11" t="s">
        <v>729</v>
      </c>
      <c r="V13" s="12" t="s">
        <v>729</v>
      </c>
    </row>
    <row r="14" ht="53" customHeight="1" spans="1:22">
      <c r="A14" s="16"/>
      <c r="B14" s="6" t="s">
        <v>729</v>
      </c>
      <c r="C14" s="6" t="s">
        <v>729</v>
      </c>
      <c r="D14" s="18" t="s">
        <v>1293</v>
      </c>
      <c r="E14" s="6" t="s">
        <v>729</v>
      </c>
      <c r="F14" s="11" t="s">
        <v>756</v>
      </c>
      <c r="G14" s="11" t="s">
        <v>752</v>
      </c>
      <c r="H14" s="11" t="s">
        <v>756</v>
      </c>
      <c r="I14" s="11" t="s">
        <v>756</v>
      </c>
      <c r="J14" s="11" t="s">
        <v>729</v>
      </c>
      <c r="K14" s="11" t="s">
        <v>729</v>
      </c>
      <c r="L14" s="11" t="s">
        <v>729</v>
      </c>
      <c r="M14" s="11" t="s">
        <v>729</v>
      </c>
      <c r="N14" s="11" t="s">
        <v>729</v>
      </c>
      <c r="O14" s="11" t="s">
        <v>729</v>
      </c>
      <c r="P14" s="11" t="s">
        <v>729</v>
      </c>
      <c r="Q14" s="11" t="s">
        <v>729</v>
      </c>
      <c r="R14" s="11" t="s">
        <v>729</v>
      </c>
      <c r="S14" s="11" t="s">
        <v>729</v>
      </c>
      <c r="T14" s="11" t="s">
        <v>729</v>
      </c>
      <c r="U14" s="11" t="s">
        <v>729</v>
      </c>
      <c r="V14" s="12" t="s">
        <v>729</v>
      </c>
    </row>
    <row r="15" ht="53" customHeight="1" spans="1:22">
      <c r="A15" s="16"/>
      <c r="B15" s="6" t="s">
        <v>729</v>
      </c>
      <c r="C15" s="6" t="s">
        <v>729</v>
      </c>
      <c r="D15" s="18" t="s">
        <v>1294</v>
      </c>
      <c r="E15" s="6" t="s">
        <v>729</v>
      </c>
      <c r="F15" s="11" t="s">
        <v>756</v>
      </c>
      <c r="G15" s="11" t="s">
        <v>756</v>
      </c>
      <c r="H15" s="11" t="s">
        <v>752</v>
      </c>
      <c r="I15" s="11" t="s">
        <v>752</v>
      </c>
      <c r="J15" s="11" t="s">
        <v>729</v>
      </c>
      <c r="K15" s="11" t="s">
        <v>729</v>
      </c>
      <c r="L15" s="11" t="s">
        <v>729</v>
      </c>
      <c r="M15" s="11" t="s">
        <v>729</v>
      </c>
      <c r="N15" s="11" t="s">
        <v>729</v>
      </c>
      <c r="O15" s="11" t="s">
        <v>729</v>
      </c>
      <c r="P15" s="11" t="s">
        <v>729</v>
      </c>
      <c r="Q15" s="11" t="s">
        <v>729</v>
      </c>
      <c r="R15" s="11" t="s">
        <v>729</v>
      </c>
      <c r="S15" s="11" t="s">
        <v>729</v>
      </c>
      <c r="T15" s="11" t="s">
        <v>729</v>
      </c>
      <c r="U15" s="11" t="s">
        <v>729</v>
      </c>
      <c r="V15" s="12" t="s">
        <v>729</v>
      </c>
    </row>
    <row r="16" ht="65.5" customHeight="1" spans="1:22">
      <c r="A16" s="16"/>
      <c r="B16" s="6" t="s">
        <v>729</v>
      </c>
      <c r="C16" s="6" t="s">
        <v>729</v>
      </c>
      <c r="D16" s="18" t="s">
        <v>1295</v>
      </c>
      <c r="E16" s="6" t="s">
        <v>729</v>
      </c>
      <c r="F16" s="11" t="s">
        <v>752</v>
      </c>
      <c r="G16" s="11" t="s">
        <v>752</v>
      </c>
      <c r="H16" s="11" t="s">
        <v>752</v>
      </c>
      <c r="I16" s="11" t="s">
        <v>752</v>
      </c>
      <c r="J16" s="11" t="s">
        <v>729</v>
      </c>
      <c r="K16" s="11" t="s">
        <v>729</v>
      </c>
      <c r="L16" s="11" t="s">
        <v>729</v>
      </c>
      <c r="M16" s="11" t="s">
        <v>729</v>
      </c>
      <c r="N16" s="11" t="s">
        <v>729</v>
      </c>
      <c r="O16" s="11" t="s">
        <v>729</v>
      </c>
      <c r="P16" s="11" t="s">
        <v>729</v>
      </c>
      <c r="Q16" s="11" t="s">
        <v>729</v>
      </c>
      <c r="R16" s="11" t="s">
        <v>729</v>
      </c>
      <c r="S16" s="11" t="s">
        <v>729</v>
      </c>
      <c r="T16" s="11" t="s">
        <v>729</v>
      </c>
      <c r="U16" s="11" t="s">
        <v>729</v>
      </c>
      <c r="V16" s="12" t="s">
        <v>729</v>
      </c>
    </row>
    <row r="17" ht="18" customHeight="1" spans="1:22">
      <c r="A17" s="19" t="s">
        <v>696</v>
      </c>
      <c r="B17" s="20" t="s">
        <v>765</v>
      </c>
      <c r="C17" s="20"/>
      <c r="D17" s="20"/>
      <c r="E17" s="6" t="s">
        <v>729</v>
      </c>
      <c r="F17" s="11" t="s">
        <v>670</v>
      </c>
      <c r="G17" s="11" t="s">
        <v>670</v>
      </c>
      <c r="H17" s="11" t="s">
        <v>670</v>
      </c>
      <c r="I17" s="11" t="s">
        <v>671</v>
      </c>
      <c r="J17" s="11" t="s">
        <v>729</v>
      </c>
      <c r="K17" s="11" t="s">
        <v>729</v>
      </c>
      <c r="L17" s="11" t="s">
        <v>729</v>
      </c>
      <c r="M17" s="11" t="s">
        <v>729</v>
      </c>
      <c r="N17" s="11" t="s">
        <v>729</v>
      </c>
      <c r="O17" s="11" t="s">
        <v>729</v>
      </c>
      <c r="P17" s="11" t="s">
        <v>729</v>
      </c>
      <c r="Q17" s="11" t="s">
        <v>729</v>
      </c>
      <c r="R17" s="11" t="s">
        <v>729</v>
      </c>
      <c r="S17" s="11" t="s">
        <v>729</v>
      </c>
      <c r="T17" s="11" t="s">
        <v>729</v>
      </c>
      <c r="U17" s="11" t="s">
        <v>729</v>
      </c>
      <c r="V17" s="12" t="s">
        <v>729</v>
      </c>
    </row>
    <row r="18" ht="18" customHeight="1" spans="1:22">
      <c r="A18" s="19"/>
      <c r="B18" s="20" t="s">
        <v>698</v>
      </c>
      <c r="C18" s="20"/>
      <c r="D18" s="20"/>
      <c r="E18" s="6" t="s">
        <v>729</v>
      </c>
      <c r="F18" s="11" t="s">
        <v>766</v>
      </c>
      <c r="G18" s="11" t="s">
        <v>766</v>
      </c>
      <c r="H18" s="11" t="s">
        <v>766</v>
      </c>
      <c r="I18" s="11" t="s">
        <v>766</v>
      </c>
      <c r="J18" s="11" t="s">
        <v>729</v>
      </c>
      <c r="K18" s="11" t="s">
        <v>729</v>
      </c>
      <c r="L18" s="11" t="s">
        <v>729</v>
      </c>
      <c r="M18" s="11" t="s">
        <v>729</v>
      </c>
      <c r="N18" s="11" t="s">
        <v>729</v>
      </c>
      <c r="O18" s="11" t="s">
        <v>729</v>
      </c>
      <c r="P18" s="11" t="s">
        <v>729</v>
      </c>
      <c r="Q18" s="11" t="s">
        <v>729</v>
      </c>
      <c r="R18" s="11" t="s">
        <v>729</v>
      </c>
      <c r="S18" s="11" t="s">
        <v>729</v>
      </c>
      <c r="T18" s="11" t="s">
        <v>729</v>
      </c>
      <c r="U18" s="11" t="s">
        <v>729</v>
      </c>
      <c r="V18" s="12" t="s">
        <v>729</v>
      </c>
    </row>
    <row r="19" ht="18" customHeight="1" spans="1:22">
      <c r="A19" s="19"/>
      <c r="B19" s="20" t="s">
        <v>699</v>
      </c>
      <c r="C19" s="20"/>
      <c r="D19" s="20"/>
      <c r="E19" s="6" t="s">
        <v>729</v>
      </c>
      <c r="F19" s="6" t="s">
        <v>729</v>
      </c>
      <c r="G19" s="6" t="s">
        <v>729</v>
      </c>
      <c r="H19" s="6" t="s">
        <v>729</v>
      </c>
      <c r="I19" s="6" t="s">
        <v>729</v>
      </c>
      <c r="J19" s="6" t="s">
        <v>729</v>
      </c>
      <c r="K19" s="6" t="s">
        <v>729</v>
      </c>
      <c r="L19" s="6" t="s">
        <v>729</v>
      </c>
      <c r="M19" s="6" t="s">
        <v>729</v>
      </c>
      <c r="N19" s="6" t="s">
        <v>729</v>
      </c>
      <c r="O19" s="6" t="s">
        <v>729</v>
      </c>
      <c r="P19" s="6" t="s">
        <v>729</v>
      </c>
      <c r="Q19" s="6" t="s">
        <v>729</v>
      </c>
      <c r="R19" s="6" t="s">
        <v>729</v>
      </c>
      <c r="S19" s="6" t="s">
        <v>729</v>
      </c>
      <c r="T19" s="6" t="s">
        <v>729</v>
      </c>
      <c r="U19" s="6" t="s">
        <v>729</v>
      </c>
      <c r="V19" s="8" t="s">
        <v>729</v>
      </c>
    </row>
    <row r="20" ht="18" customHeight="1" spans="1:22">
      <c r="A20" s="19"/>
      <c r="B20" s="21" t="s">
        <v>700</v>
      </c>
      <c r="C20" s="21"/>
      <c r="D20" s="21"/>
      <c r="E20" s="22" t="s">
        <v>729</v>
      </c>
      <c r="F20" s="22" t="s">
        <v>729</v>
      </c>
      <c r="G20" s="22" t="s">
        <v>729</v>
      </c>
      <c r="H20" s="22" t="s">
        <v>729</v>
      </c>
      <c r="I20" s="22" t="s">
        <v>729</v>
      </c>
      <c r="J20" s="22" t="s">
        <v>729</v>
      </c>
      <c r="K20" s="22" t="s">
        <v>729</v>
      </c>
      <c r="L20" s="22" t="s">
        <v>729</v>
      </c>
      <c r="M20" s="22" t="s">
        <v>729</v>
      </c>
      <c r="N20" s="22" t="s">
        <v>729</v>
      </c>
      <c r="O20" s="22" t="s">
        <v>729</v>
      </c>
      <c r="P20" s="22" t="s">
        <v>729</v>
      </c>
      <c r="Q20" s="22" t="s">
        <v>729</v>
      </c>
      <c r="R20" s="22" t="s">
        <v>729</v>
      </c>
      <c r="S20" s="22" t="s">
        <v>729</v>
      </c>
      <c r="T20" s="22" t="s">
        <v>729</v>
      </c>
      <c r="U20" s="22" t="s">
        <v>729</v>
      </c>
      <c r="V20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7:D17"/>
    <mergeCell ref="B18:D18"/>
    <mergeCell ref="B19:D19"/>
    <mergeCell ref="B20:D20"/>
    <mergeCell ref="A7:A11"/>
    <mergeCell ref="A12:A16"/>
    <mergeCell ref="A17:A20"/>
  </mergeCells>
  <dataValidations count="3">
    <dataValidation type="list" allowBlank="1" sqref="F17:V17">
      <formula1>"N,A,B"</formula1>
    </dataValidation>
    <dataValidation type="list" allowBlank="1" sqref="F18:V18">
      <formula1>"P,F"</formula1>
    </dataValidation>
    <dataValidation type="list" allowBlank="1" sqref="F8:V9 F10:V11 F13:V16">
      <formula1>"O,-"</formula1>
    </dataValidation>
  </dataValidations>
  <pageMargins left="0.7" right="0.7" top="0.75" bottom="0.75" header="0.3" footer="0.3"/>
  <pageSetup paperSize="1" orientation="portrait"/>
  <headerFooter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6"/>
  <sheetViews>
    <sheetView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434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450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1296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2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2</v>
      </c>
      <c r="M5" s="11">
        <v>0</v>
      </c>
      <c r="N5" s="11">
        <v>0</v>
      </c>
      <c r="O5" s="12">
        <v>2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687</v>
      </c>
      <c r="H6" s="14" t="s">
        <v>729</v>
      </c>
      <c r="I6" s="14" t="s">
        <v>729</v>
      </c>
      <c r="J6" s="14" t="s">
        <v>729</v>
      </c>
      <c r="K6" s="14" t="s">
        <v>729</v>
      </c>
      <c r="L6" s="14" t="s">
        <v>729</v>
      </c>
      <c r="M6" s="14" t="s">
        <v>729</v>
      </c>
      <c r="N6" s="14" t="s">
        <v>729</v>
      </c>
      <c r="O6" s="14" t="s">
        <v>729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15.5" customHeight="1" spans="1:22">
      <c r="A7" s="16" t="s">
        <v>690</v>
      </c>
      <c r="B7" s="17" t="s">
        <v>1281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15.5" customHeight="1" spans="1:22">
      <c r="A8" s="16"/>
      <c r="B8" s="6" t="s">
        <v>729</v>
      </c>
      <c r="C8" s="6" t="s">
        <v>729</v>
      </c>
      <c r="D8" s="18" t="s">
        <v>1282</v>
      </c>
      <c r="E8" s="6" t="s">
        <v>729</v>
      </c>
      <c r="F8" s="11" t="s">
        <v>752</v>
      </c>
      <c r="G8" s="11" t="s">
        <v>756</v>
      </c>
      <c r="H8" s="11" t="s">
        <v>729</v>
      </c>
      <c r="I8" s="11" t="s">
        <v>729</v>
      </c>
      <c r="J8" s="11" t="s">
        <v>729</v>
      </c>
      <c r="K8" s="11" t="s">
        <v>729</v>
      </c>
      <c r="L8" s="11" t="s">
        <v>729</v>
      </c>
      <c r="M8" s="11" t="s">
        <v>729</v>
      </c>
      <c r="N8" s="11" t="s">
        <v>729</v>
      </c>
      <c r="O8" s="11" t="s">
        <v>729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15.5" customHeight="1" spans="1:22">
      <c r="A9" s="16"/>
      <c r="B9" s="6" t="s">
        <v>729</v>
      </c>
      <c r="C9" s="6" t="s">
        <v>729</v>
      </c>
      <c r="D9" s="18" t="s">
        <v>1283</v>
      </c>
      <c r="E9" s="6" t="s">
        <v>729</v>
      </c>
      <c r="F9" s="11" t="s">
        <v>756</v>
      </c>
      <c r="G9" s="11" t="s">
        <v>752</v>
      </c>
      <c r="H9" s="11" t="s">
        <v>729</v>
      </c>
      <c r="I9" s="11" t="s">
        <v>729</v>
      </c>
      <c r="J9" s="11" t="s">
        <v>729</v>
      </c>
      <c r="K9" s="11" t="s">
        <v>729</v>
      </c>
      <c r="L9" s="11" t="s">
        <v>729</v>
      </c>
      <c r="M9" s="11" t="s">
        <v>729</v>
      </c>
      <c r="N9" s="11" t="s">
        <v>729</v>
      </c>
      <c r="O9" s="11" t="s">
        <v>729</v>
      </c>
      <c r="P9" s="11" t="s">
        <v>729</v>
      </c>
      <c r="Q9" s="11" t="s">
        <v>729</v>
      </c>
      <c r="R9" s="11" t="s">
        <v>729</v>
      </c>
      <c r="S9" s="11" t="s">
        <v>729</v>
      </c>
      <c r="T9" s="11" t="s">
        <v>729</v>
      </c>
      <c r="U9" s="11" t="s">
        <v>729</v>
      </c>
      <c r="V9" s="12" t="s">
        <v>729</v>
      </c>
    </row>
    <row r="10" ht="15.5" customHeight="1" spans="1:22">
      <c r="A10" s="16" t="s">
        <v>692</v>
      </c>
      <c r="B10" s="17" t="s">
        <v>693</v>
      </c>
      <c r="C10" s="6" t="s">
        <v>729</v>
      </c>
      <c r="D10" s="6" t="s">
        <v>729</v>
      </c>
      <c r="E10" s="6" t="s">
        <v>729</v>
      </c>
      <c r="F10" s="6" t="s">
        <v>729</v>
      </c>
      <c r="G10" s="6" t="s">
        <v>729</v>
      </c>
      <c r="H10" s="6" t="s">
        <v>729</v>
      </c>
      <c r="I10" s="6" t="s">
        <v>729</v>
      </c>
      <c r="J10" s="6" t="s">
        <v>729</v>
      </c>
      <c r="K10" s="6" t="s">
        <v>729</v>
      </c>
      <c r="L10" s="6" t="s">
        <v>729</v>
      </c>
      <c r="M10" s="6" t="s">
        <v>729</v>
      </c>
      <c r="N10" s="6" t="s">
        <v>729</v>
      </c>
      <c r="O10" s="6" t="s">
        <v>729</v>
      </c>
      <c r="P10" s="6" t="s">
        <v>729</v>
      </c>
      <c r="Q10" s="6" t="s">
        <v>729</v>
      </c>
      <c r="R10" s="6" t="s">
        <v>729</v>
      </c>
      <c r="S10" s="6" t="s">
        <v>729</v>
      </c>
      <c r="T10" s="6" t="s">
        <v>729</v>
      </c>
      <c r="U10" s="6" t="s">
        <v>729</v>
      </c>
      <c r="V10" s="8" t="s">
        <v>729</v>
      </c>
    </row>
    <row r="11" ht="90.5" customHeight="1" spans="1:22">
      <c r="A11" s="16"/>
      <c r="B11" s="6" t="s">
        <v>729</v>
      </c>
      <c r="C11" s="6" t="s">
        <v>729</v>
      </c>
      <c r="D11" s="18" t="s">
        <v>1297</v>
      </c>
      <c r="E11" s="6" t="s">
        <v>729</v>
      </c>
      <c r="F11" s="11" t="s">
        <v>752</v>
      </c>
      <c r="G11" s="11" t="s">
        <v>752</v>
      </c>
      <c r="H11" s="11" t="s">
        <v>729</v>
      </c>
      <c r="I11" s="11" t="s">
        <v>729</v>
      </c>
      <c r="J11" s="11" t="s">
        <v>729</v>
      </c>
      <c r="K11" s="11" t="s">
        <v>729</v>
      </c>
      <c r="L11" s="11" t="s">
        <v>729</v>
      </c>
      <c r="M11" s="11" t="s">
        <v>729</v>
      </c>
      <c r="N11" s="11" t="s">
        <v>729</v>
      </c>
      <c r="O11" s="11" t="s">
        <v>729</v>
      </c>
      <c r="P11" s="11" t="s">
        <v>729</v>
      </c>
      <c r="Q11" s="11" t="s">
        <v>729</v>
      </c>
      <c r="R11" s="11" t="s">
        <v>729</v>
      </c>
      <c r="S11" s="11" t="s">
        <v>729</v>
      </c>
      <c r="T11" s="11" t="s">
        <v>729</v>
      </c>
      <c r="U11" s="11" t="s">
        <v>729</v>
      </c>
      <c r="V11" s="12" t="s">
        <v>729</v>
      </c>
    </row>
    <row r="12" ht="53" customHeight="1" spans="1:22">
      <c r="A12" s="16"/>
      <c r="B12" s="6" t="s">
        <v>729</v>
      </c>
      <c r="C12" s="6" t="s">
        <v>729</v>
      </c>
      <c r="D12" s="18" t="s">
        <v>1298</v>
      </c>
      <c r="E12" s="6" t="s">
        <v>729</v>
      </c>
      <c r="F12" s="11" t="s">
        <v>756</v>
      </c>
      <c r="G12" s="11" t="s">
        <v>752</v>
      </c>
      <c r="H12" s="11" t="s">
        <v>729</v>
      </c>
      <c r="I12" s="11" t="s">
        <v>729</v>
      </c>
      <c r="J12" s="11" t="s">
        <v>729</v>
      </c>
      <c r="K12" s="11" t="s">
        <v>729</v>
      </c>
      <c r="L12" s="11" t="s">
        <v>729</v>
      </c>
      <c r="M12" s="11" t="s">
        <v>729</v>
      </c>
      <c r="N12" s="11" t="s">
        <v>729</v>
      </c>
      <c r="O12" s="11" t="s">
        <v>729</v>
      </c>
      <c r="P12" s="11" t="s">
        <v>729</v>
      </c>
      <c r="Q12" s="11" t="s">
        <v>729</v>
      </c>
      <c r="R12" s="11" t="s">
        <v>729</v>
      </c>
      <c r="S12" s="11" t="s">
        <v>729</v>
      </c>
      <c r="T12" s="11" t="s">
        <v>729</v>
      </c>
      <c r="U12" s="11" t="s">
        <v>729</v>
      </c>
      <c r="V12" s="12" t="s">
        <v>729</v>
      </c>
    </row>
    <row r="13" ht="18" customHeight="1" spans="1:22">
      <c r="A13" s="19" t="s">
        <v>696</v>
      </c>
      <c r="B13" s="20" t="s">
        <v>765</v>
      </c>
      <c r="C13" s="20"/>
      <c r="D13" s="20"/>
      <c r="E13" s="6" t="s">
        <v>729</v>
      </c>
      <c r="F13" s="11" t="s">
        <v>670</v>
      </c>
      <c r="G13" s="11" t="s">
        <v>670</v>
      </c>
      <c r="H13" s="11" t="s">
        <v>729</v>
      </c>
      <c r="I13" s="11" t="s">
        <v>729</v>
      </c>
      <c r="J13" s="11" t="s">
        <v>729</v>
      </c>
      <c r="K13" s="11" t="s">
        <v>729</v>
      </c>
      <c r="L13" s="11" t="s">
        <v>729</v>
      </c>
      <c r="M13" s="11" t="s">
        <v>729</v>
      </c>
      <c r="N13" s="11" t="s">
        <v>729</v>
      </c>
      <c r="O13" s="11" t="s">
        <v>729</v>
      </c>
      <c r="P13" s="11" t="s">
        <v>729</v>
      </c>
      <c r="Q13" s="11" t="s">
        <v>729</v>
      </c>
      <c r="R13" s="11" t="s">
        <v>729</v>
      </c>
      <c r="S13" s="11" t="s">
        <v>729</v>
      </c>
      <c r="T13" s="11" t="s">
        <v>729</v>
      </c>
      <c r="U13" s="11" t="s">
        <v>729</v>
      </c>
      <c r="V13" s="12" t="s">
        <v>729</v>
      </c>
    </row>
    <row r="14" ht="18" customHeight="1" spans="1:22">
      <c r="A14" s="19"/>
      <c r="B14" s="20" t="s">
        <v>698</v>
      </c>
      <c r="C14" s="20"/>
      <c r="D14" s="20"/>
      <c r="E14" s="6" t="s">
        <v>729</v>
      </c>
      <c r="F14" s="11" t="s">
        <v>766</v>
      </c>
      <c r="G14" s="11" t="s">
        <v>766</v>
      </c>
      <c r="H14" s="11" t="s">
        <v>729</v>
      </c>
      <c r="I14" s="11" t="s">
        <v>729</v>
      </c>
      <c r="J14" s="11" t="s">
        <v>729</v>
      </c>
      <c r="K14" s="11" t="s">
        <v>729</v>
      </c>
      <c r="L14" s="11" t="s">
        <v>729</v>
      </c>
      <c r="M14" s="11" t="s">
        <v>729</v>
      </c>
      <c r="N14" s="11" t="s">
        <v>729</v>
      </c>
      <c r="O14" s="11" t="s">
        <v>729</v>
      </c>
      <c r="P14" s="11" t="s">
        <v>729</v>
      </c>
      <c r="Q14" s="11" t="s">
        <v>729</v>
      </c>
      <c r="R14" s="11" t="s">
        <v>729</v>
      </c>
      <c r="S14" s="11" t="s">
        <v>729</v>
      </c>
      <c r="T14" s="11" t="s">
        <v>729</v>
      </c>
      <c r="U14" s="11" t="s">
        <v>729</v>
      </c>
      <c r="V14" s="12" t="s">
        <v>729</v>
      </c>
    </row>
    <row r="15" ht="18" customHeight="1" spans="1:22">
      <c r="A15" s="19"/>
      <c r="B15" s="20" t="s">
        <v>699</v>
      </c>
      <c r="C15" s="20"/>
      <c r="D15" s="20"/>
      <c r="E15" s="6" t="s">
        <v>729</v>
      </c>
      <c r="F15" s="6" t="s">
        <v>729</v>
      </c>
      <c r="G15" s="6" t="s">
        <v>729</v>
      </c>
      <c r="H15" s="6" t="s">
        <v>729</v>
      </c>
      <c r="I15" s="6" t="s">
        <v>729</v>
      </c>
      <c r="J15" s="6" t="s">
        <v>729</v>
      </c>
      <c r="K15" s="6" t="s">
        <v>729</v>
      </c>
      <c r="L15" s="6" t="s">
        <v>729</v>
      </c>
      <c r="M15" s="6" t="s">
        <v>729</v>
      </c>
      <c r="N15" s="6" t="s">
        <v>729</v>
      </c>
      <c r="O15" s="6" t="s">
        <v>729</v>
      </c>
      <c r="P15" s="6" t="s">
        <v>729</v>
      </c>
      <c r="Q15" s="6" t="s">
        <v>729</v>
      </c>
      <c r="R15" s="6" t="s">
        <v>729</v>
      </c>
      <c r="S15" s="6" t="s">
        <v>729</v>
      </c>
      <c r="T15" s="6" t="s">
        <v>729</v>
      </c>
      <c r="U15" s="6" t="s">
        <v>729</v>
      </c>
      <c r="V15" s="8" t="s">
        <v>729</v>
      </c>
    </row>
    <row r="16" ht="18" customHeight="1" spans="1:22">
      <c r="A16" s="19"/>
      <c r="B16" s="21" t="s">
        <v>700</v>
      </c>
      <c r="C16" s="21"/>
      <c r="D16" s="21"/>
      <c r="E16" s="22" t="s">
        <v>729</v>
      </c>
      <c r="F16" s="22" t="s">
        <v>729</v>
      </c>
      <c r="G16" s="22" t="s">
        <v>729</v>
      </c>
      <c r="H16" s="22" t="s">
        <v>729</v>
      </c>
      <c r="I16" s="22" t="s">
        <v>729</v>
      </c>
      <c r="J16" s="22" t="s">
        <v>729</v>
      </c>
      <c r="K16" s="22" t="s">
        <v>729</v>
      </c>
      <c r="L16" s="22" t="s">
        <v>729</v>
      </c>
      <c r="M16" s="22" t="s">
        <v>729</v>
      </c>
      <c r="N16" s="22" t="s">
        <v>729</v>
      </c>
      <c r="O16" s="22" t="s">
        <v>729</v>
      </c>
      <c r="P16" s="22" t="s">
        <v>729</v>
      </c>
      <c r="Q16" s="22" t="s">
        <v>729</v>
      </c>
      <c r="R16" s="22" t="s">
        <v>729</v>
      </c>
      <c r="S16" s="22" t="s">
        <v>729</v>
      </c>
      <c r="T16" s="22" t="s">
        <v>729</v>
      </c>
      <c r="U16" s="22" t="s">
        <v>729</v>
      </c>
      <c r="V16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3:D13"/>
    <mergeCell ref="B14:D14"/>
    <mergeCell ref="B15:D15"/>
    <mergeCell ref="B16:D16"/>
    <mergeCell ref="A7:A9"/>
    <mergeCell ref="A10:A12"/>
    <mergeCell ref="A13:A16"/>
  </mergeCells>
  <dataValidations count="3">
    <dataValidation type="list" allowBlank="1" sqref="F13:V13">
      <formula1>"N,A,B"</formula1>
    </dataValidation>
    <dataValidation type="list" allowBlank="1" sqref="F14:V14">
      <formula1>"P,F"</formula1>
    </dataValidation>
    <dataValidation type="list" allowBlank="1" sqref="F11:V12 F8:V9">
      <formula1>"O,-"</formula1>
    </dataValidation>
  </dataValidations>
  <pageMargins left="0.7" right="0.7" top="0.75" bottom="0.75" header="0.3" footer="0.3"/>
  <pageSetup paperSize="1" orientation="portrait"/>
  <headerFooter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8"/>
  <sheetViews>
    <sheetView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434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454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1299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3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2</v>
      </c>
      <c r="M5" s="11">
        <v>0</v>
      </c>
      <c r="N5" s="11">
        <v>1</v>
      </c>
      <c r="O5" s="12">
        <v>3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687</v>
      </c>
      <c r="H6" s="14" t="s">
        <v>688</v>
      </c>
      <c r="I6" s="14" t="s">
        <v>729</v>
      </c>
      <c r="J6" s="14" t="s">
        <v>729</v>
      </c>
      <c r="K6" s="14" t="s">
        <v>729</v>
      </c>
      <c r="L6" s="14" t="s">
        <v>729</v>
      </c>
      <c r="M6" s="14" t="s">
        <v>729</v>
      </c>
      <c r="N6" s="14" t="s">
        <v>729</v>
      </c>
      <c r="O6" s="14" t="s">
        <v>729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15.5" customHeight="1" spans="1:22">
      <c r="A7" s="16" t="s">
        <v>690</v>
      </c>
      <c r="B7" s="17" t="s">
        <v>1272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15.5" customHeight="1" spans="1:22">
      <c r="A8" s="16"/>
      <c r="B8" s="6" t="s">
        <v>729</v>
      </c>
      <c r="C8" s="6" t="s">
        <v>729</v>
      </c>
      <c r="D8" s="18" t="s">
        <v>1300</v>
      </c>
      <c r="E8" s="6" t="s">
        <v>729</v>
      </c>
      <c r="F8" s="11" t="s">
        <v>752</v>
      </c>
      <c r="G8" s="11" t="s">
        <v>756</v>
      </c>
      <c r="H8" s="11" t="s">
        <v>756</v>
      </c>
      <c r="I8" s="11" t="s">
        <v>729</v>
      </c>
      <c r="J8" s="11" t="s">
        <v>729</v>
      </c>
      <c r="K8" s="11" t="s">
        <v>729</v>
      </c>
      <c r="L8" s="11" t="s">
        <v>729</v>
      </c>
      <c r="M8" s="11" t="s">
        <v>729</v>
      </c>
      <c r="N8" s="11" t="s">
        <v>729</v>
      </c>
      <c r="O8" s="11" t="s">
        <v>729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15.5" customHeight="1" spans="1:22">
      <c r="A9" s="16"/>
      <c r="B9" s="6" t="s">
        <v>729</v>
      </c>
      <c r="C9" s="6" t="s">
        <v>729</v>
      </c>
      <c r="D9" s="18" t="s">
        <v>1301</v>
      </c>
      <c r="E9" s="6" t="s">
        <v>729</v>
      </c>
      <c r="F9" s="11" t="s">
        <v>756</v>
      </c>
      <c r="G9" s="11" t="s">
        <v>752</v>
      </c>
      <c r="H9" s="11" t="s">
        <v>756</v>
      </c>
      <c r="I9" s="11" t="s">
        <v>729</v>
      </c>
      <c r="J9" s="11" t="s">
        <v>729</v>
      </c>
      <c r="K9" s="11" t="s">
        <v>729</v>
      </c>
      <c r="L9" s="11" t="s">
        <v>729</v>
      </c>
      <c r="M9" s="11" t="s">
        <v>729</v>
      </c>
      <c r="N9" s="11" t="s">
        <v>729</v>
      </c>
      <c r="O9" s="11" t="s">
        <v>729</v>
      </c>
      <c r="P9" s="11" t="s">
        <v>729</v>
      </c>
      <c r="Q9" s="11" t="s">
        <v>729</v>
      </c>
      <c r="R9" s="11" t="s">
        <v>729</v>
      </c>
      <c r="S9" s="11" t="s">
        <v>729</v>
      </c>
      <c r="T9" s="11" t="s">
        <v>729</v>
      </c>
      <c r="U9" s="11" t="s">
        <v>729</v>
      </c>
      <c r="V9" s="12" t="s">
        <v>729</v>
      </c>
    </row>
    <row r="10" ht="15.5" customHeight="1" spans="1:22">
      <c r="A10" s="16"/>
      <c r="B10" s="6" t="s">
        <v>729</v>
      </c>
      <c r="C10" s="6" t="s">
        <v>729</v>
      </c>
      <c r="D10" s="18" t="s">
        <v>1302</v>
      </c>
      <c r="E10" s="6" t="s">
        <v>729</v>
      </c>
      <c r="F10" s="11" t="s">
        <v>756</v>
      </c>
      <c r="G10" s="11" t="s">
        <v>756</v>
      </c>
      <c r="H10" s="11" t="s">
        <v>752</v>
      </c>
      <c r="I10" s="11" t="s">
        <v>729</v>
      </c>
      <c r="J10" s="11" t="s">
        <v>729</v>
      </c>
      <c r="K10" s="11" t="s">
        <v>729</v>
      </c>
      <c r="L10" s="11" t="s">
        <v>729</v>
      </c>
      <c r="M10" s="11" t="s">
        <v>729</v>
      </c>
      <c r="N10" s="11" t="s">
        <v>729</v>
      </c>
      <c r="O10" s="11" t="s">
        <v>729</v>
      </c>
      <c r="P10" s="11" t="s">
        <v>729</v>
      </c>
      <c r="Q10" s="11" t="s">
        <v>729</v>
      </c>
      <c r="R10" s="11" t="s">
        <v>729</v>
      </c>
      <c r="S10" s="11" t="s">
        <v>729</v>
      </c>
      <c r="T10" s="11" t="s">
        <v>729</v>
      </c>
      <c r="U10" s="11" t="s">
        <v>729</v>
      </c>
      <c r="V10" s="12" t="s">
        <v>729</v>
      </c>
    </row>
    <row r="11" ht="15.5" customHeight="1" spans="1:22">
      <c r="A11" s="16" t="s">
        <v>692</v>
      </c>
      <c r="B11" s="17" t="s">
        <v>693</v>
      </c>
      <c r="C11" s="6" t="s">
        <v>729</v>
      </c>
      <c r="D11" s="6" t="s">
        <v>729</v>
      </c>
      <c r="E11" s="6" t="s">
        <v>729</v>
      </c>
      <c r="F11" s="6" t="s">
        <v>729</v>
      </c>
      <c r="G11" s="6" t="s">
        <v>729</v>
      </c>
      <c r="H11" s="6" t="s">
        <v>729</v>
      </c>
      <c r="I11" s="6" t="s">
        <v>729</v>
      </c>
      <c r="J11" s="6" t="s">
        <v>729</v>
      </c>
      <c r="K11" s="6" t="s">
        <v>729</v>
      </c>
      <c r="L11" s="6" t="s">
        <v>729</v>
      </c>
      <c r="M11" s="6" t="s">
        <v>729</v>
      </c>
      <c r="N11" s="6" t="s">
        <v>729</v>
      </c>
      <c r="O11" s="6" t="s">
        <v>729</v>
      </c>
      <c r="P11" s="6" t="s">
        <v>729</v>
      </c>
      <c r="Q11" s="6" t="s">
        <v>729</v>
      </c>
      <c r="R11" s="6" t="s">
        <v>729</v>
      </c>
      <c r="S11" s="6" t="s">
        <v>729</v>
      </c>
      <c r="T11" s="6" t="s">
        <v>729</v>
      </c>
      <c r="U11" s="6" t="s">
        <v>729</v>
      </c>
      <c r="V11" s="8" t="s">
        <v>729</v>
      </c>
    </row>
    <row r="12" ht="65.5" customHeight="1" spans="1:22">
      <c r="A12" s="16"/>
      <c r="B12" s="6" t="s">
        <v>729</v>
      </c>
      <c r="C12" s="6" t="s">
        <v>729</v>
      </c>
      <c r="D12" s="18" t="s">
        <v>1303</v>
      </c>
      <c r="E12" s="6" t="s">
        <v>729</v>
      </c>
      <c r="F12" s="11" t="s">
        <v>752</v>
      </c>
      <c r="G12" s="11" t="s">
        <v>752</v>
      </c>
      <c r="H12" s="11" t="s">
        <v>752</v>
      </c>
      <c r="I12" s="11" t="s">
        <v>729</v>
      </c>
      <c r="J12" s="11" t="s">
        <v>729</v>
      </c>
      <c r="K12" s="11" t="s">
        <v>729</v>
      </c>
      <c r="L12" s="11" t="s">
        <v>729</v>
      </c>
      <c r="M12" s="11" t="s">
        <v>729</v>
      </c>
      <c r="N12" s="11" t="s">
        <v>729</v>
      </c>
      <c r="O12" s="11" t="s">
        <v>729</v>
      </c>
      <c r="P12" s="11" t="s">
        <v>729</v>
      </c>
      <c r="Q12" s="11" t="s">
        <v>729</v>
      </c>
      <c r="R12" s="11" t="s">
        <v>729</v>
      </c>
      <c r="S12" s="11" t="s">
        <v>729</v>
      </c>
      <c r="T12" s="11" t="s">
        <v>729</v>
      </c>
      <c r="U12" s="11" t="s">
        <v>729</v>
      </c>
      <c r="V12" s="12" t="s">
        <v>729</v>
      </c>
    </row>
    <row r="13" ht="65.5" customHeight="1" spans="1:22">
      <c r="A13" s="16"/>
      <c r="B13" s="6" t="s">
        <v>729</v>
      </c>
      <c r="C13" s="6" t="s">
        <v>729</v>
      </c>
      <c r="D13" s="18" t="s">
        <v>1304</v>
      </c>
      <c r="E13" s="6" t="s">
        <v>729</v>
      </c>
      <c r="F13" s="11" t="s">
        <v>756</v>
      </c>
      <c r="G13" s="11" t="s">
        <v>756</v>
      </c>
      <c r="H13" s="11" t="s">
        <v>752</v>
      </c>
      <c r="I13" s="11" t="s">
        <v>729</v>
      </c>
      <c r="J13" s="11" t="s">
        <v>729</v>
      </c>
      <c r="K13" s="11" t="s">
        <v>729</v>
      </c>
      <c r="L13" s="11" t="s">
        <v>729</v>
      </c>
      <c r="M13" s="11" t="s">
        <v>729</v>
      </c>
      <c r="N13" s="11" t="s">
        <v>729</v>
      </c>
      <c r="O13" s="11" t="s">
        <v>729</v>
      </c>
      <c r="P13" s="11" t="s">
        <v>729</v>
      </c>
      <c r="Q13" s="11" t="s">
        <v>729</v>
      </c>
      <c r="R13" s="11" t="s">
        <v>729</v>
      </c>
      <c r="S13" s="11" t="s">
        <v>729</v>
      </c>
      <c r="T13" s="11" t="s">
        <v>729</v>
      </c>
      <c r="U13" s="11" t="s">
        <v>729</v>
      </c>
      <c r="V13" s="12" t="s">
        <v>729</v>
      </c>
    </row>
    <row r="14" ht="65.5" customHeight="1" spans="1:22">
      <c r="A14" s="16"/>
      <c r="B14" s="6" t="s">
        <v>729</v>
      </c>
      <c r="C14" s="6" t="s">
        <v>729</v>
      </c>
      <c r="D14" s="18" t="s">
        <v>1305</v>
      </c>
      <c r="E14" s="6" t="s">
        <v>729</v>
      </c>
      <c r="F14" s="11" t="s">
        <v>752</v>
      </c>
      <c r="G14" s="11" t="s">
        <v>752</v>
      </c>
      <c r="H14" s="11" t="s">
        <v>752</v>
      </c>
      <c r="I14" s="11" t="s">
        <v>729</v>
      </c>
      <c r="J14" s="11" t="s">
        <v>729</v>
      </c>
      <c r="K14" s="11" t="s">
        <v>729</v>
      </c>
      <c r="L14" s="11" t="s">
        <v>729</v>
      </c>
      <c r="M14" s="11" t="s">
        <v>729</v>
      </c>
      <c r="N14" s="11" t="s">
        <v>729</v>
      </c>
      <c r="O14" s="11" t="s">
        <v>729</v>
      </c>
      <c r="P14" s="11" t="s">
        <v>729</v>
      </c>
      <c r="Q14" s="11" t="s">
        <v>729</v>
      </c>
      <c r="R14" s="11" t="s">
        <v>729</v>
      </c>
      <c r="S14" s="11" t="s">
        <v>729</v>
      </c>
      <c r="T14" s="11" t="s">
        <v>729</v>
      </c>
      <c r="U14" s="11" t="s">
        <v>729</v>
      </c>
      <c r="V14" s="12" t="s">
        <v>729</v>
      </c>
    </row>
    <row r="15" ht="18" customHeight="1" spans="1:22">
      <c r="A15" s="19" t="s">
        <v>696</v>
      </c>
      <c r="B15" s="20" t="s">
        <v>765</v>
      </c>
      <c r="C15" s="20"/>
      <c r="D15" s="20"/>
      <c r="E15" s="6" t="s">
        <v>729</v>
      </c>
      <c r="F15" s="11" t="s">
        <v>670</v>
      </c>
      <c r="G15" s="11" t="s">
        <v>670</v>
      </c>
      <c r="H15" s="11" t="s">
        <v>671</v>
      </c>
      <c r="I15" s="11" t="s">
        <v>729</v>
      </c>
      <c r="J15" s="11" t="s">
        <v>729</v>
      </c>
      <c r="K15" s="11" t="s">
        <v>729</v>
      </c>
      <c r="L15" s="11" t="s">
        <v>729</v>
      </c>
      <c r="M15" s="11" t="s">
        <v>729</v>
      </c>
      <c r="N15" s="11" t="s">
        <v>729</v>
      </c>
      <c r="O15" s="11" t="s">
        <v>729</v>
      </c>
      <c r="P15" s="11" t="s">
        <v>729</v>
      </c>
      <c r="Q15" s="11" t="s">
        <v>729</v>
      </c>
      <c r="R15" s="11" t="s">
        <v>729</v>
      </c>
      <c r="S15" s="11" t="s">
        <v>729</v>
      </c>
      <c r="T15" s="11" t="s">
        <v>729</v>
      </c>
      <c r="U15" s="11" t="s">
        <v>729</v>
      </c>
      <c r="V15" s="12" t="s">
        <v>729</v>
      </c>
    </row>
    <row r="16" ht="18" customHeight="1" spans="1:22">
      <c r="A16" s="19"/>
      <c r="B16" s="20" t="s">
        <v>698</v>
      </c>
      <c r="C16" s="20"/>
      <c r="D16" s="20"/>
      <c r="E16" s="6" t="s">
        <v>729</v>
      </c>
      <c r="F16" s="11" t="s">
        <v>766</v>
      </c>
      <c r="G16" s="11" t="s">
        <v>766</v>
      </c>
      <c r="H16" s="11" t="s">
        <v>766</v>
      </c>
      <c r="I16" s="11" t="s">
        <v>729</v>
      </c>
      <c r="J16" s="11" t="s">
        <v>729</v>
      </c>
      <c r="K16" s="11" t="s">
        <v>729</v>
      </c>
      <c r="L16" s="11" t="s">
        <v>729</v>
      </c>
      <c r="M16" s="11" t="s">
        <v>729</v>
      </c>
      <c r="N16" s="11" t="s">
        <v>729</v>
      </c>
      <c r="O16" s="11" t="s">
        <v>729</v>
      </c>
      <c r="P16" s="11" t="s">
        <v>729</v>
      </c>
      <c r="Q16" s="11" t="s">
        <v>729</v>
      </c>
      <c r="R16" s="11" t="s">
        <v>729</v>
      </c>
      <c r="S16" s="11" t="s">
        <v>729</v>
      </c>
      <c r="T16" s="11" t="s">
        <v>729</v>
      </c>
      <c r="U16" s="11" t="s">
        <v>729</v>
      </c>
      <c r="V16" s="12" t="s">
        <v>729</v>
      </c>
    </row>
    <row r="17" ht="18" customHeight="1" spans="1:22">
      <c r="A17" s="19"/>
      <c r="B17" s="20" t="s">
        <v>699</v>
      </c>
      <c r="C17" s="20"/>
      <c r="D17" s="20"/>
      <c r="E17" s="6" t="s">
        <v>729</v>
      </c>
      <c r="F17" s="6" t="s">
        <v>729</v>
      </c>
      <c r="G17" s="6" t="s">
        <v>729</v>
      </c>
      <c r="H17" s="6" t="s">
        <v>729</v>
      </c>
      <c r="I17" s="6" t="s">
        <v>729</v>
      </c>
      <c r="J17" s="6" t="s">
        <v>729</v>
      </c>
      <c r="K17" s="6" t="s">
        <v>729</v>
      </c>
      <c r="L17" s="6" t="s">
        <v>729</v>
      </c>
      <c r="M17" s="6" t="s">
        <v>729</v>
      </c>
      <c r="N17" s="6" t="s">
        <v>729</v>
      </c>
      <c r="O17" s="6" t="s">
        <v>729</v>
      </c>
      <c r="P17" s="6" t="s">
        <v>729</v>
      </c>
      <c r="Q17" s="6" t="s">
        <v>729</v>
      </c>
      <c r="R17" s="6" t="s">
        <v>729</v>
      </c>
      <c r="S17" s="6" t="s">
        <v>729</v>
      </c>
      <c r="T17" s="6" t="s">
        <v>729</v>
      </c>
      <c r="U17" s="6" t="s">
        <v>729</v>
      </c>
      <c r="V17" s="8" t="s">
        <v>729</v>
      </c>
    </row>
    <row r="18" ht="18" customHeight="1" spans="1:22">
      <c r="A18" s="19"/>
      <c r="B18" s="21" t="s">
        <v>700</v>
      </c>
      <c r="C18" s="21"/>
      <c r="D18" s="21"/>
      <c r="E18" s="22" t="s">
        <v>729</v>
      </c>
      <c r="F18" s="22" t="s">
        <v>729</v>
      </c>
      <c r="G18" s="22" t="s">
        <v>729</v>
      </c>
      <c r="H18" s="22" t="s">
        <v>729</v>
      </c>
      <c r="I18" s="22" t="s">
        <v>729</v>
      </c>
      <c r="J18" s="22" t="s">
        <v>729</v>
      </c>
      <c r="K18" s="22" t="s">
        <v>729</v>
      </c>
      <c r="L18" s="22" t="s">
        <v>729</v>
      </c>
      <c r="M18" s="22" t="s">
        <v>729</v>
      </c>
      <c r="N18" s="22" t="s">
        <v>729</v>
      </c>
      <c r="O18" s="22" t="s">
        <v>729</v>
      </c>
      <c r="P18" s="22" t="s">
        <v>729</v>
      </c>
      <c r="Q18" s="22" t="s">
        <v>729</v>
      </c>
      <c r="R18" s="22" t="s">
        <v>729</v>
      </c>
      <c r="S18" s="22" t="s">
        <v>729</v>
      </c>
      <c r="T18" s="22" t="s">
        <v>729</v>
      </c>
      <c r="U18" s="22" t="s">
        <v>729</v>
      </c>
      <c r="V18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5:D15"/>
    <mergeCell ref="B16:D16"/>
    <mergeCell ref="B17:D17"/>
    <mergeCell ref="B18:D18"/>
    <mergeCell ref="A7:A10"/>
    <mergeCell ref="A11:A14"/>
    <mergeCell ref="A15:A18"/>
  </mergeCells>
  <dataValidations count="3">
    <dataValidation type="list" allowBlank="1" sqref="F10:V10 F12:V14 F8:V9">
      <formula1>"O,-"</formula1>
    </dataValidation>
    <dataValidation type="list" allowBlank="1" sqref="F15:V15">
      <formula1>"N,A,B"</formula1>
    </dataValidation>
    <dataValidation type="list" allowBlank="1" sqref="F16:V16">
      <formula1>"P,F"</formula1>
    </dataValidation>
  </dataValidations>
  <pageMargins left="0.7" right="0.7" top="0.75" bottom="0.75" header="0.3" footer="0.3"/>
  <pageSetup paperSize="1" orientation="portrait"/>
  <headerFooter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6"/>
  <sheetViews>
    <sheetView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434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459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1306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2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2</v>
      </c>
      <c r="M5" s="11">
        <v>0</v>
      </c>
      <c r="N5" s="11">
        <v>0</v>
      </c>
      <c r="O5" s="12">
        <v>2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687</v>
      </c>
      <c r="H6" s="14" t="s">
        <v>729</v>
      </c>
      <c r="I6" s="14" t="s">
        <v>729</v>
      </c>
      <c r="J6" s="14" t="s">
        <v>729</v>
      </c>
      <c r="K6" s="14" t="s">
        <v>729</v>
      </c>
      <c r="L6" s="14" t="s">
        <v>729</v>
      </c>
      <c r="M6" s="14" t="s">
        <v>729</v>
      </c>
      <c r="N6" s="14" t="s">
        <v>729</v>
      </c>
      <c r="O6" s="14" t="s">
        <v>729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15.5" customHeight="1" spans="1:22">
      <c r="A7" s="16" t="s">
        <v>690</v>
      </c>
      <c r="B7" s="17" t="s">
        <v>1281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15.5" customHeight="1" spans="1:22">
      <c r="A8" s="16"/>
      <c r="B8" s="6" t="s">
        <v>729</v>
      </c>
      <c r="C8" s="6" t="s">
        <v>729</v>
      </c>
      <c r="D8" s="18" t="s">
        <v>1282</v>
      </c>
      <c r="E8" s="6" t="s">
        <v>729</v>
      </c>
      <c r="F8" s="11" t="s">
        <v>752</v>
      </c>
      <c r="G8" s="11" t="s">
        <v>756</v>
      </c>
      <c r="H8" s="11" t="s">
        <v>729</v>
      </c>
      <c r="I8" s="11" t="s">
        <v>729</v>
      </c>
      <c r="J8" s="11" t="s">
        <v>729</v>
      </c>
      <c r="K8" s="11" t="s">
        <v>729</v>
      </c>
      <c r="L8" s="11" t="s">
        <v>729</v>
      </c>
      <c r="M8" s="11" t="s">
        <v>729</v>
      </c>
      <c r="N8" s="11" t="s">
        <v>729</v>
      </c>
      <c r="O8" s="11" t="s">
        <v>729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15.5" customHeight="1" spans="1:22">
      <c r="A9" s="16"/>
      <c r="B9" s="6" t="s">
        <v>729</v>
      </c>
      <c r="C9" s="6" t="s">
        <v>729</v>
      </c>
      <c r="D9" s="18" t="s">
        <v>1283</v>
      </c>
      <c r="E9" s="6" t="s">
        <v>729</v>
      </c>
      <c r="F9" s="11" t="s">
        <v>756</v>
      </c>
      <c r="G9" s="11" t="s">
        <v>752</v>
      </c>
      <c r="H9" s="11" t="s">
        <v>729</v>
      </c>
      <c r="I9" s="11" t="s">
        <v>729</v>
      </c>
      <c r="J9" s="11" t="s">
        <v>729</v>
      </c>
      <c r="K9" s="11" t="s">
        <v>729</v>
      </c>
      <c r="L9" s="11" t="s">
        <v>729</v>
      </c>
      <c r="M9" s="11" t="s">
        <v>729</v>
      </c>
      <c r="N9" s="11" t="s">
        <v>729</v>
      </c>
      <c r="O9" s="11" t="s">
        <v>729</v>
      </c>
      <c r="P9" s="11" t="s">
        <v>729</v>
      </c>
      <c r="Q9" s="11" t="s">
        <v>729</v>
      </c>
      <c r="R9" s="11" t="s">
        <v>729</v>
      </c>
      <c r="S9" s="11" t="s">
        <v>729</v>
      </c>
      <c r="T9" s="11" t="s">
        <v>729</v>
      </c>
      <c r="U9" s="11" t="s">
        <v>729</v>
      </c>
      <c r="V9" s="12" t="s">
        <v>729</v>
      </c>
    </row>
    <row r="10" ht="15.5" customHeight="1" spans="1:22">
      <c r="A10" s="16" t="s">
        <v>692</v>
      </c>
      <c r="B10" s="17" t="s">
        <v>693</v>
      </c>
      <c r="C10" s="6" t="s">
        <v>729</v>
      </c>
      <c r="D10" s="6" t="s">
        <v>729</v>
      </c>
      <c r="E10" s="6" t="s">
        <v>729</v>
      </c>
      <c r="F10" s="6" t="s">
        <v>729</v>
      </c>
      <c r="G10" s="6" t="s">
        <v>729</v>
      </c>
      <c r="H10" s="6" t="s">
        <v>729</v>
      </c>
      <c r="I10" s="6" t="s">
        <v>729</v>
      </c>
      <c r="J10" s="6" t="s">
        <v>729</v>
      </c>
      <c r="K10" s="6" t="s">
        <v>729</v>
      </c>
      <c r="L10" s="6" t="s">
        <v>729</v>
      </c>
      <c r="M10" s="6" t="s">
        <v>729</v>
      </c>
      <c r="N10" s="6" t="s">
        <v>729</v>
      </c>
      <c r="O10" s="6" t="s">
        <v>729</v>
      </c>
      <c r="P10" s="6" t="s">
        <v>729</v>
      </c>
      <c r="Q10" s="6" t="s">
        <v>729</v>
      </c>
      <c r="R10" s="6" t="s">
        <v>729</v>
      </c>
      <c r="S10" s="6" t="s">
        <v>729</v>
      </c>
      <c r="T10" s="6" t="s">
        <v>729</v>
      </c>
      <c r="U10" s="6" t="s">
        <v>729</v>
      </c>
      <c r="V10" s="8" t="s">
        <v>729</v>
      </c>
    </row>
    <row r="11" ht="78" customHeight="1" spans="1:22">
      <c r="A11" s="16"/>
      <c r="B11" s="6" t="s">
        <v>729</v>
      </c>
      <c r="C11" s="6" t="s">
        <v>729</v>
      </c>
      <c r="D11" s="18" t="s">
        <v>1307</v>
      </c>
      <c r="E11" s="6" t="s">
        <v>729</v>
      </c>
      <c r="F11" s="11" t="s">
        <v>752</v>
      </c>
      <c r="G11" s="11" t="s">
        <v>752</v>
      </c>
      <c r="H11" s="11" t="s">
        <v>729</v>
      </c>
      <c r="I11" s="11" t="s">
        <v>729</v>
      </c>
      <c r="J11" s="11" t="s">
        <v>729</v>
      </c>
      <c r="K11" s="11" t="s">
        <v>729</v>
      </c>
      <c r="L11" s="11" t="s">
        <v>729</v>
      </c>
      <c r="M11" s="11" t="s">
        <v>729</v>
      </c>
      <c r="N11" s="11" t="s">
        <v>729</v>
      </c>
      <c r="O11" s="11" t="s">
        <v>729</v>
      </c>
      <c r="P11" s="11" t="s">
        <v>729</v>
      </c>
      <c r="Q11" s="11" t="s">
        <v>729</v>
      </c>
      <c r="R11" s="11" t="s">
        <v>729</v>
      </c>
      <c r="S11" s="11" t="s">
        <v>729</v>
      </c>
      <c r="T11" s="11" t="s">
        <v>729</v>
      </c>
      <c r="U11" s="11" t="s">
        <v>729</v>
      </c>
      <c r="V11" s="12" t="s">
        <v>729</v>
      </c>
    </row>
    <row r="12" ht="53" customHeight="1" spans="1:22">
      <c r="A12" s="16"/>
      <c r="B12" s="6" t="s">
        <v>729</v>
      </c>
      <c r="C12" s="6" t="s">
        <v>729</v>
      </c>
      <c r="D12" s="18" t="s">
        <v>1298</v>
      </c>
      <c r="E12" s="6" t="s">
        <v>729</v>
      </c>
      <c r="F12" s="11" t="s">
        <v>756</v>
      </c>
      <c r="G12" s="11" t="s">
        <v>752</v>
      </c>
      <c r="H12" s="11" t="s">
        <v>729</v>
      </c>
      <c r="I12" s="11" t="s">
        <v>729</v>
      </c>
      <c r="J12" s="11" t="s">
        <v>729</v>
      </c>
      <c r="K12" s="11" t="s">
        <v>729</v>
      </c>
      <c r="L12" s="11" t="s">
        <v>729</v>
      </c>
      <c r="M12" s="11" t="s">
        <v>729</v>
      </c>
      <c r="N12" s="11" t="s">
        <v>729</v>
      </c>
      <c r="O12" s="11" t="s">
        <v>729</v>
      </c>
      <c r="P12" s="11" t="s">
        <v>729</v>
      </c>
      <c r="Q12" s="11" t="s">
        <v>729</v>
      </c>
      <c r="R12" s="11" t="s">
        <v>729</v>
      </c>
      <c r="S12" s="11" t="s">
        <v>729</v>
      </c>
      <c r="T12" s="11" t="s">
        <v>729</v>
      </c>
      <c r="U12" s="11" t="s">
        <v>729</v>
      </c>
      <c r="V12" s="12" t="s">
        <v>729</v>
      </c>
    </row>
    <row r="13" ht="18" customHeight="1" spans="1:22">
      <c r="A13" s="19" t="s">
        <v>696</v>
      </c>
      <c r="B13" s="20" t="s">
        <v>765</v>
      </c>
      <c r="C13" s="20"/>
      <c r="D13" s="20"/>
      <c r="E13" s="6" t="s">
        <v>729</v>
      </c>
      <c r="F13" s="11" t="s">
        <v>670</v>
      </c>
      <c r="G13" s="11" t="s">
        <v>670</v>
      </c>
      <c r="H13" s="11" t="s">
        <v>729</v>
      </c>
      <c r="I13" s="11" t="s">
        <v>729</v>
      </c>
      <c r="J13" s="11" t="s">
        <v>729</v>
      </c>
      <c r="K13" s="11" t="s">
        <v>729</v>
      </c>
      <c r="L13" s="11" t="s">
        <v>729</v>
      </c>
      <c r="M13" s="11" t="s">
        <v>729</v>
      </c>
      <c r="N13" s="11" t="s">
        <v>729</v>
      </c>
      <c r="O13" s="11" t="s">
        <v>729</v>
      </c>
      <c r="P13" s="11" t="s">
        <v>729</v>
      </c>
      <c r="Q13" s="11" t="s">
        <v>729</v>
      </c>
      <c r="R13" s="11" t="s">
        <v>729</v>
      </c>
      <c r="S13" s="11" t="s">
        <v>729</v>
      </c>
      <c r="T13" s="11" t="s">
        <v>729</v>
      </c>
      <c r="U13" s="11" t="s">
        <v>729</v>
      </c>
      <c r="V13" s="12" t="s">
        <v>729</v>
      </c>
    </row>
    <row r="14" ht="18" customHeight="1" spans="1:22">
      <c r="A14" s="19"/>
      <c r="B14" s="20" t="s">
        <v>698</v>
      </c>
      <c r="C14" s="20"/>
      <c r="D14" s="20"/>
      <c r="E14" s="6" t="s">
        <v>729</v>
      </c>
      <c r="F14" s="11" t="s">
        <v>766</v>
      </c>
      <c r="G14" s="11" t="s">
        <v>766</v>
      </c>
      <c r="H14" s="11" t="s">
        <v>729</v>
      </c>
      <c r="I14" s="11" t="s">
        <v>729</v>
      </c>
      <c r="J14" s="11" t="s">
        <v>729</v>
      </c>
      <c r="K14" s="11" t="s">
        <v>729</v>
      </c>
      <c r="L14" s="11" t="s">
        <v>729</v>
      </c>
      <c r="M14" s="11" t="s">
        <v>729</v>
      </c>
      <c r="N14" s="11" t="s">
        <v>729</v>
      </c>
      <c r="O14" s="11" t="s">
        <v>729</v>
      </c>
      <c r="P14" s="11" t="s">
        <v>729</v>
      </c>
      <c r="Q14" s="11" t="s">
        <v>729</v>
      </c>
      <c r="R14" s="11" t="s">
        <v>729</v>
      </c>
      <c r="S14" s="11" t="s">
        <v>729</v>
      </c>
      <c r="T14" s="11" t="s">
        <v>729</v>
      </c>
      <c r="U14" s="11" t="s">
        <v>729</v>
      </c>
      <c r="V14" s="12" t="s">
        <v>729</v>
      </c>
    </row>
    <row r="15" ht="18" customHeight="1" spans="1:22">
      <c r="A15" s="19"/>
      <c r="B15" s="20" t="s">
        <v>699</v>
      </c>
      <c r="C15" s="20"/>
      <c r="D15" s="20"/>
      <c r="E15" s="6" t="s">
        <v>729</v>
      </c>
      <c r="F15" s="6" t="s">
        <v>729</v>
      </c>
      <c r="G15" s="6" t="s">
        <v>729</v>
      </c>
      <c r="H15" s="6" t="s">
        <v>729</v>
      </c>
      <c r="I15" s="6" t="s">
        <v>729</v>
      </c>
      <c r="J15" s="6" t="s">
        <v>729</v>
      </c>
      <c r="K15" s="6" t="s">
        <v>729</v>
      </c>
      <c r="L15" s="6" t="s">
        <v>729</v>
      </c>
      <c r="M15" s="6" t="s">
        <v>729</v>
      </c>
      <c r="N15" s="6" t="s">
        <v>729</v>
      </c>
      <c r="O15" s="6" t="s">
        <v>729</v>
      </c>
      <c r="P15" s="6" t="s">
        <v>729</v>
      </c>
      <c r="Q15" s="6" t="s">
        <v>729</v>
      </c>
      <c r="R15" s="6" t="s">
        <v>729</v>
      </c>
      <c r="S15" s="6" t="s">
        <v>729</v>
      </c>
      <c r="T15" s="6" t="s">
        <v>729</v>
      </c>
      <c r="U15" s="6" t="s">
        <v>729</v>
      </c>
      <c r="V15" s="8" t="s">
        <v>729</v>
      </c>
    </row>
    <row r="16" ht="18" customHeight="1" spans="1:22">
      <c r="A16" s="19"/>
      <c r="B16" s="21" t="s">
        <v>700</v>
      </c>
      <c r="C16" s="21"/>
      <c r="D16" s="21"/>
      <c r="E16" s="22" t="s">
        <v>729</v>
      </c>
      <c r="F16" s="22" t="s">
        <v>729</v>
      </c>
      <c r="G16" s="22" t="s">
        <v>729</v>
      </c>
      <c r="H16" s="22" t="s">
        <v>729</v>
      </c>
      <c r="I16" s="22" t="s">
        <v>729</v>
      </c>
      <c r="J16" s="22" t="s">
        <v>729</v>
      </c>
      <c r="K16" s="22" t="s">
        <v>729</v>
      </c>
      <c r="L16" s="22" t="s">
        <v>729</v>
      </c>
      <c r="M16" s="22" t="s">
        <v>729</v>
      </c>
      <c r="N16" s="22" t="s">
        <v>729</v>
      </c>
      <c r="O16" s="22" t="s">
        <v>729</v>
      </c>
      <c r="P16" s="22" t="s">
        <v>729</v>
      </c>
      <c r="Q16" s="22" t="s">
        <v>729</v>
      </c>
      <c r="R16" s="22" t="s">
        <v>729</v>
      </c>
      <c r="S16" s="22" t="s">
        <v>729</v>
      </c>
      <c r="T16" s="22" t="s">
        <v>729</v>
      </c>
      <c r="U16" s="22" t="s">
        <v>729</v>
      </c>
      <c r="V16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3:D13"/>
    <mergeCell ref="B14:D14"/>
    <mergeCell ref="B15:D15"/>
    <mergeCell ref="B16:D16"/>
    <mergeCell ref="A7:A9"/>
    <mergeCell ref="A10:A12"/>
    <mergeCell ref="A13:A16"/>
  </mergeCells>
  <dataValidations count="3">
    <dataValidation type="list" allowBlank="1" sqref="F13:V13">
      <formula1>"N,A,B"</formula1>
    </dataValidation>
    <dataValidation type="list" allowBlank="1" sqref="F14:V14">
      <formula1>"P,F"</formula1>
    </dataValidation>
    <dataValidation type="list" allowBlank="1" sqref="F11:V12 F8:V9">
      <formula1>"O,-"</formula1>
    </dataValidation>
  </dataValidations>
  <pageMargins left="0.7" right="0.7" top="0.75" bottom="0.75" header="0.3" footer="0.3"/>
  <pageSetup paperSize="1" orientation="portrait"/>
  <headerFooter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9"/>
  <sheetViews>
    <sheetView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434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463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1308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4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2</v>
      </c>
      <c r="M5" s="11">
        <v>0</v>
      </c>
      <c r="N5" s="11">
        <v>2</v>
      </c>
      <c r="O5" s="12">
        <v>4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687</v>
      </c>
      <c r="H6" s="14" t="s">
        <v>688</v>
      </c>
      <c r="I6" s="14" t="s">
        <v>689</v>
      </c>
      <c r="J6" s="14" t="s">
        <v>729</v>
      </c>
      <c r="K6" s="14" t="s">
        <v>729</v>
      </c>
      <c r="L6" s="14" t="s">
        <v>729</v>
      </c>
      <c r="M6" s="14" t="s">
        <v>729</v>
      </c>
      <c r="N6" s="14" t="s">
        <v>729</v>
      </c>
      <c r="O6" s="14" t="s">
        <v>729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15.5" customHeight="1" spans="1:22">
      <c r="A7" s="16" t="s">
        <v>690</v>
      </c>
      <c r="B7" s="17" t="s">
        <v>1023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40.5" customHeight="1" spans="1:22">
      <c r="A8" s="16"/>
      <c r="B8" s="6" t="s">
        <v>729</v>
      </c>
      <c r="C8" s="6" t="s">
        <v>729</v>
      </c>
      <c r="D8" s="18" t="s">
        <v>1309</v>
      </c>
      <c r="E8" s="6" t="s">
        <v>729</v>
      </c>
      <c r="F8" s="11" t="s">
        <v>752</v>
      </c>
      <c r="G8" s="11" t="s">
        <v>756</v>
      </c>
      <c r="H8" s="11" t="s">
        <v>756</v>
      </c>
      <c r="I8" s="11" t="s">
        <v>756</v>
      </c>
      <c r="J8" s="11" t="s">
        <v>729</v>
      </c>
      <c r="K8" s="11" t="s">
        <v>729</v>
      </c>
      <c r="L8" s="11" t="s">
        <v>729</v>
      </c>
      <c r="M8" s="11" t="s">
        <v>729</v>
      </c>
      <c r="N8" s="11" t="s">
        <v>729</v>
      </c>
      <c r="O8" s="11" t="s">
        <v>729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40.5" customHeight="1" spans="1:22">
      <c r="A9" s="16"/>
      <c r="B9" s="6" t="s">
        <v>729</v>
      </c>
      <c r="C9" s="6" t="s">
        <v>729</v>
      </c>
      <c r="D9" s="18" t="s">
        <v>1310</v>
      </c>
      <c r="E9" s="6" t="s">
        <v>729</v>
      </c>
      <c r="F9" s="11" t="s">
        <v>756</v>
      </c>
      <c r="G9" s="11" t="s">
        <v>752</v>
      </c>
      <c r="H9" s="11" t="s">
        <v>756</v>
      </c>
      <c r="I9" s="11" t="s">
        <v>756</v>
      </c>
      <c r="J9" s="11" t="s">
        <v>729</v>
      </c>
      <c r="K9" s="11" t="s">
        <v>729</v>
      </c>
      <c r="L9" s="11" t="s">
        <v>729</v>
      </c>
      <c r="M9" s="11" t="s">
        <v>729</v>
      </c>
      <c r="N9" s="11" t="s">
        <v>729</v>
      </c>
      <c r="O9" s="11" t="s">
        <v>729</v>
      </c>
      <c r="P9" s="11" t="s">
        <v>729</v>
      </c>
      <c r="Q9" s="11" t="s">
        <v>729</v>
      </c>
      <c r="R9" s="11" t="s">
        <v>729</v>
      </c>
      <c r="S9" s="11" t="s">
        <v>729</v>
      </c>
      <c r="T9" s="11" t="s">
        <v>729</v>
      </c>
      <c r="U9" s="11" t="s">
        <v>729</v>
      </c>
      <c r="V9" s="12" t="s">
        <v>729</v>
      </c>
    </row>
    <row r="10" ht="40.5" customHeight="1" spans="1:22">
      <c r="A10" s="16"/>
      <c r="B10" s="6" t="s">
        <v>729</v>
      </c>
      <c r="C10" s="6" t="s">
        <v>729</v>
      </c>
      <c r="D10" s="18" t="s">
        <v>1311</v>
      </c>
      <c r="E10" s="6" t="s">
        <v>729</v>
      </c>
      <c r="F10" s="11" t="s">
        <v>756</v>
      </c>
      <c r="G10" s="11" t="s">
        <v>756</v>
      </c>
      <c r="H10" s="11" t="s">
        <v>752</v>
      </c>
      <c r="I10" s="11" t="s">
        <v>756</v>
      </c>
      <c r="J10" s="11" t="s">
        <v>729</v>
      </c>
      <c r="K10" s="11" t="s">
        <v>729</v>
      </c>
      <c r="L10" s="11" t="s">
        <v>729</v>
      </c>
      <c r="M10" s="11" t="s">
        <v>729</v>
      </c>
      <c r="N10" s="11" t="s">
        <v>729</v>
      </c>
      <c r="O10" s="11" t="s">
        <v>729</v>
      </c>
      <c r="P10" s="11" t="s">
        <v>729</v>
      </c>
      <c r="Q10" s="11" t="s">
        <v>729</v>
      </c>
      <c r="R10" s="11" t="s">
        <v>729</v>
      </c>
      <c r="S10" s="11" t="s">
        <v>729</v>
      </c>
      <c r="T10" s="11" t="s">
        <v>729</v>
      </c>
      <c r="U10" s="11" t="s">
        <v>729</v>
      </c>
      <c r="V10" s="12" t="s">
        <v>729</v>
      </c>
    </row>
    <row r="11" ht="40.5" customHeight="1" spans="1:22">
      <c r="A11" s="16"/>
      <c r="B11" s="6" t="s">
        <v>729</v>
      </c>
      <c r="C11" s="6" t="s">
        <v>729</v>
      </c>
      <c r="D11" s="18" t="s">
        <v>1312</v>
      </c>
      <c r="E11" s="6" t="s">
        <v>729</v>
      </c>
      <c r="F11" s="11" t="s">
        <v>756</v>
      </c>
      <c r="G11" s="11" t="s">
        <v>756</v>
      </c>
      <c r="H11" s="11" t="s">
        <v>756</v>
      </c>
      <c r="I11" s="11" t="s">
        <v>752</v>
      </c>
      <c r="J11" s="11" t="s">
        <v>729</v>
      </c>
      <c r="K11" s="11" t="s">
        <v>729</v>
      </c>
      <c r="L11" s="11" t="s">
        <v>729</v>
      </c>
      <c r="M11" s="11" t="s">
        <v>729</v>
      </c>
      <c r="N11" s="11" t="s">
        <v>729</v>
      </c>
      <c r="O11" s="11" t="s">
        <v>729</v>
      </c>
      <c r="P11" s="11" t="s">
        <v>729</v>
      </c>
      <c r="Q11" s="11" t="s">
        <v>729</v>
      </c>
      <c r="R11" s="11" t="s">
        <v>729</v>
      </c>
      <c r="S11" s="11" t="s">
        <v>729</v>
      </c>
      <c r="T11" s="11" t="s">
        <v>729</v>
      </c>
      <c r="U11" s="11" t="s">
        <v>729</v>
      </c>
      <c r="V11" s="12" t="s">
        <v>729</v>
      </c>
    </row>
    <row r="12" ht="15.5" customHeight="1" spans="1:22">
      <c r="A12" s="16" t="s">
        <v>692</v>
      </c>
      <c r="B12" s="17" t="s">
        <v>693</v>
      </c>
      <c r="C12" s="6" t="s">
        <v>729</v>
      </c>
      <c r="D12" s="6" t="s">
        <v>729</v>
      </c>
      <c r="E12" s="6" t="s">
        <v>729</v>
      </c>
      <c r="F12" s="6" t="s">
        <v>729</v>
      </c>
      <c r="G12" s="6" t="s">
        <v>729</v>
      </c>
      <c r="H12" s="6" t="s">
        <v>729</v>
      </c>
      <c r="I12" s="6" t="s">
        <v>729</v>
      </c>
      <c r="J12" s="6" t="s">
        <v>729</v>
      </c>
      <c r="K12" s="6" t="s">
        <v>729</v>
      </c>
      <c r="L12" s="6" t="s">
        <v>729</v>
      </c>
      <c r="M12" s="6" t="s">
        <v>729</v>
      </c>
      <c r="N12" s="6" t="s">
        <v>729</v>
      </c>
      <c r="O12" s="6" t="s">
        <v>729</v>
      </c>
      <c r="P12" s="6" t="s">
        <v>729</v>
      </c>
      <c r="Q12" s="6" t="s">
        <v>729</v>
      </c>
      <c r="R12" s="6" t="s">
        <v>729</v>
      </c>
      <c r="S12" s="6" t="s">
        <v>729</v>
      </c>
      <c r="T12" s="6" t="s">
        <v>729</v>
      </c>
      <c r="U12" s="6" t="s">
        <v>729</v>
      </c>
      <c r="V12" s="8" t="s">
        <v>729</v>
      </c>
    </row>
    <row r="13" ht="78" customHeight="1" spans="1:22">
      <c r="A13" s="16"/>
      <c r="B13" s="6" t="s">
        <v>729</v>
      </c>
      <c r="C13" s="6" t="s">
        <v>729</v>
      </c>
      <c r="D13" s="18" t="s">
        <v>1313</v>
      </c>
      <c r="E13" s="6" t="s">
        <v>729</v>
      </c>
      <c r="F13" s="11" t="s">
        <v>752</v>
      </c>
      <c r="G13" s="11" t="s">
        <v>752</v>
      </c>
      <c r="H13" s="11" t="s">
        <v>756</v>
      </c>
      <c r="I13" s="11" t="s">
        <v>756</v>
      </c>
      <c r="J13" s="11" t="s">
        <v>729</v>
      </c>
      <c r="K13" s="11" t="s">
        <v>729</v>
      </c>
      <c r="L13" s="11" t="s">
        <v>729</v>
      </c>
      <c r="M13" s="11" t="s">
        <v>729</v>
      </c>
      <c r="N13" s="11" t="s">
        <v>729</v>
      </c>
      <c r="O13" s="11" t="s">
        <v>729</v>
      </c>
      <c r="P13" s="11" t="s">
        <v>729</v>
      </c>
      <c r="Q13" s="11" t="s">
        <v>729</v>
      </c>
      <c r="R13" s="11" t="s">
        <v>729</v>
      </c>
      <c r="S13" s="11" t="s">
        <v>729</v>
      </c>
      <c r="T13" s="11" t="s">
        <v>729</v>
      </c>
      <c r="U13" s="11" t="s">
        <v>729</v>
      </c>
      <c r="V13" s="12" t="s">
        <v>729</v>
      </c>
    </row>
    <row r="14" ht="103" customHeight="1" spans="1:22">
      <c r="A14" s="16"/>
      <c r="B14" s="6" t="s">
        <v>729</v>
      </c>
      <c r="C14" s="6" t="s">
        <v>729</v>
      </c>
      <c r="D14" s="18" t="s">
        <v>1314</v>
      </c>
      <c r="E14" s="6" t="s">
        <v>729</v>
      </c>
      <c r="F14" s="11" t="s">
        <v>756</v>
      </c>
      <c r="G14" s="11" t="s">
        <v>752</v>
      </c>
      <c r="H14" s="11" t="s">
        <v>756</v>
      </c>
      <c r="I14" s="11" t="s">
        <v>756</v>
      </c>
      <c r="J14" s="11" t="s">
        <v>729</v>
      </c>
      <c r="K14" s="11" t="s">
        <v>729</v>
      </c>
      <c r="L14" s="11" t="s">
        <v>729</v>
      </c>
      <c r="M14" s="11" t="s">
        <v>729</v>
      </c>
      <c r="N14" s="11" t="s">
        <v>729</v>
      </c>
      <c r="O14" s="11" t="s">
        <v>729</v>
      </c>
      <c r="P14" s="11" t="s">
        <v>729</v>
      </c>
      <c r="Q14" s="11" t="s">
        <v>729</v>
      </c>
      <c r="R14" s="11" t="s">
        <v>729</v>
      </c>
      <c r="S14" s="11" t="s">
        <v>729</v>
      </c>
      <c r="T14" s="11" t="s">
        <v>729</v>
      </c>
      <c r="U14" s="11" t="s">
        <v>729</v>
      </c>
      <c r="V14" s="12" t="s">
        <v>729</v>
      </c>
    </row>
    <row r="15" ht="78" customHeight="1" spans="1:22">
      <c r="A15" s="16"/>
      <c r="B15" s="6" t="s">
        <v>729</v>
      </c>
      <c r="C15" s="6" t="s">
        <v>729</v>
      </c>
      <c r="D15" s="18" t="s">
        <v>1315</v>
      </c>
      <c r="E15" s="6" t="s">
        <v>729</v>
      </c>
      <c r="F15" s="11" t="s">
        <v>756</v>
      </c>
      <c r="G15" s="11" t="s">
        <v>756</v>
      </c>
      <c r="H15" s="11" t="s">
        <v>752</v>
      </c>
      <c r="I15" s="11" t="s">
        <v>752</v>
      </c>
      <c r="J15" s="11" t="s">
        <v>729</v>
      </c>
      <c r="K15" s="11" t="s">
        <v>729</v>
      </c>
      <c r="L15" s="11" t="s">
        <v>729</v>
      </c>
      <c r="M15" s="11" t="s">
        <v>729</v>
      </c>
      <c r="N15" s="11" t="s">
        <v>729</v>
      </c>
      <c r="O15" s="11" t="s">
        <v>729</v>
      </c>
      <c r="P15" s="11" t="s">
        <v>729</v>
      </c>
      <c r="Q15" s="11" t="s">
        <v>729</v>
      </c>
      <c r="R15" s="11" t="s">
        <v>729</v>
      </c>
      <c r="S15" s="11" t="s">
        <v>729</v>
      </c>
      <c r="T15" s="11" t="s">
        <v>729</v>
      </c>
      <c r="U15" s="11" t="s">
        <v>729</v>
      </c>
      <c r="V15" s="12" t="s">
        <v>729</v>
      </c>
    </row>
    <row r="16" ht="18" customHeight="1" spans="1:22">
      <c r="A16" s="19" t="s">
        <v>696</v>
      </c>
      <c r="B16" s="20" t="s">
        <v>765</v>
      </c>
      <c r="C16" s="20"/>
      <c r="D16" s="20"/>
      <c r="E16" s="6" t="s">
        <v>729</v>
      </c>
      <c r="F16" s="11" t="s">
        <v>670</v>
      </c>
      <c r="G16" s="11" t="s">
        <v>671</v>
      </c>
      <c r="H16" s="11" t="s">
        <v>670</v>
      </c>
      <c r="I16" s="11" t="s">
        <v>671</v>
      </c>
      <c r="J16" s="11" t="s">
        <v>729</v>
      </c>
      <c r="K16" s="11" t="s">
        <v>729</v>
      </c>
      <c r="L16" s="11" t="s">
        <v>729</v>
      </c>
      <c r="M16" s="11" t="s">
        <v>729</v>
      </c>
      <c r="N16" s="11" t="s">
        <v>729</v>
      </c>
      <c r="O16" s="11" t="s">
        <v>729</v>
      </c>
      <c r="P16" s="11" t="s">
        <v>729</v>
      </c>
      <c r="Q16" s="11" t="s">
        <v>729</v>
      </c>
      <c r="R16" s="11" t="s">
        <v>729</v>
      </c>
      <c r="S16" s="11" t="s">
        <v>729</v>
      </c>
      <c r="T16" s="11" t="s">
        <v>729</v>
      </c>
      <c r="U16" s="11" t="s">
        <v>729</v>
      </c>
      <c r="V16" s="12" t="s">
        <v>729</v>
      </c>
    </row>
    <row r="17" ht="18" customHeight="1" spans="1:22">
      <c r="A17" s="19"/>
      <c r="B17" s="20" t="s">
        <v>698</v>
      </c>
      <c r="C17" s="20"/>
      <c r="D17" s="20"/>
      <c r="E17" s="6" t="s">
        <v>729</v>
      </c>
      <c r="F17" s="11" t="s">
        <v>766</v>
      </c>
      <c r="G17" s="11" t="s">
        <v>766</v>
      </c>
      <c r="H17" s="11" t="s">
        <v>766</v>
      </c>
      <c r="I17" s="11" t="s">
        <v>766</v>
      </c>
      <c r="J17" s="11" t="s">
        <v>729</v>
      </c>
      <c r="K17" s="11" t="s">
        <v>729</v>
      </c>
      <c r="L17" s="11" t="s">
        <v>729</v>
      </c>
      <c r="M17" s="11" t="s">
        <v>729</v>
      </c>
      <c r="N17" s="11" t="s">
        <v>729</v>
      </c>
      <c r="O17" s="11" t="s">
        <v>729</v>
      </c>
      <c r="P17" s="11" t="s">
        <v>729</v>
      </c>
      <c r="Q17" s="11" t="s">
        <v>729</v>
      </c>
      <c r="R17" s="11" t="s">
        <v>729</v>
      </c>
      <c r="S17" s="11" t="s">
        <v>729</v>
      </c>
      <c r="T17" s="11" t="s">
        <v>729</v>
      </c>
      <c r="U17" s="11" t="s">
        <v>729</v>
      </c>
      <c r="V17" s="12" t="s">
        <v>729</v>
      </c>
    </row>
    <row r="18" ht="18" customHeight="1" spans="1:22">
      <c r="A18" s="19"/>
      <c r="B18" s="20" t="s">
        <v>699</v>
      </c>
      <c r="C18" s="20"/>
      <c r="D18" s="20"/>
      <c r="E18" s="6" t="s">
        <v>729</v>
      </c>
      <c r="F18" s="6" t="s">
        <v>729</v>
      </c>
      <c r="G18" s="6" t="s">
        <v>729</v>
      </c>
      <c r="H18" s="6" t="s">
        <v>729</v>
      </c>
      <c r="I18" s="6" t="s">
        <v>729</v>
      </c>
      <c r="J18" s="6" t="s">
        <v>729</v>
      </c>
      <c r="K18" s="6" t="s">
        <v>729</v>
      </c>
      <c r="L18" s="6" t="s">
        <v>729</v>
      </c>
      <c r="M18" s="6" t="s">
        <v>729</v>
      </c>
      <c r="N18" s="6" t="s">
        <v>729</v>
      </c>
      <c r="O18" s="6" t="s">
        <v>729</v>
      </c>
      <c r="P18" s="6" t="s">
        <v>729</v>
      </c>
      <c r="Q18" s="6" t="s">
        <v>729</v>
      </c>
      <c r="R18" s="6" t="s">
        <v>729</v>
      </c>
      <c r="S18" s="6" t="s">
        <v>729</v>
      </c>
      <c r="T18" s="6" t="s">
        <v>729</v>
      </c>
      <c r="U18" s="6" t="s">
        <v>729</v>
      </c>
      <c r="V18" s="8" t="s">
        <v>729</v>
      </c>
    </row>
    <row r="19" ht="18" customHeight="1" spans="1:22">
      <c r="A19" s="19"/>
      <c r="B19" s="21" t="s">
        <v>700</v>
      </c>
      <c r="C19" s="21"/>
      <c r="D19" s="21"/>
      <c r="E19" s="22" t="s">
        <v>729</v>
      </c>
      <c r="F19" s="22" t="s">
        <v>729</v>
      </c>
      <c r="G19" s="22" t="s">
        <v>729</v>
      </c>
      <c r="H19" s="22" t="s">
        <v>729</v>
      </c>
      <c r="I19" s="22" t="s">
        <v>729</v>
      </c>
      <c r="J19" s="22" t="s">
        <v>729</v>
      </c>
      <c r="K19" s="22" t="s">
        <v>729</v>
      </c>
      <c r="L19" s="22" t="s">
        <v>729</v>
      </c>
      <c r="M19" s="22" t="s">
        <v>729</v>
      </c>
      <c r="N19" s="22" t="s">
        <v>729</v>
      </c>
      <c r="O19" s="22" t="s">
        <v>729</v>
      </c>
      <c r="P19" s="22" t="s">
        <v>729</v>
      </c>
      <c r="Q19" s="22" t="s">
        <v>729</v>
      </c>
      <c r="R19" s="22" t="s">
        <v>729</v>
      </c>
      <c r="S19" s="22" t="s">
        <v>729</v>
      </c>
      <c r="T19" s="22" t="s">
        <v>729</v>
      </c>
      <c r="U19" s="22" t="s">
        <v>729</v>
      </c>
      <c r="V19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6:D16"/>
    <mergeCell ref="B17:D17"/>
    <mergeCell ref="B18:D18"/>
    <mergeCell ref="B19:D19"/>
    <mergeCell ref="A7:A11"/>
    <mergeCell ref="A12:A15"/>
    <mergeCell ref="A16:A19"/>
  </mergeCells>
  <dataValidations count="3">
    <dataValidation type="list" allowBlank="1" sqref="F16:V16">
      <formula1>"N,A,B"</formula1>
    </dataValidation>
    <dataValidation type="list" allowBlank="1" sqref="F17:V17">
      <formula1>"P,F"</formula1>
    </dataValidation>
    <dataValidation type="list" allowBlank="1" sqref="F8:V9 F10:V11 F13:V15">
      <formula1>"O,-"</formula1>
    </dataValidation>
  </dataValidations>
  <pageMargins left="0.7" right="0.7" top="0.75" bottom="0.75" header="0.3" footer="0.3"/>
  <pageSetup paperSize="1" orientation="portrait"/>
  <headerFooter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0"/>
  <sheetViews>
    <sheetView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434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468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1316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4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3</v>
      </c>
      <c r="M5" s="11">
        <v>0</v>
      </c>
      <c r="N5" s="11">
        <v>1</v>
      </c>
      <c r="O5" s="12">
        <v>4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687</v>
      </c>
      <c r="H6" s="14" t="s">
        <v>688</v>
      </c>
      <c r="I6" s="14" t="s">
        <v>689</v>
      </c>
      <c r="J6" s="14" t="s">
        <v>729</v>
      </c>
      <c r="K6" s="14" t="s">
        <v>729</v>
      </c>
      <c r="L6" s="14" t="s">
        <v>729</v>
      </c>
      <c r="M6" s="14" t="s">
        <v>729</v>
      </c>
      <c r="N6" s="14" t="s">
        <v>729</v>
      </c>
      <c r="O6" s="14" t="s">
        <v>729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15.5" customHeight="1" spans="1:22">
      <c r="A7" s="16" t="s">
        <v>690</v>
      </c>
      <c r="B7" s="17" t="s">
        <v>1023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28" customHeight="1" spans="1:22">
      <c r="A8" s="16"/>
      <c r="B8" s="6" t="s">
        <v>729</v>
      </c>
      <c r="C8" s="6" t="s">
        <v>729</v>
      </c>
      <c r="D8" s="18" t="s">
        <v>1317</v>
      </c>
      <c r="E8" s="6" t="s">
        <v>729</v>
      </c>
      <c r="F8" s="11" t="s">
        <v>752</v>
      </c>
      <c r="G8" s="11" t="s">
        <v>756</v>
      </c>
      <c r="H8" s="11" t="s">
        <v>756</v>
      </c>
      <c r="I8" s="11" t="s">
        <v>756</v>
      </c>
      <c r="J8" s="11" t="s">
        <v>729</v>
      </c>
      <c r="K8" s="11" t="s">
        <v>729</v>
      </c>
      <c r="L8" s="11" t="s">
        <v>729</v>
      </c>
      <c r="M8" s="11" t="s">
        <v>729</v>
      </c>
      <c r="N8" s="11" t="s">
        <v>729</v>
      </c>
      <c r="O8" s="11" t="s">
        <v>729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40.5" customHeight="1" spans="1:22">
      <c r="A9" s="16"/>
      <c r="B9" s="6" t="s">
        <v>729</v>
      </c>
      <c r="C9" s="6" t="s">
        <v>729</v>
      </c>
      <c r="D9" s="18" t="s">
        <v>1318</v>
      </c>
      <c r="E9" s="6" t="s">
        <v>729</v>
      </c>
      <c r="F9" s="11" t="s">
        <v>756</v>
      </c>
      <c r="G9" s="11" t="s">
        <v>752</v>
      </c>
      <c r="H9" s="11" t="s">
        <v>756</v>
      </c>
      <c r="I9" s="11" t="s">
        <v>756</v>
      </c>
      <c r="J9" s="11" t="s">
        <v>729</v>
      </c>
      <c r="K9" s="11" t="s">
        <v>729</v>
      </c>
      <c r="L9" s="11" t="s">
        <v>729</v>
      </c>
      <c r="M9" s="11" t="s">
        <v>729</v>
      </c>
      <c r="N9" s="11" t="s">
        <v>729</v>
      </c>
      <c r="O9" s="11" t="s">
        <v>729</v>
      </c>
      <c r="P9" s="11" t="s">
        <v>729</v>
      </c>
      <c r="Q9" s="11" t="s">
        <v>729</v>
      </c>
      <c r="R9" s="11" t="s">
        <v>729</v>
      </c>
      <c r="S9" s="11" t="s">
        <v>729</v>
      </c>
      <c r="T9" s="11" t="s">
        <v>729</v>
      </c>
      <c r="U9" s="11" t="s">
        <v>729</v>
      </c>
      <c r="V9" s="12" t="s">
        <v>729</v>
      </c>
    </row>
    <row r="10" ht="28" customHeight="1" spans="1:22">
      <c r="A10" s="16"/>
      <c r="B10" s="6" t="s">
        <v>729</v>
      </c>
      <c r="C10" s="6" t="s">
        <v>729</v>
      </c>
      <c r="D10" s="18" t="s">
        <v>1319</v>
      </c>
      <c r="E10" s="6" t="s">
        <v>729</v>
      </c>
      <c r="F10" s="11" t="s">
        <v>756</v>
      </c>
      <c r="G10" s="11" t="s">
        <v>756</v>
      </c>
      <c r="H10" s="11" t="s">
        <v>752</v>
      </c>
      <c r="I10" s="11" t="s">
        <v>756</v>
      </c>
      <c r="J10" s="11" t="s">
        <v>729</v>
      </c>
      <c r="K10" s="11" t="s">
        <v>729</v>
      </c>
      <c r="L10" s="11" t="s">
        <v>729</v>
      </c>
      <c r="M10" s="11" t="s">
        <v>729</v>
      </c>
      <c r="N10" s="11" t="s">
        <v>729</v>
      </c>
      <c r="O10" s="11" t="s">
        <v>729</v>
      </c>
      <c r="P10" s="11" t="s">
        <v>729</v>
      </c>
      <c r="Q10" s="11" t="s">
        <v>729</v>
      </c>
      <c r="R10" s="11" t="s">
        <v>729</v>
      </c>
      <c r="S10" s="11" t="s">
        <v>729</v>
      </c>
      <c r="T10" s="11" t="s">
        <v>729</v>
      </c>
      <c r="U10" s="11" t="s">
        <v>729</v>
      </c>
      <c r="V10" s="12" t="s">
        <v>729</v>
      </c>
    </row>
    <row r="11" ht="40.5" customHeight="1" spans="1:22">
      <c r="A11" s="16"/>
      <c r="B11" s="6" t="s">
        <v>729</v>
      </c>
      <c r="C11" s="6" t="s">
        <v>729</v>
      </c>
      <c r="D11" s="18" t="s">
        <v>1320</v>
      </c>
      <c r="E11" s="6" t="s">
        <v>729</v>
      </c>
      <c r="F11" s="11" t="s">
        <v>756</v>
      </c>
      <c r="G11" s="11" t="s">
        <v>756</v>
      </c>
      <c r="H11" s="11" t="s">
        <v>756</v>
      </c>
      <c r="I11" s="11" t="s">
        <v>752</v>
      </c>
      <c r="J11" s="11" t="s">
        <v>729</v>
      </c>
      <c r="K11" s="11" t="s">
        <v>729</v>
      </c>
      <c r="L11" s="11" t="s">
        <v>729</v>
      </c>
      <c r="M11" s="11" t="s">
        <v>729</v>
      </c>
      <c r="N11" s="11" t="s">
        <v>729</v>
      </c>
      <c r="O11" s="11" t="s">
        <v>729</v>
      </c>
      <c r="P11" s="11" t="s">
        <v>729</v>
      </c>
      <c r="Q11" s="11" t="s">
        <v>729</v>
      </c>
      <c r="R11" s="11" t="s">
        <v>729</v>
      </c>
      <c r="S11" s="11" t="s">
        <v>729</v>
      </c>
      <c r="T11" s="11" t="s">
        <v>729</v>
      </c>
      <c r="U11" s="11" t="s">
        <v>729</v>
      </c>
      <c r="V11" s="12" t="s">
        <v>729</v>
      </c>
    </row>
    <row r="12" ht="15.5" customHeight="1" spans="1:22">
      <c r="A12" s="16" t="s">
        <v>692</v>
      </c>
      <c r="B12" s="17" t="s">
        <v>693</v>
      </c>
      <c r="C12" s="6" t="s">
        <v>729</v>
      </c>
      <c r="D12" s="6" t="s">
        <v>729</v>
      </c>
      <c r="E12" s="6" t="s">
        <v>729</v>
      </c>
      <c r="F12" s="6" t="s">
        <v>729</v>
      </c>
      <c r="G12" s="6" t="s">
        <v>729</v>
      </c>
      <c r="H12" s="6" t="s">
        <v>729</v>
      </c>
      <c r="I12" s="6" t="s">
        <v>729</v>
      </c>
      <c r="J12" s="6" t="s">
        <v>729</v>
      </c>
      <c r="K12" s="6" t="s">
        <v>729</v>
      </c>
      <c r="L12" s="6" t="s">
        <v>729</v>
      </c>
      <c r="M12" s="6" t="s">
        <v>729</v>
      </c>
      <c r="N12" s="6" t="s">
        <v>729</v>
      </c>
      <c r="O12" s="6" t="s">
        <v>729</v>
      </c>
      <c r="P12" s="6" t="s">
        <v>729</v>
      </c>
      <c r="Q12" s="6" t="s">
        <v>729</v>
      </c>
      <c r="R12" s="6" t="s">
        <v>729</v>
      </c>
      <c r="S12" s="6" t="s">
        <v>729</v>
      </c>
      <c r="T12" s="6" t="s">
        <v>729</v>
      </c>
      <c r="U12" s="6" t="s">
        <v>729</v>
      </c>
      <c r="V12" s="8" t="s">
        <v>729</v>
      </c>
    </row>
    <row r="13" ht="78" customHeight="1" spans="1:22">
      <c r="A13" s="16"/>
      <c r="B13" s="6" t="s">
        <v>729</v>
      </c>
      <c r="C13" s="6" t="s">
        <v>729</v>
      </c>
      <c r="D13" s="18" t="s">
        <v>1321</v>
      </c>
      <c r="E13" s="6" t="s">
        <v>729</v>
      </c>
      <c r="F13" s="11" t="s">
        <v>752</v>
      </c>
      <c r="G13" s="11" t="s">
        <v>756</v>
      </c>
      <c r="H13" s="11" t="s">
        <v>756</v>
      </c>
      <c r="I13" s="11" t="s">
        <v>756</v>
      </c>
      <c r="J13" s="11" t="s">
        <v>729</v>
      </c>
      <c r="K13" s="11" t="s">
        <v>729</v>
      </c>
      <c r="L13" s="11" t="s">
        <v>729</v>
      </c>
      <c r="M13" s="11" t="s">
        <v>729</v>
      </c>
      <c r="N13" s="11" t="s">
        <v>729</v>
      </c>
      <c r="O13" s="11" t="s">
        <v>729</v>
      </c>
      <c r="P13" s="11" t="s">
        <v>729</v>
      </c>
      <c r="Q13" s="11" t="s">
        <v>729</v>
      </c>
      <c r="R13" s="11" t="s">
        <v>729</v>
      </c>
      <c r="S13" s="11" t="s">
        <v>729</v>
      </c>
      <c r="T13" s="11" t="s">
        <v>729</v>
      </c>
      <c r="U13" s="11" t="s">
        <v>729</v>
      </c>
      <c r="V13" s="12" t="s">
        <v>729</v>
      </c>
    </row>
    <row r="14" ht="53" customHeight="1" spans="1:22">
      <c r="A14" s="16"/>
      <c r="B14" s="6" t="s">
        <v>729</v>
      </c>
      <c r="C14" s="6" t="s">
        <v>729</v>
      </c>
      <c r="D14" s="18" t="s">
        <v>1322</v>
      </c>
      <c r="E14" s="6" t="s">
        <v>729</v>
      </c>
      <c r="F14" s="11" t="s">
        <v>756</v>
      </c>
      <c r="G14" s="11" t="s">
        <v>752</v>
      </c>
      <c r="H14" s="11" t="s">
        <v>756</v>
      </c>
      <c r="I14" s="11" t="s">
        <v>756</v>
      </c>
      <c r="J14" s="11" t="s">
        <v>729</v>
      </c>
      <c r="K14" s="11" t="s">
        <v>729</v>
      </c>
      <c r="L14" s="11" t="s">
        <v>729</v>
      </c>
      <c r="M14" s="11" t="s">
        <v>729</v>
      </c>
      <c r="N14" s="11" t="s">
        <v>729</v>
      </c>
      <c r="O14" s="11" t="s">
        <v>729</v>
      </c>
      <c r="P14" s="11" t="s">
        <v>729</v>
      </c>
      <c r="Q14" s="11" t="s">
        <v>729</v>
      </c>
      <c r="R14" s="11" t="s">
        <v>729</v>
      </c>
      <c r="S14" s="11" t="s">
        <v>729</v>
      </c>
      <c r="T14" s="11" t="s">
        <v>729</v>
      </c>
      <c r="U14" s="11" t="s">
        <v>729</v>
      </c>
      <c r="V14" s="12" t="s">
        <v>729</v>
      </c>
    </row>
    <row r="15" ht="65.5" customHeight="1" spans="1:22">
      <c r="A15" s="16"/>
      <c r="B15" s="6" t="s">
        <v>729</v>
      </c>
      <c r="C15" s="6" t="s">
        <v>729</v>
      </c>
      <c r="D15" s="18" t="s">
        <v>1323</v>
      </c>
      <c r="E15" s="6" t="s">
        <v>729</v>
      </c>
      <c r="F15" s="11" t="s">
        <v>756</v>
      </c>
      <c r="G15" s="11" t="s">
        <v>756</v>
      </c>
      <c r="H15" s="11" t="s">
        <v>752</v>
      </c>
      <c r="I15" s="11" t="s">
        <v>756</v>
      </c>
      <c r="J15" s="11" t="s">
        <v>729</v>
      </c>
      <c r="K15" s="11" t="s">
        <v>729</v>
      </c>
      <c r="L15" s="11" t="s">
        <v>729</v>
      </c>
      <c r="M15" s="11" t="s">
        <v>729</v>
      </c>
      <c r="N15" s="11" t="s">
        <v>729</v>
      </c>
      <c r="O15" s="11" t="s">
        <v>729</v>
      </c>
      <c r="P15" s="11" t="s">
        <v>729</v>
      </c>
      <c r="Q15" s="11" t="s">
        <v>729</v>
      </c>
      <c r="R15" s="11" t="s">
        <v>729</v>
      </c>
      <c r="S15" s="11" t="s">
        <v>729</v>
      </c>
      <c r="T15" s="11" t="s">
        <v>729</v>
      </c>
      <c r="U15" s="11" t="s">
        <v>729</v>
      </c>
      <c r="V15" s="12" t="s">
        <v>729</v>
      </c>
    </row>
    <row r="16" ht="65.5" customHeight="1" spans="1:22">
      <c r="A16" s="16"/>
      <c r="B16" s="6" t="s">
        <v>729</v>
      </c>
      <c r="C16" s="6" t="s">
        <v>729</v>
      </c>
      <c r="D16" s="18" t="s">
        <v>1324</v>
      </c>
      <c r="E16" s="6" t="s">
        <v>729</v>
      </c>
      <c r="F16" s="11" t="s">
        <v>756</v>
      </c>
      <c r="G16" s="11" t="s">
        <v>756</v>
      </c>
      <c r="H16" s="11" t="s">
        <v>756</v>
      </c>
      <c r="I16" s="11" t="s">
        <v>752</v>
      </c>
      <c r="J16" s="11" t="s">
        <v>729</v>
      </c>
      <c r="K16" s="11" t="s">
        <v>729</v>
      </c>
      <c r="L16" s="11" t="s">
        <v>729</v>
      </c>
      <c r="M16" s="11" t="s">
        <v>729</v>
      </c>
      <c r="N16" s="11" t="s">
        <v>729</v>
      </c>
      <c r="O16" s="11" t="s">
        <v>729</v>
      </c>
      <c r="P16" s="11" t="s">
        <v>729</v>
      </c>
      <c r="Q16" s="11" t="s">
        <v>729</v>
      </c>
      <c r="R16" s="11" t="s">
        <v>729</v>
      </c>
      <c r="S16" s="11" t="s">
        <v>729</v>
      </c>
      <c r="T16" s="11" t="s">
        <v>729</v>
      </c>
      <c r="U16" s="11" t="s">
        <v>729</v>
      </c>
      <c r="V16" s="12" t="s">
        <v>729</v>
      </c>
    </row>
    <row r="17" ht="18" customHeight="1" spans="1:22">
      <c r="A17" s="19" t="s">
        <v>696</v>
      </c>
      <c r="B17" s="20" t="s">
        <v>765</v>
      </c>
      <c r="C17" s="20"/>
      <c r="D17" s="20"/>
      <c r="E17" s="6" t="s">
        <v>729</v>
      </c>
      <c r="F17" s="11" t="s">
        <v>670</v>
      </c>
      <c r="G17" s="11" t="s">
        <v>670</v>
      </c>
      <c r="H17" s="11" t="s">
        <v>670</v>
      </c>
      <c r="I17" s="11" t="s">
        <v>671</v>
      </c>
      <c r="J17" s="11" t="s">
        <v>729</v>
      </c>
      <c r="K17" s="11" t="s">
        <v>729</v>
      </c>
      <c r="L17" s="11" t="s">
        <v>729</v>
      </c>
      <c r="M17" s="11" t="s">
        <v>729</v>
      </c>
      <c r="N17" s="11" t="s">
        <v>729</v>
      </c>
      <c r="O17" s="11" t="s">
        <v>729</v>
      </c>
      <c r="P17" s="11" t="s">
        <v>729</v>
      </c>
      <c r="Q17" s="11" t="s">
        <v>729</v>
      </c>
      <c r="R17" s="11" t="s">
        <v>729</v>
      </c>
      <c r="S17" s="11" t="s">
        <v>729</v>
      </c>
      <c r="T17" s="11" t="s">
        <v>729</v>
      </c>
      <c r="U17" s="11" t="s">
        <v>729</v>
      </c>
      <c r="V17" s="12" t="s">
        <v>729</v>
      </c>
    </row>
    <row r="18" ht="18" customHeight="1" spans="1:22">
      <c r="A18" s="19"/>
      <c r="B18" s="20" t="s">
        <v>698</v>
      </c>
      <c r="C18" s="20"/>
      <c r="D18" s="20"/>
      <c r="E18" s="6" t="s">
        <v>729</v>
      </c>
      <c r="F18" s="11" t="s">
        <v>766</v>
      </c>
      <c r="G18" s="11" t="s">
        <v>766</v>
      </c>
      <c r="H18" s="11" t="s">
        <v>766</v>
      </c>
      <c r="I18" s="11" t="s">
        <v>766</v>
      </c>
      <c r="J18" s="11" t="s">
        <v>729</v>
      </c>
      <c r="K18" s="11" t="s">
        <v>729</v>
      </c>
      <c r="L18" s="11" t="s">
        <v>729</v>
      </c>
      <c r="M18" s="11" t="s">
        <v>729</v>
      </c>
      <c r="N18" s="11" t="s">
        <v>729</v>
      </c>
      <c r="O18" s="11" t="s">
        <v>729</v>
      </c>
      <c r="P18" s="11" t="s">
        <v>729</v>
      </c>
      <c r="Q18" s="11" t="s">
        <v>729</v>
      </c>
      <c r="R18" s="11" t="s">
        <v>729</v>
      </c>
      <c r="S18" s="11" t="s">
        <v>729</v>
      </c>
      <c r="T18" s="11" t="s">
        <v>729</v>
      </c>
      <c r="U18" s="11" t="s">
        <v>729</v>
      </c>
      <c r="V18" s="12" t="s">
        <v>729</v>
      </c>
    </row>
    <row r="19" ht="18" customHeight="1" spans="1:22">
      <c r="A19" s="19"/>
      <c r="B19" s="20" t="s">
        <v>699</v>
      </c>
      <c r="C19" s="20"/>
      <c r="D19" s="20"/>
      <c r="E19" s="6" t="s">
        <v>729</v>
      </c>
      <c r="F19" s="6" t="s">
        <v>729</v>
      </c>
      <c r="G19" s="6" t="s">
        <v>729</v>
      </c>
      <c r="H19" s="6" t="s">
        <v>729</v>
      </c>
      <c r="I19" s="6" t="s">
        <v>729</v>
      </c>
      <c r="J19" s="6" t="s">
        <v>729</v>
      </c>
      <c r="K19" s="6" t="s">
        <v>729</v>
      </c>
      <c r="L19" s="6" t="s">
        <v>729</v>
      </c>
      <c r="M19" s="6" t="s">
        <v>729</v>
      </c>
      <c r="N19" s="6" t="s">
        <v>729</v>
      </c>
      <c r="O19" s="6" t="s">
        <v>729</v>
      </c>
      <c r="P19" s="6" t="s">
        <v>729</v>
      </c>
      <c r="Q19" s="6" t="s">
        <v>729</v>
      </c>
      <c r="R19" s="6" t="s">
        <v>729</v>
      </c>
      <c r="S19" s="6" t="s">
        <v>729</v>
      </c>
      <c r="T19" s="6" t="s">
        <v>729</v>
      </c>
      <c r="U19" s="6" t="s">
        <v>729</v>
      </c>
      <c r="V19" s="8" t="s">
        <v>729</v>
      </c>
    </row>
    <row r="20" ht="18" customHeight="1" spans="1:22">
      <c r="A20" s="19"/>
      <c r="B20" s="21" t="s">
        <v>700</v>
      </c>
      <c r="C20" s="21"/>
      <c r="D20" s="21"/>
      <c r="E20" s="22" t="s">
        <v>729</v>
      </c>
      <c r="F20" s="22" t="s">
        <v>729</v>
      </c>
      <c r="G20" s="22" t="s">
        <v>729</v>
      </c>
      <c r="H20" s="22" t="s">
        <v>729</v>
      </c>
      <c r="I20" s="22" t="s">
        <v>729</v>
      </c>
      <c r="J20" s="22" t="s">
        <v>729</v>
      </c>
      <c r="K20" s="22" t="s">
        <v>729</v>
      </c>
      <c r="L20" s="22" t="s">
        <v>729</v>
      </c>
      <c r="M20" s="22" t="s">
        <v>729</v>
      </c>
      <c r="N20" s="22" t="s">
        <v>729</v>
      </c>
      <c r="O20" s="22" t="s">
        <v>729</v>
      </c>
      <c r="P20" s="22" t="s">
        <v>729</v>
      </c>
      <c r="Q20" s="22" t="s">
        <v>729</v>
      </c>
      <c r="R20" s="22" t="s">
        <v>729</v>
      </c>
      <c r="S20" s="22" t="s">
        <v>729</v>
      </c>
      <c r="T20" s="22" t="s">
        <v>729</v>
      </c>
      <c r="U20" s="22" t="s">
        <v>729</v>
      </c>
      <c r="V20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7:D17"/>
    <mergeCell ref="B18:D18"/>
    <mergeCell ref="B19:D19"/>
    <mergeCell ref="B20:D20"/>
    <mergeCell ref="A7:A11"/>
    <mergeCell ref="A12:A16"/>
    <mergeCell ref="A17:A20"/>
  </mergeCells>
  <dataValidations count="3">
    <dataValidation type="list" allowBlank="1" sqref="F17:V17">
      <formula1>"N,A,B"</formula1>
    </dataValidation>
    <dataValidation type="list" allowBlank="1" sqref="F18:V18">
      <formula1>"P,F"</formula1>
    </dataValidation>
    <dataValidation type="list" allowBlank="1" sqref="F8:V9 F10:V11 F13:V16">
      <formula1>"O,-"</formula1>
    </dataValidation>
  </dataValidations>
  <pageMargins left="0.7" right="0.7" top="0.75" bottom="0.75" header="0.3" footer="0.3"/>
  <pageSetup paperSize="1" orientation="portrait"/>
  <headerFooter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0"/>
  <sheetViews>
    <sheetView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434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473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1325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4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3</v>
      </c>
      <c r="M5" s="11">
        <v>1</v>
      </c>
      <c r="N5" s="11">
        <v>0</v>
      </c>
      <c r="O5" s="12">
        <v>4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687</v>
      </c>
      <c r="H6" s="14" t="s">
        <v>688</v>
      </c>
      <c r="I6" s="14" t="s">
        <v>689</v>
      </c>
      <c r="J6" s="14" t="s">
        <v>729</v>
      </c>
      <c r="K6" s="14" t="s">
        <v>729</v>
      </c>
      <c r="L6" s="14" t="s">
        <v>729</v>
      </c>
      <c r="M6" s="14" t="s">
        <v>729</v>
      </c>
      <c r="N6" s="14" t="s">
        <v>729</v>
      </c>
      <c r="O6" s="14" t="s">
        <v>729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15.5" customHeight="1" spans="1:22">
      <c r="A7" s="16" t="s">
        <v>690</v>
      </c>
      <c r="B7" s="17" t="s">
        <v>884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15.5" customHeight="1" spans="1:22">
      <c r="A8" s="16"/>
      <c r="B8" s="6" t="s">
        <v>729</v>
      </c>
      <c r="C8" s="6" t="s">
        <v>729</v>
      </c>
      <c r="D8" s="18" t="s">
        <v>1326</v>
      </c>
      <c r="E8" s="6" t="s">
        <v>729</v>
      </c>
      <c r="F8" s="11" t="s">
        <v>752</v>
      </c>
      <c r="G8" s="11" t="s">
        <v>756</v>
      </c>
      <c r="H8" s="11" t="s">
        <v>756</v>
      </c>
      <c r="I8" s="11" t="s">
        <v>756</v>
      </c>
      <c r="J8" s="11" t="s">
        <v>729</v>
      </c>
      <c r="K8" s="11" t="s">
        <v>729</v>
      </c>
      <c r="L8" s="11" t="s">
        <v>729</v>
      </c>
      <c r="M8" s="11" t="s">
        <v>729</v>
      </c>
      <c r="N8" s="11" t="s">
        <v>729</v>
      </c>
      <c r="O8" s="11" t="s">
        <v>729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28" customHeight="1" spans="1:22">
      <c r="A9" s="16"/>
      <c r="B9" s="6" t="s">
        <v>729</v>
      </c>
      <c r="C9" s="6" t="s">
        <v>729</v>
      </c>
      <c r="D9" s="18" t="s">
        <v>1327</v>
      </c>
      <c r="E9" s="6" t="s">
        <v>729</v>
      </c>
      <c r="F9" s="11" t="s">
        <v>756</v>
      </c>
      <c r="G9" s="11" t="s">
        <v>752</v>
      </c>
      <c r="H9" s="11" t="s">
        <v>756</v>
      </c>
      <c r="I9" s="11" t="s">
        <v>756</v>
      </c>
      <c r="J9" s="11" t="s">
        <v>729</v>
      </c>
      <c r="K9" s="11" t="s">
        <v>729</v>
      </c>
      <c r="L9" s="11" t="s">
        <v>729</v>
      </c>
      <c r="M9" s="11" t="s">
        <v>729</v>
      </c>
      <c r="N9" s="11" t="s">
        <v>729</v>
      </c>
      <c r="O9" s="11" t="s">
        <v>729</v>
      </c>
      <c r="P9" s="11" t="s">
        <v>729</v>
      </c>
      <c r="Q9" s="11" t="s">
        <v>729</v>
      </c>
      <c r="R9" s="11" t="s">
        <v>729</v>
      </c>
      <c r="S9" s="11" t="s">
        <v>729</v>
      </c>
      <c r="T9" s="11" t="s">
        <v>729</v>
      </c>
      <c r="U9" s="11" t="s">
        <v>729</v>
      </c>
      <c r="V9" s="12" t="s">
        <v>729</v>
      </c>
    </row>
    <row r="10" ht="28" customHeight="1" spans="1:22">
      <c r="A10" s="16"/>
      <c r="B10" s="6" t="s">
        <v>729</v>
      </c>
      <c r="C10" s="6" t="s">
        <v>729</v>
      </c>
      <c r="D10" s="18" t="s">
        <v>1328</v>
      </c>
      <c r="E10" s="6" t="s">
        <v>729</v>
      </c>
      <c r="F10" s="11" t="s">
        <v>756</v>
      </c>
      <c r="G10" s="11" t="s">
        <v>756</v>
      </c>
      <c r="H10" s="11" t="s">
        <v>752</v>
      </c>
      <c r="I10" s="11" t="s">
        <v>756</v>
      </c>
      <c r="J10" s="11" t="s">
        <v>729</v>
      </c>
      <c r="K10" s="11" t="s">
        <v>729</v>
      </c>
      <c r="L10" s="11" t="s">
        <v>729</v>
      </c>
      <c r="M10" s="11" t="s">
        <v>729</v>
      </c>
      <c r="N10" s="11" t="s">
        <v>729</v>
      </c>
      <c r="O10" s="11" t="s">
        <v>729</v>
      </c>
      <c r="P10" s="11" t="s">
        <v>729</v>
      </c>
      <c r="Q10" s="11" t="s">
        <v>729</v>
      </c>
      <c r="R10" s="11" t="s">
        <v>729</v>
      </c>
      <c r="S10" s="11" t="s">
        <v>729</v>
      </c>
      <c r="T10" s="11" t="s">
        <v>729</v>
      </c>
      <c r="U10" s="11" t="s">
        <v>729</v>
      </c>
      <c r="V10" s="12" t="s">
        <v>729</v>
      </c>
    </row>
    <row r="11" ht="40.5" customHeight="1" spans="1:22">
      <c r="A11" s="16"/>
      <c r="B11" s="6" t="s">
        <v>729</v>
      </c>
      <c r="C11" s="6" t="s">
        <v>729</v>
      </c>
      <c r="D11" s="18" t="s">
        <v>1329</v>
      </c>
      <c r="E11" s="6" t="s">
        <v>729</v>
      </c>
      <c r="F11" s="11" t="s">
        <v>756</v>
      </c>
      <c r="G11" s="11" t="s">
        <v>756</v>
      </c>
      <c r="H11" s="11" t="s">
        <v>756</v>
      </c>
      <c r="I11" s="11" t="s">
        <v>752</v>
      </c>
      <c r="J11" s="11" t="s">
        <v>729</v>
      </c>
      <c r="K11" s="11" t="s">
        <v>729</v>
      </c>
      <c r="L11" s="11" t="s">
        <v>729</v>
      </c>
      <c r="M11" s="11" t="s">
        <v>729</v>
      </c>
      <c r="N11" s="11" t="s">
        <v>729</v>
      </c>
      <c r="O11" s="11" t="s">
        <v>729</v>
      </c>
      <c r="P11" s="11" t="s">
        <v>729</v>
      </c>
      <c r="Q11" s="11" t="s">
        <v>729</v>
      </c>
      <c r="R11" s="11" t="s">
        <v>729</v>
      </c>
      <c r="S11" s="11" t="s">
        <v>729</v>
      </c>
      <c r="T11" s="11" t="s">
        <v>729</v>
      </c>
      <c r="U11" s="11" t="s">
        <v>729</v>
      </c>
      <c r="V11" s="12" t="s">
        <v>729</v>
      </c>
    </row>
    <row r="12" ht="15.5" customHeight="1" spans="1:22">
      <c r="A12" s="16" t="s">
        <v>692</v>
      </c>
      <c r="B12" s="17" t="s">
        <v>693</v>
      </c>
      <c r="C12" s="6" t="s">
        <v>729</v>
      </c>
      <c r="D12" s="6" t="s">
        <v>729</v>
      </c>
      <c r="E12" s="6" t="s">
        <v>729</v>
      </c>
      <c r="F12" s="6" t="s">
        <v>729</v>
      </c>
      <c r="G12" s="6" t="s">
        <v>729</v>
      </c>
      <c r="H12" s="6" t="s">
        <v>729</v>
      </c>
      <c r="I12" s="6" t="s">
        <v>729</v>
      </c>
      <c r="J12" s="6" t="s">
        <v>729</v>
      </c>
      <c r="K12" s="6" t="s">
        <v>729</v>
      </c>
      <c r="L12" s="6" t="s">
        <v>729</v>
      </c>
      <c r="M12" s="6" t="s">
        <v>729</v>
      </c>
      <c r="N12" s="6" t="s">
        <v>729</v>
      </c>
      <c r="O12" s="6" t="s">
        <v>729</v>
      </c>
      <c r="P12" s="6" t="s">
        <v>729</v>
      </c>
      <c r="Q12" s="6" t="s">
        <v>729</v>
      </c>
      <c r="R12" s="6" t="s">
        <v>729</v>
      </c>
      <c r="S12" s="6" t="s">
        <v>729</v>
      </c>
      <c r="T12" s="6" t="s">
        <v>729</v>
      </c>
      <c r="U12" s="6" t="s">
        <v>729</v>
      </c>
      <c r="V12" s="8" t="s">
        <v>729</v>
      </c>
    </row>
    <row r="13" ht="65.5" customHeight="1" spans="1:22">
      <c r="A13" s="16"/>
      <c r="B13" s="6" t="s">
        <v>729</v>
      </c>
      <c r="C13" s="6" t="s">
        <v>729</v>
      </c>
      <c r="D13" s="18" t="s">
        <v>1330</v>
      </c>
      <c r="E13" s="6" t="s">
        <v>729</v>
      </c>
      <c r="F13" s="11" t="s">
        <v>752</v>
      </c>
      <c r="G13" s="11" t="s">
        <v>756</v>
      </c>
      <c r="H13" s="11" t="s">
        <v>756</v>
      </c>
      <c r="I13" s="11" t="s">
        <v>756</v>
      </c>
      <c r="J13" s="11" t="s">
        <v>729</v>
      </c>
      <c r="K13" s="11" t="s">
        <v>729</v>
      </c>
      <c r="L13" s="11" t="s">
        <v>729</v>
      </c>
      <c r="M13" s="11" t="s">
        <v>729</v>
      </c>
      <c r="N13" s="11" t="s">
        <v>729</v>
      </c>
      <c r="O13" s="11" t="s">
        <v>729</v>
      </c>
      <c r="P13" s="11" t="s">
        <v>729</v>
      </c>
      <c r="Q13" s="11" t="s">
        <v>729</v>
      </c>
      <c r="R13" s="11" t="s">
        <v>729</v>
      </c>
      <c r="S13" s="11" t="s">
        <v>729</v>
      </c>
      <c r="T13" s="11" t="s">
        <v>729</v>
      </c>
      <c r="U13" s="11" t="s">
        <v>729</v>
      </c>
      <c r="V13" s="12" t="s">
        <v>729</v>
      </c>
    </row>
    <row r="14" ht="65.5" customHeight="1" spans="1:22">
      <c r="A14" s="16"/>
      <c r="B14" s="6" t="s">
        <v>729</v>
      </c>
      <c r="C14" s="6" t="s">
        <v>729</v>
      </c>
      <c r="D14" s="18" t="s">
        <v>1331</v>
      </c>
      <c r="E14" s="6" t="s">
        <v>729</v>
      </c>
      <c r="F14" s="11" t="s">
        <v>756</v>
      </c>
      <c r="G14" s="11" t="s">
        <v>752</v>
      </c>
      <c r="H14" s="11" t="s">
        <v>756</v>
      </c>
      <c r="I14" s="11" t="s">
        <v>756</v>
      </c>
      <c r="J14" s="11" t="s">
        <v>729</v>
      </c>
      <c r="K14" s="11" t="s">
        <v>729</v>
      </c>
      <c r="L14" s="11" t="s">
        <v>729</v>
      </c>
      <c r="M14" s="11" t="s">
        <v>729</v>
      </c>
      <c r="N14" s="11" t="s">
        <v>729</v>
      </c>
      <c r="O14" s="11" t="s">
        <v>729</v>
      </c>
      <c r="P14" s="11" t="s">
        <v>729</v>
      </c>
      <c r="Q14" s="11" t="s">
        <v>729</v>
      </c>
      <c r="R14" s="11" t="s">
        <v>729</v>
      </c>
      <c r="S14" s="11" t="s">
        <v>729</v>
      </c>
      <c r="T14" s="11" t="s">
        <v>729</v>
      </c>
      <c r="U14" s="11" t="s">
        <v>729</v>
      </c>
      <c r="V14" s="12" t="s">
        <v>729</v>
      </c>
    </row>
    <row r="15" ht="65.5" customHeight="1" spans="1:22">
      <c r="A15" s="16"/>
      <c r="B15" s="6" t="s">
        <v>729</v>
      </c>
      <c r="C15" s="6" t="s">
        <v>729</v>
      </c>
      <c r="D15" s="18" t="s">
        <v>1332</v>
      </c>
      <c r="E15" s="6" t="s">
        <v>729</v>
      </c>
      <c r="F15" s="11" t="s">
        <v>756</v>
      </c>
      <c r="G15" s="11" t="s">
        <v>756</v>
      </c>
      <c r="H15" s="11" t="s">
        <v>752</v>
      </c>
      <c r="I15" s="11" t="s">
        <v>756</v>
      </c>
      <c r="J15" s="11" t="s">
        <v>729</v>
      </c>
      <c r="K15" s="11" t="s">
        <v>729</v>
      </c>
      <c r="L15" s="11" t="s">
        <v>729</v>
      </c>
      <c r="M15" s="11" t="s">
        <v>729</v>
      </c>
      <c r="N15" s="11" t="s">
        <v>729</v>
      </c>
      <c r="O15" s="11" t="s">
        <v>729</v>
      </c>
      <c r="P15" s="11" t="s">
        <v>729</v>
      </c>
      <c r="Q15" s="11" t="s">
        <v>729</v>
      </c>
      <c r="R15" s="11" t="s">
        <v>729</v>
      </c>
      <c r="S15" s="11" t="s">
        <v>729</v>
      </c>
      <c r="T15" s="11" t="s">
        <v>729</v>
      </c>
      <c r="U15" s="11" t="s">
        <v>729</v>
      </c>
      <c r="V15" s="12" t="s">
        <v>729</v>
      </c>
    </row>
    <row r="16" ht="65.5" customHeight="1" spans="1:22">
      <c r="A16" s="16"/>
      <c r="B16" s="6" t="s">
        <v>729</v>
      </c>
      <c r="C16" s="6" t="s">
        <v>729</v>
      </c>
      <c r="D16" s="18" t="s">
        <v>1333</v>
      </c>
      <c r="E16" s="6" t="s">
        <v>729</v>
      </c>
      <c r="F16" s="11" t="s">
        <v>756</v>
      </c>
      <c r="G16" s="11" t="s">
        <v>756</v>
      </c>
      <c r="H16" s="11" t="s">
        <v>756</v>
      </c>
      <c r="I16" s="11" t="s">
        <v>752</v>
      </c>
      <c r="J16" s="11" t="s">
        <v>729</v>
      </c>
      <c r="K16" s="11" t="s">
        <v>729</v>
      </c>
      <c r="L16" s="11" t="s">
        <v>729</v>
      </c>
      <c r="M16" s="11" t="s">
        <v>729</v>
      </c>
      <c r="N16" s="11" t="s">
        <v>729</v>
      </c>
      <c r="O16" s="11" t="s">
        <v>729</v>
      </c>
      <c r="P16" s="11" t="s">
        <v>729</v>
      </c>
      <c r="Q16" s="11" t="s">
        <v>729</v>
      </c>
      <c r="R16" s="11" t="s">
        <v>729</v>
      </c>
      <c r="S16" s="11" t="s">
        <v>729</v>
      </c>
      <c r="T16" s="11" t="s">
        <v>729</v>
      </c>
      <c r="U16" s="11" t="s">
        <v>729</v>
      </c>
      <c r="V16" s="12" t="s">
        <v>729</v>
      </c>
    </row>
    <row r="17" ht="18" customHeight="1" spans="1:22">
      <c r="A17" s="19" t="s">
        <v>696</v>
      </c>
      <c r="B17" s="20" t="s">
        <v>765</v>
      </c>
      <c r="C17" s="20"/>
      <c r="D17" s="20"/>
      <c r="E17" s="6" t="s">
        <v>729</v>
      </c>
      <c r="F17" s="11" t="s">
        <v>670</v>
      </c>
      <c r="G17" s="11" t="s">
        <v>670</v>
      </c>
      <c r="H17" s="11" t="s">
        <v>670</v>
      </c>
      <c r="I17" s="11" t="s">
        <v>63</v>
      </c>
      <c r="J17" s="11" t="s">
        <v>729</v>
      </c>
      <c r="K17" s="11" t="s">
        <v>729</v>
      </c>
      <c r="L17" s="11" t="s">
        <v>729</v>
      </c>
      <c r="M17" s="11" t="s">
        <v>729</v>
      </c>
      <c r="N17" s="11" t="s">
        <v>729</v>
      </c>
      <c r="O17" s="11" t="s">
        <v>729</v>
      </c>
      <c r="P17" s="11" t="s">
        <v>729</v>
      </c>
      <c r="Q17" s="11" t="s">
        <v>729</v>
      </c>
      <c r="R17" s="11" t="s">
        <v>729</v>
      </c>
      <c r="S17" s="11" t="s">
        <v>729</v>
      </c>
      <c r="T17" s="11" t="s">
        <v>729</v>
      </c>
      <c r="U17" s="11" t="s">
        <v>729</v>
      </c>
      <c r="V17" s="12" t="s">
        <v>729</v>
      </c>
    </row>
    <row r="18" ht="18" customHeight="1" spans="1:22">
      <c r="A18" s="19"/>
      <c r="B18" s="20" t="s">
        <v>698</v>
      </c>
      <c r="C18" s="20"/>
      <c r="D18" s="20"/>
      <c r="E18" s="6" t="s">
        <v>729</v>
      </c>
      <c r="F18" s="11" t="s">
        <v>766</v>
      </c>
      <c r="G18" s="11" t="s">
        <v>766</v>
      </c>
      <c r="H18" s="11" t="s">
        <v>766</v>
      </c>
      <c r="I18" s="11" t="s">
        <v>766</v>
      </c>
      <c r="J18" s="11" t="s">
        <v>729</v>
      </c>
      <c r="K18" s="11" t="s">
        <v>729</v>
      </c>
      <c r="L18" s="11" t="s">
        <v>729</v>
      </c>
      <c r="M18" s="11" t="s">
        <v>729</v>
      </c>
      <c r="N18" s="11" t="s">
        <v>729</v>
      </c>
      <c r="O18" s="11" t="s">
        <v>729</v>
      </c>
      <c r="P18" s="11" t="s">
        <v>729</v>
      </c>
      <c r="Q18" s="11" t="s">
        <v>729</v>
      </c>
      <c r="R18" s="11" t="s">
        <v>729</v>
      </c>
      <c r="S18" s="11" t="s">
        <v>729</v>
      </c>
      <c r="T18" s="11" t="s">
        <v>729</v>
      </c>
      <c r="U18" s="11" t="s">
        <v>729</v>
      </c>
      <c r="V18" s="12" t="s">
        <v>729</v>
      </c>
    </row>
    <row r="19" ht="18" customHeight="1" spans="1:22">
      <c r="A19" s="19"/>
      <c r="B19" s="20" t="s">
        <v>699</v>
      </c>
      <c r="C19" s="20"/>
      <c r="D19" s="20"/>
      <c r="E19" s="6" t="s">
        <v>729</v>
      </c>
      <c r="F19" s="6" t="s">
        <v>729</v>
      </c>
      <c r="G19" s="6" t="s">
        <v>729</v>
      </c>
      <c r="H19" s="6" t="s">
        <v>729</v>
      </c>
      <c r="I19" s="6" t="s">
        <v>729</v>
      </c>
      <c r="J19" s="6" t="s">
        <v>729</v>
      </c>
      <c r="K19" s="6" t="s">
        <v>729</v>
      </c>
      <c r="L19" s="6" t="s">
        <v>729</v>
      </c>
      <c r="M19" s="6" t="s">
        <v>729</v>
      </c>
      <c r="N19" s="6" t="s">
        <v>729</v>
      </c>
      <c r="O19" s="6" t="s">
        <v>729</v>
      </c>
      <c r="P19" s="6" t="s">
        <v>729</v>
      </c>
      <c r="Q19" s="6" t="s">
        <v>729</v>
      </c>
      <c r="R19" s="6" t="s">
        <v>729</v>
      </c>
      <c r="S19" s="6" t="s">
        <v>729</v>
      </c>
      <c r="T19" s="6" t="s">
        <v>729</v>
      </c>
      <c r="U19" s="6" t="s">
        <v>729</v>
      </c>
      <c r="V19" s="8" t="s">
        <v>729</v>
      </c>
    </row>
    <row r="20" ht="18" customHeight="1" spans="1:22">
      <c r="A20" s="19"/>
      <c r="B20" s="21" t="s">
        <v>700</v>
      </c>
      <c r="C20" s="21"/>
      <c r="D20" s="21"/>
      <c r="E20" s="22" t="s">
        <v>729</v>
      </c>
      <c r="F20" s="22" t="s">
        <v>729</v>
      </c>
      <c r="G20" s="22" t="s">
        <v>729</v>
      </c>
      <c r="H20" s="22" t="s">
        <v>729</v>
      </c>
      <c r="I20" s="22" t="s">
        <v>729</v>
      </c>
      <c r="J20" s="22" t="s">
        <v>729</v>
      </c>
      <c r="K20" s="22" t="s">
        <v>729</v>
      </c>
      <c r="L20" s="22" t="s">
        <v>729</v>
      </c>
      <c r="M20" s="22" t="s">
        <v>729</v>
      </c>
      <c r="N20" s="22" t="s">
        <v>729</v>
      </c>
      <c r="O20" s="22" t="s">
        <v>729</v>
      </c>
      <c r="P20" s="22" t="s">
        <v>729</v>
      </c>
      <c r="Q20" s="22" t="s">
        <v>729</v>
      </c>
      <c r="R20" s="22" t="s">
        <v>729</v>
      </c>
      <c r="S20" s="22" t="s">
        <v>729</v>
      </c>
      <c r="T20" s="22" t="s">
        <v>729</v>
      </c>
      <c r="U20" s="22" t="s">
        <v>729</v>
      </c>
      <c r="V20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7:D17"/>
    <mergeCell ref="B18:D18"/>
    <mergeCell ref="B19:D19"/>
    <mergeCell ref="B20:D20"/>
    <mergeCell ref="A7:A11"/>
    <mergeCell ref="A12:A16"/>
    <mergeCell ref="A17:A20"/>
  </mergeCells>
  <dataValidations count="3">
    <dataValidation type="list" allowBlank="1" sqref="F17:V17">
      <formula1>"N,A,B"</formula1>
    </dataValidation>
    <dataValidation type="list" allowBlank="1" sqref="F18:V18">
      <formula1>"P,F"</formula1>
    </dataValidation>
    <dataValidation type="list" allowBlank="1" sqref="F8:V9 F10:V11 F13:V16">
      <formula1>"O,-"</formula1>
    </dataValidation>
  </dataValidations>
  <pageMargins left="0.7" right="0.7" top="0.75" bottom="0.75" header="0.3" footer="0.3"/>
  <pageSetup paperSize="1" orientation="portrait"/>
  <headerFooter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0"/>
  <sheetViews>
    <sheetView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434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478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1334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4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4</v>
      </c>
      <c r="M5" s="11">
        <v>0</v>
      </c>
      <c r="N5" s="11">
        <v>0</v>
      </c>
      <c r="O5" s="12">
        <v>4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687</v>
      </c>
      <c r="H6" s="14" t="s">
        <v>688</v>
      </c>
      <c r="I6" s="14" t="s">
        <v>689</v>
      </c>
      <c r="J6" s="14" t="s">
        <v>729</v>
      </c>
      <c r="K6" s="14" t="s">
        <v>729</v>
      </c>
      <c r="L6" s="14" t="s">
        <v>729</v>
      </c>
      <c r="M6" s="14" t="s">
        <v>729</v>
      </c>
      <c r="N6" s="14" t="s">
        <v>729</v>
      </c>
      <c r="O6" s="14" t="s">
        <v>729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15.5" customHeight="1" spans="1:22">
      <c r="A7" s="16" t="s">
        <v>690</v>
      </c>
      <c r="B7" s="17" t="s">
        <v>1335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28" customHeight="1" spans="1:22">
      <c r="A8" s="16"/>
      <c r="B8" s="6" t="s">
        <v>729</v>
      </c>
      <c r="C8" s="6" t="s">
        <v>729</v>
      </c>
      <c r="D8" s="18" t="s">
        <v>1336</v>
      </c>
      <c r="E8" s="6" t="s">
        <v>729</v>
      </c>
      <c r="F8" s="11" t="s">
        <v>752</v>
      </c>
      <c r="G8" s="11" t="s">
        <v>756</v>
      </c>
      <c r="H8" s="11" t="s">
        <v>756</v>
      </c>
      <c r="I8" s="11" t="s">
        <v>756</v>
      </c>
      <c r="J8" s="11" t="s">
        <v>729</v>
      </c>
      <c r="K8" s="11" t="s">
        <v>729</v>
      </c>
      <c r="L8" s="11" t="s">
        <v>729</v>
      </c>
      <c r="M8" s="11" t="s">
        <v>729</v>
      </c>
      <c r="N8" s="11" t="s">
        <v>729</v>
      </c>
      <c r="O8" s="11" t="s">
        <v>729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15.5" customHeight="1" spans="1:22">
      <c r="A9" s="16"/>
      <c r="B9" s="6" t="s">
        <v>729</v>
      </c>
      <c r="C9" s="6" t="s">
        <v>729</v>
      </c>
      <c r="D9" s="18" t="s">
        <v>1337</v>
      </c>
      <c r="E9" s="6" t="s">
        <v>729</v>
      </c>
      <c r="F9" s="11" t="s">
        <v>756</v>
      </c>
      <c r="G9" s="11" t="s">
        <v>752</v>
      </c>
      <c r="H9" s="11" t="s">
        <v>756</v>
      </c>
      <c r="I9" s="11" t="s">
        <v>756</v>
      </c>
      <c r="J9" s="11" t="s">
        <v>729</v>
      </c>
      <c r="K9" s="11" t="s">
        <v>729</v>
      </c>
      <c r="L9" s="11" t="s">
        <v>729</v>
      </c>
      <c r="M9" s="11" t="s">
        <v>729</v>
      </c>
      <c r="N9" s="11" t="s">
        <v>729</v>
      </c>
      <c r="O9" s="11" t="s">
        <v>729</v>
      </c>
      <c r="P9" s="11" t="s">
        <v>729</v>
      </c>
      <c r="Q9" s="11" t="s">
        <v>729</v>
      </c>
      <c r="R9" s="11" t="s">
        <v>729</v>
      </c>
      <c r="S9" s="11" t="s">
        <v>729</v>
      </c>
      <c r="T9" s="11" t="s">
        <v>729</v>
      </c>
      <c r="U9" s="11" t="s">
        <v>729</v>
      </c>
      <c r="V9" s="12" t="s">
        <v>729</v>
      </c>
    </row>
    <row r="10" ht="28" customHeight="1" spans="1:22">
      <c r="A10" s="16"/>
      <c r="B10" s="6" t="s">
        <v>729</v>
      </c>
      <c r="C10" s="6" t="s">
        <v>729</v>
      </c>
      <c r="D10" s="18" t="s">
        <v>1338</v>
      </c>
      <c r="E10" s="6" t="s">
        <v>729</v>
      </c>
      <c r="F10" s="11" t="s">
        <v>756</v>
      </c>
      <c r="G10" s="11" t="s">
        <v>756</v>
      </c>
      <c r="H10" s="11" t="s">
        <v>752</v>
      </c>
      <c r="I10" s="11" t="s">
        <v>756</v>
      </c>
      <c r="J10" s="11" t="s">
        <v>729</v>
      </c>
      <c r="K10" s="11" t="s">
        <v>729</v>
      </c>
      <c r="L10" s="11" t="s">
        <v>729</v>
      </c>
      <c r="M10" s="11" t="s">
        <v>729</v>
      </c>
      <c r="N10" s="11" t="s">
        <v>729</v>
      </c>
      <c r="O10" s="11" t="s">
        <v>729</v>
      </c>
      <c r="P10" s="11" t="s">
        <v>729</v>
      </c>
      <c r="Q10" s="11" t="s">
        <v>729</v>
      </c>
      <c r="R10" s="11" t="s">
        <v>729</v>
      </c>
      <c r="S10" s="11" t="s">
        <v>729</v>
      </c>
      <c r="T10" s="11" t="s">
        <v>729</v>
      </c>
      <c r="U10" s="11" t="s">
        <v>729</v>
      </c>
      <c r="V10" s="12" t="s">
        <v>729</v>
      </c>
    </row>
    <row r="11" ht="28" customHeight="1" spans="1:22">
      <c r="A11" s="16"/>
      <c r="B11" s="6" t="s">
        <v>729</v>
      </c>
      <c r="C11" s="6" t="s">
        <v>729</v>
      </c>
      <c r="D11" s="18" t="s">
        <v>1339</v>
      </c>
      <c r="E11" s="6" t="s">
        <v>729</v>
      </c>
      <c r="F11" s="11" t="s">
        <v>756</v>
      </c>
      <c r="G11" s="11" t="s">
        <v>756</v>
      </c>
      <c r="H11" s="11" t="s">
        <v>756</v>
      </c>
      <c r="I11" s="11" t="s">
        <v>752</v>
      </c>
      <c r="J11" s="11" t="s">
        <v>729</v>
      </c>
      <c r="K11" s="11" t="s">
        <v>729</v>
      </c>
      <c r="L11" s="11" t="s">
        <v>729</v>
      </c>
      <c r="M11" s="11" t="s">
        <v>729</v>
      </c>
      <c r="N11" s="11" t="s">
        <v>729</v>
      </c>
      <c r="O11" s="11" t="s">
        <v>729</v>
      </c>
      <c r="P11" s="11" t="s">
        <v>729</v>
      </c>
      <c r="Q11" s="11" t="s">
        <v>729</v>
      </c>
      <c r="R11" s="11" t="s">
        <v>729</v>
      </c>
      <c r="S11" s="11" t="s">
        <v>729</v>
      </c>
      <c r="T11" s="11" t="s">
        <v>729</v>
      </c>
      <c r="U11" s="11" t="s">
        <v>729</v>
      </c>
      <c r="V11" s="12" t="s">
        <v>729</v>
      </c>
    </row>
    <row r="12" ht="15.5" customHeight="1" spans="1:22">
      <c r="A12" s="16" t="s">
        <v>692</v>
      </c>
      <c r="B12" s="17" t="s">
        <v>693</v>
      </c>
      <c r="C12" s="6" t="s">
        <v>729</v>
      </c>
      <c r="D12" s="6" t="s">
        <v>729</v>
      </c>
      <c r="E12" s="6" t="s">
        <v>729</v>
      </c>
      <c r="F12" s="6" t="s">
        <v>729</v>
      </c>
      <c r="G12" s="6" t="s">
        <v>729</v>
      </c>
      <c r="H12" s="6" t="s">
        <v>729</v>
      </c>
      <c r="I12" s="6" t="s">
        <v>729</v>
      </c>
      <c r="J12" s="6" t="s">
        <v>729</v>
      </c>
      <c r="K12" s="6" t="s">
        <v>729</v>
      </c>
      <c r="L12" s="6" t="s">
        <v>729</v>
      </c>
      <c r="M12" s="6" t="s">
        <v>729</v>
      </c>
      <c r="N12" s="6" t="s">
        <v>729</v>
      </c>
      <c r="O12" s="6" t="s">
        <v>729</v>
      </c>
      <c r="P12" s="6" t="s">
        <v>729</v>
      </c>
      <c r="Q12" s="6" t="s">
        <v>729</v>
      </c>
      <c r="R12" s="6" t="s">
        <v>729</v>
      </c>
      <c r="S12" s="6" t="s">
        <v>729</v>
      </c>
      <c r="T12" s="6" t="s">
        <v>729</v>
      </c>
      <c r="U12" s="6" t="s">
        <v>729</v>
      </c>
      <c r="V12" s="8" t="s">
        <v>729</v>
      </c>
    </row>
    <row r="13" ht="40.5" customHeight="1" spans="1:22">
      <c r="A13" s="16"/>
      <c r="B13" s="6" t="s">
        <v>729</v>
      </c>
      <c r="C13" s="6" t="s">
        <v>729</v>
      </c>
      <c r="D13" s="18" t="s">
        <v>1340</v>
      </c>
      <c r="E13" s="6" t="s">
        <v>729</v>
      </c>
      <c r="F13" s="11" t="s">
        <v>752</v>
      </c>
      <c r="G13" s="11" t="s">
        <v>756</v>
      </c>
      <c r="H13" s="11" t="s">
        <v>756</v>
      </c>
      <c r="I13" s="11" t="s">
        <v>756</v>
      </c>
      <c r="J13" s="11" t="s">
        <v>729</v>
      </c>
      <c r="K13" s="11" t="s">
        <v>729</v>
      </c>
      <c r="L13" s="11" t="s">
        <v>729</v>
      </c>
      <c r="M13" s="11" t="s">
        <v>729</v>
      </c>
      <c r="N13" s="11" t="s">
        <v>729</v>
      </c>
      <c r="O13" s="11" t="s">
        <v>729</v>
      </c>
      <c r="P13" s="11" t="s">
        <v>729</v>
      </c>
      <c r="Q13" s="11" t="s">
        <v>729</v>
      </c>
      <c r="R13" s="11" t="s">
        <v>729</v>
      </c>
      <c r="S13" s="11" t="s">
        <v>729</v>
      </c>
      <c r="T13" s="11" t="s">
        <v>729</v>
      </c>
      <c r="U13" s="11" t="s">
        <v>729</v>
      </c>
      <c r="V13" s="12" t="s">
        <v>729</v>
      </c>
    </row>
    <row r="14" ht="53" customHeight="1" spans="1:22">
      <c r="A14" s="16"/>
      <c r="B14" s="6" t="s">
        <v>729</v>
      </c>
      <c r="C14" s="6" t="s">
        <v>729</v>
      </c>
      <c r="D14" s="18" t="s">
        <v>1341</v>
      </c>
      <c r="E14" s="6" t="s">
        <v>729</v>
      </c>
      <c r="F14" s="11" t="s">
        <v>756</v>
      </c>
      <c r="G14" s="11" t="s">
        <v>752</v>
      </c>
      <c r="H14" s="11" t="s">
        <v>756</v>
      </c>
      <c r="I14" s="11" t="s">
        <v>756</v>
      </c>
      <c r="J14" s="11" t="s">
        <v>729</v>
      </c>
      <c r="K14" s="11" t="s">
        <v>729</v>
      </c>
      <c r="L14" s="11" t="s">
        <v>729</v>
      </c>
      <c r="M14" s="11" t="s">
        <v>729</v>
      </c>
      <c r="N14" s="11" t="s">
        <v>729</v>
      </c>
      <c r="O14" s="11" t="s">
        <v>729</v>
      </c>
      <c r="P14" s="11" t="s">
        <v>729</v>
      </c>
      <c r="Q14" s="11" t="s">
        <v>729</v>
      </c>
      <c r="R14" s="11" t="s">
        <v>729</v>
      </c>
      <c r="S14" s="11" t="s">
        <v>729</v>
      </c>
      <c r="T14" s="11" t="s">
        <v>729</v>
      </c>
      <c r="U14" s="11" t="s">
        <v>729</v>
      </c>
      <c r="V14" s="12" t="s">
        <v>729</v>
      </c>
    </row>
    <row r="15" ht="65.5" customHeight="1" spans="1:22">
      <c r="A15" s="16"/>
      <c r="B15" s="6" t="s">
        <v>729</v>
      </c>
      <c r="C15" s="6" t="s">
        <v>729</v>
      </c>
      <c r="D15" s="18" t="s">
        <v>1342</v>
      </c>
      <c r="E15" s="6" t="s">
        <v>729</v>
      </c>
      <c r="F15" s="11" t="s">
        <v>756</v>
      </c>
      <c r="G15" s="11" t="s">
        <v>756</v>
      </c>
      <c r="H15" s="11" t="s">
        <v>752</v>
      </c>
      <c r="I15" s="11" t="s">
        <v>756</v>
      </c>
      <c r="J15" s="11" t="s">
        <v>729</v>
      </c>
      <c r="K15" s="11" t="s">
        <v>729</v>
      </c>
      <c r="L15" s="11" t="s">
        <v>729</v>
      </c>
      <c r="M15" s="11" t="s">
        <v>729</v>
      </c>
      <c r="N15" s="11" t="s">
        <v>729</v>
      </c>
      <c r="O15" s="11" t="s">
        <v>729</v>
      </c>
      <c r="P15" s="11" t="s">
        <v>729</v>
      </c>
      <c r="Q15" s="11" t="s">
        <v>729</v>
      </c>
      <c r="R15" s="11" t="s">
        <v>729</v>
      </c>
      <c r="S15" s="11" t="s">
        <v>729</v>
      </c>
      <c r="T15" s="11" t="s">
        <v>729</v>
      </c>
      <c r="U15" s="11" t="s">
        <v>729</v>
      </c>
      <c r="V15" s="12" t="s">
        <v>729</v>
      </c>
    </row>
    <row r="16" ht="78" customHeight="1" spans="1:22">
      <c r="A16" s="16"/>
      <c r="B16" s="6" t="s">
        <v>729</v>
      </c>
      <c r="C16" s="6" t="s">
        <v>729</v>
      </c>
      <c r="D16" s="18" t="s">
        <v>1343</v>
      </c>
      <c r="E16" s="6" t="s">
        <v>729</v>
      </c>
      <c r="F16" s="11" t="s">
        <v>756</v>
      </c>
      <c r="G16" s="11" t="s">
        <v>756</v>
      </c>
      <c r="H16" s="11" t="s">
        <v>756</v>
      </c>
      <c r="I16" s="11" t="s">
        <v>752</v>
      </c>
      <c r="J16" s="11" t="s">
        <v>729</v>
      </c>
      <c r="K16" s="11" t="s">
        <v>729</v>
      </c>
      <c r="L16" s="11" t="s">
        <v>729</v>
      </c>
      <c r="M16" s="11" t="s">
        <v>729</v>
      </c>
      <c r="N16" s="11" t="s">
        <v>729</v>
      </c>
      <c r="O16" s="11" t="s">
        <v>729</v>
      </c>
      <c r="P16" s="11" t="s">
        <v>729</v>
      </c>
      <c r="Q16" s="11" t="s">
        <v>729</v>
      </c>
      <c r="R16" s="11" t="s">
        <v>729</v>
      </c>
      <c r="S16" s="11" t="s">
        <v>729</v>
      </c>
      <c r="T16" s="11" t="s">
        <v>729</v>
      </c>
      <c r="U16" s="11" t="s">
        <v>729</v>
      </c>
      <c r="V16" s="12" t="s">
        <v>729</v>
      </c>
    </row>
    <row r="17" ht="18" customHeight="1" spans="1:22">
      <c r="A17" s="19" t="s">
        <v>696</v>
      </c>
      <c r="B17" s="20" t="s">
        <v>765</v>
      </c>
      <c r="C17" s="20"/>
      <c r="D17" s="20"/>
      <c r="E17" s="6" t="s">
        <v>729</v>
      </c>
      <c r="F17" s="11" t="s">
        <v>670</v>
      </c>
      <c r="G17" s="11" t="s">
        <v>670</v>
      </c>
      <c r="H17" s="11" t="s">
        <v>670</v>
      </c>
      <c r="I17" s="11" t="s">
        <v>670</v>
      </c>
      <c r="J17" s="11" t="s">
        <v>729</v>
      </c>
      <c r="K17" s="11" t="s">
        <v>729</v>
      </c>
      <c r="L17" s="11" t="s">
        <v>729</v>
      </c>
      <c r="M17" s="11" t="s">
        <v>729</v>
      </c>
      <c r="N17" s="11" t="s">
        <v>729</v>
      </c>
      <c r="O17" s="11" t="s">
        <v>729</v>
      </c>
      <c r="P17" s="11" t="s">
        <v>729</v>
      </c>
      <c r="Q17" s="11" t="s">
        <v>729</v>
      </c>
      <c r="R17" s="11" t="s">
        <v>729</v>
      </c>
      <c r="S17" s="11" t="s">
        <v>729</v>
      </c>
      <c r="T17" s="11" t="s">
        <v>729</v>
      </c>
      <c r="U17" s="11" t="s">
        <v>729</v>
      </c>
      <c r="V17" s="12" t="s">
        <v>729</v>
      </c>
    </row>
    <row r="18" ht="18" customHeight="1" spans="1:22">
      <c r="A18" s="19"/>
      <c r="B18" s="20" t="s">
        <v>698</v>
      </c>
      <c r="C18" s="20"/>
      <c r="D18" s="20"/>
      <c r="E18" s="6" t="s">
        <v>729</v>
      </c>
      <c r="F18" s="11" t="s">
        <v>766</v>
      </c>
      <c r="G18" s="11" t="s">
        <v>766</v>
      </c>
      <c r="H18" s="11" t="s">
        <v>766</v>
      </c>
      <c r="I18" s="11" t="s">
        <v>766</v>
      </c>
      <c r="J18" s="11" t="s">
        <v>729</v>
      </c>
      <c r="K18" s="11" t="s">
        <v>729</v>
      </c>
      <c r="L18" s="11" t="s">
        <v>729</v>
      </c>
      <c r="M18" s="11" t="s">
        <v>729</v>
      </c>
      <c r="N18" s="11" t="s">
        <v>729</v>
      </c>
      <c r="O18" s="11" t="s">
        <v>729</v>
      </c>
      <c r="P18" s="11" t="s">
        <v>729</v>
      </c>
      <c r="Q18" s="11" t="s">
        <v>729</v>
      </c>
      <c r="R18" s="11" t="s">
        <v>729</v>
      </c>
      <c r="S18" s="11" t="s">
        <v>729</v>
      </c>
      <c r="T18" s="11" t="s">
        <v>729</v>
      </c>
      <c r="U18" s="11" t="s">
        <v>729</v>
      </c>
      <c r="V18" s="12" t="s">
        <v>729</v>
      </c>
    </row>
    <row r="19" ht="18" customHeight="1" spans="1:22">
      <c r="A19" s="19"/>
      <c r="B19" s="20" t="s">
        <v>699</v>
      </c>
      <c r="C19" s="20"/>
      <c r="D19" s="20"/>
      <c r="E19" s="6" t="s">
        <v>729</v>
      </c>
      <c r="F19" s="6" t="s">
        <v>729</v>
      </c>
      <c r="G19" s="6" t="s">
        <v>729</v>
      </c>
      <c r="H19" s="6" t="s">
        <v>729</v>
      </c>
      <c r="I19" s="6" t="s">
        <v>729</v>
      </c>
      <c r="J19" s="6" t="s">
        <v>729</v>
      </c>
      <c r="K19" s="6" t="s">
        <v>729</v>
      </c>
      <c r="L19" s="6" t="s">
        <v>729</v>
      </c>
      <c r="M19" s="6" t="s">
        <v>729</v>
      </c>
      <c r="N19" s="6" t="s">
        <v>729</v>
      </c>
      <c r="O19" s="6" t="s">
        <v>729</v>
      </c>
      <c r="P19" s="6" t="s">
        <v>729</v>
      </c>
      <c r="Q19" s="6" t="s">
        <v>729</v>
      </c>
      <c r="R19" s="6" t="s">
        <v>729</v>
      </c>
      <c r="S19" s="6" t="s">
        <v>729</v>
      </c>
      <c r="T19" s="6" t="s">
        <v>729</v>
      </c>
      <c r="U19" s="6" t="s">
        <v>729</v>
      </c>
      <c r="V19" s="8" t="s">
        <v>729</v>
      </c>
    </row>
    <row r="20" ht="18" customHeight="1" spans="1:22">
      <c r="A20" s="19"/>
      <c r="B20" s="21" t="s">
        <v>700</v>
      </c>
      <c r="C20" s="21"/>
      <c r="D20" s="21"/>
      <c r="E20" s="22" t="s">
        <v>729</v>
      </c>
      <c r="F20" s="22" t="s">
        <v>729</v>
      </c>
      <c r="G20" s="22" t="s">
        <v>729</v>
      </c>
      <c r="H20" s="22" t="s">
        <v>729</v>
      </c>
      <c r="I20" s="22" t="s">
        <v>729</v>
      </c>
      <c r="J20" s="22" t="s">
        <v>729</v>
      </c>
      <c r="K20" s="22" t="s">
        <v>729</v>
      </c>
      <c r="L20" s="22" t="s">
        <v>729</v>
      </c>
      <c r="M20" s="22" t="s">
        <v>729</v>
      </c>
      <c r="N20" s="22" t="s">
        <v>729</v>
      </c>
      <c r="O20" s="22" t="s">
        <v>729</v>
      </c>
      <c r="P20" s="22" t="s">
        <v>729</v>
      </c>
      <c r="Q20" s="22" t="s">
        <v>729</v>
      </c>
      <c r="R20" s="22" t="s">
        <v>729</v>
      </c>
      <c r="S20" s="22" t="s">
        <v>729</v>
      </c>
      <c r="T20" s="22" t="s">
        <v>729</v>
      </c>
      <c r="U20" s="22" t="s">
        <v>729</v>
      </c>
      <c r="V20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7:D17"/>
    <mergeCell ref="B18:D18"/>
    <mergeCell ref="B19:D19"/>
    <mergeCell ref="B20:D20"/>
    <mergeCell ref="A7:A11"/>
    <mergeCell ref="A12:A16"/>
    <mergeCell ref="A17:A20"/>
  </mergeCells>
  <dataValidations count="3">
    <dataValidation type="list" allowBlank="1" sqref="F17:V17">
      <formula1>"N,A,B"</formula1>
    </dataValidation>
    <dataValidation type="list" allowBlank="1" sqref="F18:V18">
      <formula1>"P,F"</formula1>
    </dataValidation>
    <dataValidation type="list" allowBlank="1" sqref="F8:V9 F10:V11 F13:V16">
      <formula1>"O,-"</formula1>
    </dataValidation>
  </dataValidations>
  <pageMargins left="0.7" right="0.7" top="0.75" bottom="0.75" header="0.3" footer="0.3"/>
  <pageSetup paperSize="1" orientation="portrait"/>
  <headerFooter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0"/>
  <sheetViews>
    <sheetView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434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483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1344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4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3</v>
      </c>
      <c r="M5" s="11">
        <v>1</v>
      </c>
      <c r="N5" s="11">
        <v>0</v>
      </c>
      <c r="O5" s="12">
        <v>4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687</v>
      </c>
      <c r="H6" s="14" t="s">
        <v>688</v>
      </c>
      <c r="I6" s="14" t="s">
        <v>689</v>
      </c>
      <c r="J6" s="14" t="s">
        <v>729</v>
      </c>
      <c r="K6" s="14" t="s">
        <v>729</v>
      </c>
      <c r="L6" s="14" t="s">
        <v>729</v>
      </c>
      <c r="M6" s="14" t="s">
        <v>729</v>
      </c>
      <c r="N6" s="14" t="s">
        <v>729</v>
      </c>
      <c r="O6" s="14" t="s">
        <v>729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15.5" customHeight="1" spans="1:22">
      <c r="A7" s="16" t="s">
        <v>690</v>
      </c>
      <c r="B7" s="17" t="s">
        <v>1345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15.5" customHeight="1" spans="1:22">
      <c r="A8" s="16"/>
      <c r="B8" s="6" t="s">
        <v>729</v>
      </c>
      <c r="C8" s="6" t="s">
        <v>729</v>
      </c>
      <c r="D8" s="18" t="s">
        <v>1346</v>
      </c>
      <c r="E8" s="6" t="s">
        <v>729</v>
      </c>
      <c r="F8" s="11" t="s">
        <v>752</v>
      </c>
      <c r="G8" s="11" t="s">
        <v>756</v>
      </c>
      <c r="H8" s="11" t="s">
        <v>756</v>
      </c>
      <c r="I8" s="11" t="s">
        <v>756</v>
      </c>
      <c r="J8" s="11" t="s">
        <v>729</v>
      </c>
      <c r="K8" s="11" t="s">
        <v>729</v>
      </c>
      <c r="L8" s="11" t="s">
        <v>729</v>
      </c>
      <c r="M8" s="11" t="s">
        <v>729</v>
      </c>
      <c r="N8" s="11" t="s">
        <v>729</v>
      </c>
      <c r="O8" s="11" t="s">
        <v>729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15.5" customHeight="1" spans="1:22">
      <c r="A9" s="16"/>
      <c r="B9" s="6" t="s">
        <v>729</v>
      </c>
      <c r="C9" s="6" t="s">
        <v>729</v>
      </c>
      <c r="D9" s="18" t="s">
        <v>1347</v>
      </c>
      <c r="E9" s="6" t="s">
        <v>729</v>
      </c>
      <c r="F9" s="11" t="s">
        <v>756</v>
      </c>
      <c r="G9" s="11" t="s">
        <v>752</v>
      </c>
      <c r="H9" s="11" t="s">
        <v>756</v>
      </c>
      <c r="I9" s="11" t="s">
        <v>756</v>
      </c>
      <c r="J9" s="11" t="s">
        <v>729</v>
      </c>
      <c r="K9" s="11" t="s">
        <v>729</v>
      </c>
      <c r="L9" s="11" t="s">
        <v>729</v>
      </c>
      <c r="M9" s="11" t="s">
        <v>729</v>
      </c>
      <c r="N9" s="11" t="s">
        <v>729</v>
      </c>
      <c r="O9" s="11" t="s">
        <v>729</v>
      </c>
      <c r="P9" s="11" t="s">
        <v>729</v>
      </c>
      <c r="Q9" s="11" t="s">
        <v>729</v>
      </c>
      <c r="R9" s="11" t="s">
        <v>729</v>
      </c>
      <c r="S9" s="11" t="s">
        <v>729</v>
      </c>
      <c r="T9" s="11" t="s">
        <v>729</v>
      </c>
      <c r="U9" s="11" t="s">
        <v>729</v>
      </c>
      <c r="V9" s="12" t="s">
        <v>729</v>
      </c>
    </row>
    <row r="10" ht="53" customHeight="1" spans="1:22">
      <c r="A10" s="16"/>
      <c r="B10" s="6" t="s">
        <v>729</v>
      </c>
      <c r="C10" s="6" t="s">
        <v>729</v>
      </c>
      <c r="D10" s="18" t="s">
        <v>1348</v>
      </c>
      <c r="E10" s="6" t="s">
        <v>729</v>
      </c>
      <c r="F10" s="11" t="s">
        <v>756</v>
      </c>
      <c r="G10" s="11" t="s">
        <v>756</v>
      </c>
      <c r="H10" s="11" t="s">
        <v>752</v>
      </c>
      <c r="I10" s="11" t="s">
        <v>756</v>
      </c>
      <c r="J10" s="11" t="s">
        <v>729</v>
      </c>
      <c r="K10" s="11" t="s">
        <v>729</v>
      </c>
      <c r="L10" s="11" t="s">
        <v>729</v>
      </c>
      <c r="M10" s="11" t="s">
        <v>729</v>
      </c>
      <c r="N10" s="11" t="s">
        <v>729</v>
      </c>
      <c r="O10" s="11" t="s">
        <v>729</v>
      </c>
      <c r="P10" s="11" t="s">
        <v>729</v>
      </c>
      <c r="Q10" s="11" t="s">
        <v>729</v>
      </c>
      <c r="R10" s="11" t="s">
        <v>729</v>
      </c>
      <c r="S10" s="11" t="s">
        <v>729</v>
      </c>
      <c r="T10" s="11" t="s">
        <v>729</v>
      </c>
      <c r="U10" s="11" t="s">
        <v>729</v>
      </c>
      <c r="V10" s="12" t="s">
        <v>729</v>
      </c>
    </row>
    <row r="11" ht="15.5" customHeight="1" spans="1:22">
      <c r="A11" s="16"/>
      <c r="B11" s="6" t="s">
        <v>729</v>
      </c>
      <c r="C11" s="6" t="s">
        <v>729</v>
      </c>
      <c r="D11" s="18" t="s">
        <v>1349</v>
      </c>
      <c r="E11" s="6" t="s">
        <v>729</v>
      </c>
      <c r="F11" s="11" t="s">
        <v>756</v>
      </c>
      <c r="G11" s="11" t="s">
        <v>756</v>
      </c>
      <c r="H11" s="11" t="s">
        <v>756</v>
      </c>
      <c r="I11" s="11" t="s">
        <v>752</v>
      </c>
      <c r="J11" s="11" t="s">
        <v>729</v>
      </c>
      <c r="K11" s="11" t="s">
        <v>729</v>
      </c>
      <c r="L11" s="11" t="s">
        <v>729</v>
      </c>
      <c r="M11" s="11" t="s">
        <v>729</v>
      </c>
      <c r="N11" s="11" t="s">
        <v>729</v>
      </c>
      <c r="O11" s="11" t="s">
        <v>729</v>
      </c>
      <c r="P11" s="11" t="s">
        <v>729</v>
      </c>
      <c r="Q11" s="11" t="s">
        <v>729</v>
      </c>
      <c r="R11" s="11" t="s">
        <v>729</v>
      </c>
      <c r="S11" s="11" t="s">
        <v>729</v>
      </c>
      <c r="T11" s="11" t="s">
        <v>729</v>
      </c>
      <c r="U11" s="11" t="s">
        <v>729</v>
      </c>
      <c r="V11" s="12" t="s">
        <v>729</v>
      </c>
    </row>
    <row r="12" ht="15.5" customHeight="1" spans="1:22">
      <c r="A12" s="16" t="s">
        <v>692</v>
      </c>
      <c r="B12" s="17" t="s">
        <v>693</v>
      </c>
      <c r="C12" s="6" t="s">
        <v>729</v>
      </c>
      <c r="D12" s="6" t="s">
        <v>729</v>
      </c>
      <c r="E12" s="6" t="s">
        <v>729</v>
      </c>
      <c r="F12" s="6" t="s">
        <v>729</v>
      </c>
      <c r="G12" s="6" t="s">
        <v>729</v>
      </c>
      <c r="H12" s="6" t="s">
        <v>729</v>
      </c>
      <c r="I12" s="6" t="s">
        <v>729</v>
      </c>
      <c r="J12" s="6" t="s">
        <v>729</v>
      </c>
      <c r="K12" s="6" t="s">
        <v>729</v>
      </c>
      <c r="L12" s="6" t="s">
        <v>729</v>
      </c>
      <c r="M12" s="6" t="s">
        <v>729</v>
      </c>
      <c r="N12" s="6" t="s">
        <v>729</v>
      </c>
      <c r="O12" s="6" t="s">
        <v>729</v>
      </c>
      <c r="P12" s="6" t="s">
        <v>729</v>
      </c>
      <c r="Q12" s="6" t="s">
        <v>729</v>
      </c>
      <c r="R12" s="6" t="s">
        <v>729</v>
      </c>
      <c r="S12" s="6" t="s">
        <v>729</v>
      </c>
      <c r="T12" s="6" t="s">
        <v>729</v>
      </c>
      <c r="U12" s="6" t="s">
        <v>729</v>
      </c>
      <c r="V12" s="8" t="s">
        <v>729</v>
      </c>
    </row>
    <row r="13" ht="40.5" customHeight="1" spans="1:22">
      <c r="A13" s="16"/>
      <c r="B13" s="6" t="s">
        <v>729</v>
      </c>
      <c r="C13" s="6" t="s">
        <v>729</v>
      </c>
      <c r="D13" s="18" t="s">
        <v>1350</v>
      </c>
      <c r="E13" s="6" t="s">
        <v>729</v>
      </c>
      <c r="F13" s="11" t="s">
        <v>752</v>
      </c>
      <c r="G13" s="11" t="s">
        <v>756</v>
      </c>
      <c r="H13" s="11" t="s">
        <v>756</v>
      </c>
      <c r="I13" s="11" t="s">
        <v>756</v>
      </c>
      <c r="J13" s="11" t="s">
        <v>729</v>
      </c>
      <c r="K13" s="11" t="s">
        <v>729</v>
      </c>
      <c r="L13" s="11" t="s">
        <v>729</v>
      </c>
      <c r="M13" s="11" t="s">
        <v>729</v>
      </c>
      <c r="N13" s="11" t="s">
        <v>729</v>
      </c>
      <c r="O13" s="11" t="s">
        <v>729</v>
      </c>
      <c r="P13" s="11" t="s">
        <v>729</v>
      </c>
      <c r="Q13" s="11" t="s">
        <v>729</v>
      </c>
      <c r="R13" s="11" t="s">
        <v>729</v>
      </c>
      <c r="S13" s="11" t="s">
        <v>729</v>
      </c>
      <c r="T13" s="11" t="s">
        <v>729</v>
      </c>
      <c r="U13" s="11" t="s">
        <v>729</v>
      </c>
      <c r="V13" s="12" t="s">
        <v>729</v>
      </c>
    </row>
    <row r="14" ht="28" customHeight="1" spans="1:22">
      <c r="A14" s="16"/>
      <c r="B14" s="6" t="s">
        <v>729</v>
      </c>
      <c r="C14" s="6" t="s">
        <v>729</v>
      </c>
      <c r="D14" s="18" t="s">
        <v>1351</v>
      </c>
      <c r="E14" s="6" t="s">
        <v>729</v>
      </c>
      <c r="F14" s="11" t="s">
        <v>756</v>
      </c>
      <c r="G14" s="11" t="s">
        <v>752</v>
      </c>
      <c r="H14" s="11" t="s">
        <v>756</v>
      </c>
      <c r="I14" s="11" t="s">
        <v>756</v>
      </c>
      <c r="J14" s="11" t="s">
        <v>729</v>
      </c>
      <c r="K14" s="11" t="s">
        <v>729</v>
      </c>
      <c r="L14" s="11" t="s">
        <v>729</v>
      </c>
      <c r="M14" s="11" t="s">
        <v>729</v>
      </c>
      <c r="N14" s="11" t="s">
        <v>729</v>
      </c>
      <c r="O14" s="11" t="s">
        <v>729</v>
      </c>
      <c r="P14" s="11" t="s">
        <v>729</v>
      </c>
      <c r="Q14" s="11" t="s">
        <v>729</v>
      </c>
      <c r="R14" s="11" t="s">
        <v>729</v>
      </c>
      <c r="S14" s="11" t="s">
        <v>729</v>
      </c>
      <c r="T14" s="11" t="s">
        <v>729</v>
      </c>
      <c r="U14" s="11" t="s">
        <v>729</v>
      </c>
      <c r="V14" s="12" t="s">
        <v>729</v>
      </c>
    </row>
    <row r="15" ht="40.5" customHeight="1" spans="1:22">
      <c r="A15" s="16"/>
      <c r="B15" s="6" t="s">
        <v>729</v>
      </c>
      <c r="C15" s="6" t="s">
        <v>729</v>
      </c>
      <c r="D15" s="18" t="s">
        <v>1352</v>
      </c>
      <c r="E15" s="6" t="s">
        <v>729</v>
      </c>
      <c r="F15" s="11" t="s">
        <v>756</v>
      </c>
      <c r="G15" s="11" t="s">
        <v>756</v>
      </c>
      <c r="H15" s="11" t="s">
        <v>752</v>
      </c>
      <c r="I15" s="11" t="s">
        <v>756</v>
      </c>
      <c r="J15" s="11" t="s">
        <v>729</v>
      </c>
      <c r="K15" s="11" t="s">
        <v>729</v>
      </c>
      <c r="L15" s="11" t="s">
        <v>729</v>
      </c>
      <c r="M15" s="11" t="s">
        <v>729</v>
      </c>
      <c r="N15" s="11" t="s">
        <v>729</v>
      </c>
      <c r="O15" s="11" t="s">
        <v>729</v>
      </c>
      <c r="P15" s="11" t="s">
        <v>729</v>
      </c>
      <c r="Q15" s="11" t="s">
        <v>729</v>
      </c>
      <c r="R15" s="11" t="s">
        <v>729</v>
      </c>
      <c r="S15" s="11" t="s">
        <v>729</v>
      </c>
      <c r="T15" s="11" t="s">
        <v>729</v>
      </c>
      <c r="U15" s="11" t="s">
        <v>729</v>
      </c>
      <c r="V15" s="12" t="s">
        <v>729</v>
      </c>
    </row>
    <row r="16" ht="53" customHeight="1" spans="1:22">
      <c r="A16" s="16"/>
      <c r="B16" s="6" t="s">
        <v>729</v>
      </c>
      <c r="C16" s="6" t="s">
        <v>729</v>
      </c>
      <c r="D16" s="18" t="s">
        <v>1353</v>
      </c>
      <c r="E16" s="6" t="s">
        <v>729</v>
      </c>
      <c r="F16" s="11" t="s">
        <v>756</v>
      </c>
      <c r="G16" s="11" t="s">
        <v>756</v>
      </c>
      <c r="H16" s="11" t="s">
        <v>756</v>
      </c>
      <c r="I16" s="11" t="s">
        <v>752</v>
      </c>
      <c r="J16" s="11" t="s">
        <v>729</v>
      </c>
      <c r="K16" s="11" t="s">
        <v>729</v>
      </c>
      <c r="L16" s="11" t="s">
        <v>729</v>
      </c>
      <c r="M16" s="11" t="s">
        <v>729</v>
      </c>
      <c r="N16" s="11" t="s">
        <v>729</v>
      </c>
      <c r="O16" s="11" t="s">
        <v>729</v>
      </c>
      <c r="P16" s="11" t="s">
        <v>729</v>
      </c>
      <c r="Q16" s="11" t="s">
        <v>729</v>
      </c>
      <c r="R16" s="11" t="s">
        <v>729</v>
      </c>
      <c r="S16" s="11" t="s">
        <v>729</v>
      </c>
      <c r="T16" s="11" t="s">
        <v>729</v>
      </c>
      <c r="U16" s="11" t="s">
        <v>729</v>
      </c>
      <c r="V16" s="12" t="s">
        <v>729</v>
      </c>
    </row>
    <row r="17" ht="18" customHeight="1" spans="1:22">
      <c r="A17" s="19" t="s">
        <v>696</v>
      </c>
      <c r="B17" s="20" t="s">
        <v>765</v>
      </c>
      <c r="C17" s="20"/>
      <c r="D17" s="20"/>
      <c r="E17" s="6" t="s">
        <v>729</v>
      </c>
      <c r="F17" s="11" t="s">
        <v>670</v>
      </c>
      <c r="G17" s="11" t="s">
        <v>670</v>
      </c>
      <c r="H17" s="11" t="s">
        <v>63</v>
      </c>
      <c r="I17" s="11" t="s">
        <v>670</v>
      </c>
      <c r="J17" s="11" t="s">
        <v>729</v>
      </c>
      <c r="K17" s="11" t="s">
        <v>729</v>
      </c>
      <c r="L17" s="11" t="s">
        <v>729</v>
      </c>
      <c r="M17" s="11" t="s">
        <v>729</v>
      </c>
      <c r="N17" s="11" t="s">
        <v>729</v>
      </c>
      <c r="O17" s="11" t="s">
        <v>729</v>
      </c>
      <c r="P17" s="11" t="s">
        <v>729</v>
      </c>
      <c r="Q17" s="11" t="s">
        <v>729</v>
      </c>
      <c r="R17" s="11" t="s">
        <v>729</v>
      </c>
      <c r="S17" s="11" t="s">
        <v>729</v>
      </c>
      <c r="T17" s="11" t="s">
        <v>729</v>
      </c>
      <c r="U17" s="11" t="s">
        <v>729</v>
      </c>
      <c r="V17" s="12" t="s">
        <v>729</v>
      </c>
    </row>
    <row r="18" ht="18" customHeight="1" spans="1:22">
      <c r="A18" s="19"/>
      <c r="B18" s="20" t="s">
        <v>698</v>
      </c>
      <c r="C18" s="20"/>
      <c r="D18" s="20"/>
      <c r="E18" s="6" t="s">
        <v>729</v>
      </c>
      <c r="F18" s="11" t="s">
        <v>766</v>
      </c>
      <c r="G18" s="11" t="s">
        <v>766</v>
      </c>
      <c r="H18" s="11" t="s">
        <v>766</v>
      </c>
      <c r="I18" s="11" t="s">
        <v>766</v>
      </c>
      <c r="J18" s="11" t="s">
        <v>729</v>
      </c>
      <c r="K18" s="11" t="s">
        <v>729</v>
      </c>
      <c r="L18" s="11" t="s">
        <v>729</v>
      </c>
      <c r="M18" s="11" t="s">
        <v>729</v>
      </c>
      <c r="N18" s="11" t="s">
        <v>729</v>
      </c>
      <c r="O18" s="11" t="s">
        <v>729</v>
      </c>
      <c r="P18" s="11" t="s">
        <v>729</v>
      </c>
      <c r="Q18" s="11" t="s">
        <v>729</v>
      </c>
      <c r="R18" s="11" t="s">
        <v>729</v>
      </c>
      <c r="S18" s="11" t="s">
        <v>729</v>
      </c>
      <c r="T18" s="11" t="s">
        <v>729</v>
      </c>
      <c r="U18" s="11" t="s">
        <v>729</v>
      </c>
      <c r="V18" s="12" t="s">
        <v>729</v>
      </c>
    </row>
    <row r="19" ht="18" customHeight="1" spans="1:22">
      <c r="A19" s="19"/>
      <c r="B19" s="20" t="s">
        <v>699</v>
      </c>
      <c r="C19" s="20"/>
      <c r="D19" s="20"/>
      <c r="E19" s="6" t="s">
        <v>729</v>
      </c>
      <c r="F19" s="6" t="s">
        <v>729</v>
      </c>
      <c r="G19" s="6" t="s">
        <v>729</v>
      </c>
      <c r="H19" s="6" t="s">
        <v>729</v>
      </c>
      <c r="I19" s="6" t="s">
        <v>729</v>
      </c>
      <c r="J19" s="6" t="s">
        <v>729</v>
      </c>
      <c r="K19" s="6" t="s">
        <v>729</v>
      </c>
      <c r="L19" s="6" t="s">
        <v>729</v>
      </c>
      <c r="M19" s="6" t="s">
        <v>729</v>
      </c>
      <c r="N19" s="6" t="s">
        <v>729</v>
      </c>
      <c r="O19" s="6" t="s">
        <v>729</v>
      </c>
      <c r="P19" s="6" t="s">
        <v>729</v>
      </c>
      <c r="Q19" s="6" t="s">
        <v>729</v>
      </c>
      <c r="R19" s="6" t="s">
        <v>729</v>
      </c>
      <c r="S19" s="6" t="s">
        <v>729</v>
      </c>
      <c r="T19" s="6" t="s">
        <v>729</v>
      </c>
      <c r="U19" s="6" t="s">
        <v>729</v>
      </c>
      <c r="V19" s="8" t="s">
        <v>729</v>
      </c>
    </row>
    <row r="20" ht="18" customHeight="1" spans="1:22">
      <c r="A20" s="19"/>
      <c r="B20" s="21" t="s">
        <v>700</v>
      </c>
      <c r="C20" s="21"/>
      <c r="D20" s="21"/>
      <c r="E20" s="22" t="s">
        <v>729</v>
      </c>
      <c r="F20" s="22" t="s">
        <v>729</v>
      </c>
      <c r="G20" s="22" t="s">
        <v>729</v>
      </c>
      <c r="H20" s="22" t="s">
        <v>729</v>
      </c>
      <c r="I20" s="22" t="s">
        <v>729</v>
      </c>
      <c r="J20" s="22" t="s">
        <v>729</v>
      </c>
      <c r="K20" s="22" t="s">
        <v>729</v>
      </c>
      <c r="L20" s="22" t="s">
        <v>729</v>
      </c>
      <c r="M20" s="22" t="s">
        <v>729</v>
      </c>
      <c r="N20" s="22" t="s">
        <v>729</v>
      </c>
      <c r="O20" s="22" t="s">
        <v>729</v>
      </c>
      <c r="P20" s="22" t="s">
        <v>729</v>
      </c>
      <c r="Q20" s="22" t="s">
        <v>729</v>
      </c>
      <c r="R20" s="22" t="s">
        <v>729</v>
      </c>
      <c r="S20" s="22" t="s">
        <v>729</v>
      </c>
      <c r="T20" s="22" t="s">
        <v>729</v>
      </c>
      <c r="U20" s="22" t="s">
        <v>729</v>
      </c>
      <c r="V20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7:D17"/>
    <mergeCell ref="B18:D18"/>
    <mergeCell ref="B19:D19"/>
    <mergeCell ref="B20:D20"/>
    <mergeCell ref="A7:A11"/>
    <mergeCell ref="A12:A16"/>
    <mergeCell ref="A17:A20"/>
  </mergeCells>
  <dataValidations count="3">
    <dataValidation type="list" allowBlank="1" sqref="F17:V17">
      <formula1>"N,A,B"</formula1>
    </dataValidation>
    <dataValidation type="list" allowBlank="1" sqref="F18:V18">
      <formula1>"P,F"</formula1>
    </dataValidation>
    <dataValidation type="list" allowBlank="1" sqref="F8:V9 F10:V11 F13:V16">
      <formula1>"O,-"</formula1>
    </dataValidation>
  </dataValidations>
  <pageMargins left="0.7" right="0.7" top="0.75" bottom="0.75" header="0.3" footer="0.3"/>
  <pageSetup paperSize="1" orientation="portrait"/>
  <headerFooter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0"/>
  <sheetViews>
    <sheetView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434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488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1354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4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3</v>
      </c>
      <c r="M5" s="11">
        <v>0</v>
      </c>
      <c r="N5" s="11">
        <v>1</v>
      </c>
      <c r="O5" s="12">
        <v>4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687</v>
      </c>
      <c r="H6" s="14" t="s">
        <v>688</v>
      </c>
      <c r="I6" s="14" t="s">
        <v>689</v>
      </c>
      <c r="J6" s="14" t="s">
        <v>729</v>
      </c>
      <c r="K6" s="14" t="s">
        <v>729</v>
      </c>
      <c r="L6" s="14" t="s">
        <v>729</v>
      </c>
      <c r="M6" s="14" t="s">
        <v>729</v>
      </c>
      <c r="N6" s="14" t="s">
        <v>729</v>
      </c>
      <c r="O6" s="14" t="s">
        <v>729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15.5" customHeight="1" spans="1:22">
      <c r="A7" s="16" t="s">
        <v>690</v>
      </c>
      <c r="B7" s="17" t="s">
        <v>1355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28" customHeight="1" spans="1:22">
      <c r="A8" s="16"/>
      <c r="B8" s="6" t="s">
        <v>729</v>
      </c>
      <c r="C8" s="6" t="s">
        <v>729</v>
      </c>
      <c r="D8" s="18" t="s">
        <v>1356</v>
      </c>
      <c r="E8" s="6" t="s">
        <v>729</v>
      </c>
      <c r="F8" s="11" t="s">
        <v>752</v>
      </c>
      <c r="G8" s="11" t="s">
        <v>756</v>
      </c>
      <c r="H8" s="11" t="s">
        <v>756</v>
      </c>
      <c r="I8" s="11" t="s">
        <v>756</v>
      </c>
      <c r="J8" s="11" t="s">
        <v>729</v>
      </c>
      <c r="K8" s="11" t="s">
        <v>729</v>
      </c>
      <c r="L8" s="11" t="s">
        <v>729</v>
      </c>
      <c r="M8" s="11" t="s">
        <v>729</v>
      </c>
      <c r="N8" s="11" t="s">
        <v>729</v>
      </c>
      <c r="O8" s="11" t="s">
        <v>729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40.5" customHeight="1" spans="1:22">
      <c r="A9" s="16"/>
      <c r="B9" s="6" t="s">
        <v>729</v>
      </c>
      <c r="C9" s="6" t="s">
        <v>729</v>
      </c>
      <c r="D9" s="18" t="s">
        <v>1357</v>
      </c>
      <c r="E9" s="6" t="s">
        <v>729</v>
      </c>
      <c r="F9" s="11" t="s">
        <v>756</v>
      </c>
      <c r="G9" s="11" t="s">
        <v>752</v>
      </c>
      <c r="H9" s="11" t="s">
        <v>756</v>
      </c>
      <c r="I9" s="11" t="s">
        <v>756</v>
      </c>
      <c r="J9" s="11" t="s">
        <v>729</v>
      </c>
      <c r="K9" s="11" t="s">
        <v>729</v>
      </c>
      <c r="L9" s="11" t="s">
        <v>729</v>
      </c>
      <c r="M9" s="11" t="s">
        <v>729</v>
      </c>
      <c r="N9" s="11" t="s">
        <v>729</v>
      </c>
      <c r="O9" s="11" t="s">
        <v>729</v>
      </c>
      <c r="P9" s="11" t="s">
        <v>729</v>
      </c>
      <c r="Q9" s="11" t="s">
        <v>729</v>
      </c>
      <c r="R9" s="11" t="s">
        <v>729</v>
      </c>
      <c r="S9" s="11" t="s">
        <v>729</v>
      </c>
      <c r="T9" s="11" t="s">
        <v>729</v>
      </c>
      <c r="U9" s="11" t="s">
        <v>729</v>
      </c>
      <c r="V9" s="12" t="s">
        <v>729</v>
      </c>
    </row>
    <row r="10" ht="15.5" customHeight="1" spans="1:22">
      <c r="A10" s="16"/>
      <c r="B10" s="6" t="s">
        <v>729</v>
      </c>
      <c r="C10" s="6" t="s">
        <v>729</v>
      </c>
      <c r="D10" s="18" t="s">
        <v>1301</v>
      </c>
      <c r="E10" s="6" t="s">
        <v>729</v>
      </c>
      <c r="F10" s="11" t="s">
        <v>756</v>
      </c>
      <c r="G10" s="11" t="s">
        <v>756</v>
      </c>
      <c r="H10" s="11" t="s">
        <v>752</v>
      </c>
      <c r="I10" s="11" t="s">
        <v>756</v>
      </c>
      <c r="J10" s="11" t="s">
        <v>729</v>
      </c>
      <c r="K10" s="11" t="s">
        <v>729</v>
      </c>
      <c r="L10" s="11" t="s">
        <v>729</v>
      </c>
      <c r="M10" s="11" t="s">
        <v>729</v>
      </c>
      <c r="N10" s="11" t="s">
        <v>729</v>
      </c>
      <c r="O10" s="11" t="s">
        <v>729</v>
      </c>
      <c r="P10" s="11" t="s">
        <v>729</v>
      </c>
      <c r="Q10" s="11" t="s">
        <v>729</v>
      </c>
      <c r="R10" s="11" t="s">
        <v>729</v>
      </c>
      <c r="S10" s="11" t="s">
        <v>729</v>
      </c>
      <c r="T10" s="11" t="s">
        <v>729</v>
      </c>
      <c r="U10" s="11" t="s">
        <v>729</v>
      </c>
      <c r="V10" s="12" t="s">
        <v>729</v>
      </c>
    </row>
    <row r="11" ht="15.5" customHeight="1" spans="1:22">
      <c r="A11" s="16"/>
      <c r="B11" s="6" t="s">
        <v>729</v>
      </c>
      <c r="C11" s="6" t="s">
        <v>729</v>
      </c>
      <c r="D11" s="18" t="s">
        <v>1302</v>
      </c>
      <c r="E11" s="6" t="s">
        <v>729</v>
      </c>
      <c r="F11" s="11" t="s">
        <v>756</v>
      </c>
      <c r="G11" s="11" t="s">
        <v>756</v>
      </c>
      <c r="H11" s="11" t="s">
        <v>756</v>
      </c>
      <c r="I11" s="11" t="s">
        <v>752</v>
      </c>
      <c r="J11" s="11" t="s">
        <v>729</v>
      </c>
      <c r="K11" s="11" t="s">
        <v>729</v>
      </c>
      <c r="L11" s="11" t="s">
        <v>729</v>
      </c>
      <c r="M11" s="11" t="s">
        <v>729</v>
      </c>
      <c r="N11" s="11" t="s">
        <v>729</v>
      </c>
      <c r="O11" s="11" t="s">
        <v>729</v>
      </c>
      <c r="P11" s="11" t="s">
        <v>729</v>
      </c>
      <c r="Q11" s="11" t="s">
        <v>729</v>
      </c>
      <c r="R11" s="11" t="s">
        <v>729</v>
      </c>
      <c r="S11" s="11" t="s">
        <v>729</v>
      </c>
      <c r="T11" s="11" t="s">
        <v>729</v>
      </c>
      <c r="U11" s="11" t="s">
        <v>729</v>
      </c>
      <c r="V11" s="12" t="s">
        <v>729</v>
      </c>
    </row>
    <row r="12" ht="15.5" customHeight="1" spans="1:22">
      <c r="A12" s="16" t="s">
        <v>692</v>
      </c>
      <c r="B12" s="17" t="s">
        <v>693</v>
      </c>
      <c r="C12" s="6" t="s">
        <v>729</v>
      </c>
      <c r="D12" s="6" t="s">
        <v>729</v>
      </c>
      <c r="E12" s="6" t="s">
        <v>729</v>
      </c>
      <c r="F12" s="6" t="s">
        <v>729</v>
      </c>
      <c r="G12" s="6" t="s">
        <v>729</v>
      </c>
      <c r="H12" s="6" t="s">
        <v>729</v>
      </c>
      <c r="I12" s="6" t="s">
        <v>729</v>
      </c>
      <c r="J12" s="6" t="s">
        <v>729</v>
      </c>
      <c r="K12" s="6" t="s">
        <v>729</v>
      </c>
      <c r="L12" s="6" t="s">
        <v>729</v>
      </c>
      <c r="M12" s="6" t="s">
        <v>729</v>
      </c>
      <c r="N12" s="6" t="s">
        <v>729</v>
      </c>
      <c r="O12" s="6" t="s">
        <v>729</v>
      </c>
      <c r="P12" s="6" t="s">
        <v>729</v>
      </c>
      <c r="Q12" s="6" t="s">
        <v>729</v>
      </c>
      <c r="R12" s="6" t="s">
        <v>729</v>
      </c>
      <c r="S12" s="6" t="s">
        <v>729</v>
      </c>
      <c r="T12" s="6" t="s">
        <v>729</v>
      </c>
      <c r="U12" s="6" t="s">
        <v>729</v>
      </c>
      <c r="V12" s="8" t="s">
        <v>729</v>
      </c>
    </row>
    <row r="13" ht="40.5" customHeight="1" spans="1:22">
      <c r="A13" s="16"/>
      <c r="B13" s="6" t="s">
        <v>729</v>
      </c>
      <c r="C13" s="6" t="s">
        <v>729</v>
      </c>
      <c r="D13" s="18" t="s">
        <v>1358</v>
      </c>
      <c r="E13" s="6" t="s">
        <v>729</v>
      </c>
      <c r="F13" s="11" t="s">
        <v>752</v>
      </c>
      <c r="G13" s="11" t="s">
        <v>756</v>
      </c>
      <c r="H13" s="11" t="s">
        <v>756</v>
      </c>
      <c r="I13" s="11" t="s">
        <v>756</v>
      </c>
      <c r="J13" s="11" t="s">
        <v>729</v>
      </c>
      <c r="K13" s="11" t="s">
        <v>729</v>
      </c>
      <c r="L13" s="11" t="s">
        <v>729</v>
      </c>
      <c r="M13" s="11" t="s">
        <v>729</v>
      </c>
      <c r="N13" s="11" t="s">
        <v>729</v>
      </c>
      <c r="O13" s="11" t="s">
        <v>729</v>
      </c>
      <c r="P13" s="11" t="s">
        <v>729</v>
      </c>
      <c r="Q13" s="11" t="s">
        <v>729</v>
      </c>
      <c r="R13" s="11" t="s">
        <v>729</v>
      </c>
      <c r="S13" s="11" t="s">
        <v>729</v>
      </c>
      <c r="T13" s="11" t="s">
        <v>729</v>
      </c>
      <c r="U13" s="11" t="s">
        <v>729</v>
      </c>
      <c r="V13" s="12" t="s">
        <v>729</v>
      </c>
    </row>
    <row r="14" ht="53" customHeight="1" spans="1:22">
      <c r="A14" s="16"/>
      <c r="B14" s="6" t="s">
        <v>729</v>
      </c>
      <c r="C14" s="6" t="s">
        <v>729</v>
      </c>
      <c r="D14" s="18" t="s">
        <v>1359</v>
      </c>
      <c r="E14" s="6" t="s">
        <v>729</v>
      </c>
      <c r="F14" s="11" t="s">
        <v>756</v>
      </c>
      <c r="G14" s="11" t="s">
        <v>752</v>
      </c>
      <c r="H14" s="11" t="s">
        <v>756</v>
      </c>
      <c r="I14" s="11" t="s">
        <v>756</v>
      </c>
      <c r="J14" s="11" t="s">
        <v>729</v>
      </c>
      <c r="K14" s="11" t="s">
        <v>729</v>
      </c>
      <c r="L14" s="11" t="s">
        <v>729</v>
      </c>
      <c r="M14" s="11" t="s">
        <v>729</v>
      </c>
      <c r="N14" s="11" t="s">
        <v>729</v>
      </c>
      <c r="O14" s="11" t="s">
        <v>729</v>
      </c>
      <c r="P14" s="11" t="s">
        <v>729</v>
      </c>
      <c r="Q14" s="11" t="s">
        <v>729</v>
      </c>
      <c r="R14" s="11" t="s">
        <v>729</v>
      </c>
      <c r="S14" s="11" t="s">
        <v>729</v>
      </c>
      <c r="T14" s="11" t="s">
        <v>729</v>
      </c>
      <c r="U14" s="11" t="s">
        <v>729</v>
      </c>
      <c r="V14" s="12" t="s">
        <v>729</v>
      </c>
    </row>
    <row r="15" ht="65.5" customHeight="1" spans="1:22">
      <c r="A15" s="16"/>
      <c r="B15" s="6" t="s">
        <v>729</v>
      </c>
      <c r="C15" s="6" t="s">
        <v>729</v>
      </c>
      <c r="D15" s="18" t="s">
        <v>1360</v>
      </c>
      <c r="E15" s="6" t="s">
        <v>729</v>
      </c>
      <c r="F15" s="11" t="s">
        <v>756</v>
      </c>
      <c r="G15" s="11" t="s">
        <v>756</v>
      </c>
      <c r="H15" s="11" t="s">
        <v>752</v>
      </c>
      <c r="I15" s="11" t="s">
        <v>756</v>
      </c>
      <c r="J15" s="11" t="s">
        <v>729</v>
      </c>
      <c r="K15" s="11" t="s">
        <v>729</v>
      </c>
      <c r="L15" s="11" t="s">
        <v>729</v>
      </c>
      <c r="M15" s="11" t="s">
        <v>729</v>
      </c>
      <c r="N15" s="11" t="s">
        <v>729</v>
      </c>
      <c r="O15" s="11" t="s">
        <v>729</v>
      </c>
      <c r="P15" s="11" t="s">
        <v>729</v>
      </c>
      <c r="Q15" s="11" t="s">
        <v>729</v>
      </c>
      <c r="R15" s="11" t="s">
        <v>729</v>
      </c>
      <c r="S15" s="11" t="s">
        <v>729</v>
      </c>
      <c r="T15" s="11" t="s">
        <v>729</v>
      </c>
      <c r="U15" s="11" t="s">
        <v>729</v>
      </c>
      <c r="V15" s="12" t="s">
        <v>729</v>
      </c>
    </row>
    <row r="16" ht="53" customHeight="1" spans="1:22">
      <c r="A16" s="16"/>
      <c r="B16" s="6" t="s">
        <v>729</v>
      </c>
      <c r="C16" s="6" t="s">
        <v>729</v>
      </c>
      <c r="D16" s="18" t="s">
        <v>1361</v>
      </c>
      <c r="E16" s="6" t="s">
        <v>729</v>
      </c>
      <c r="F16" s="11" t="s">
        <v>756</v>
      </c>
      <c r="G16" s="11" t="s">
        <v>756</v>
      </c>
      <c r="H16" s="11" t="s">
        <v>756</v>
      </c>
      <c r="I16" s="11" t="s">
        <v>752</v>
      </c>
      <c r="J16" s="11" t="s">
        <v>729</v>
      </c>
      <c r="K16" s="11" t="s">
        <v>729</v>
      </c>
      <c r="L16" s="11" t="s">
        <v>729</v>
      </c>
      <c r="M16" s="11" t="s">
        <v>729</v>
      </c>
      <c r="N16" s="11" t="s">
        <v>729</v>
      </c>
      <c r="O16" s="11" t="s">
        <v>729</v>
      </c>
      <c r="P16" s="11" t="s">
        <v>729</v>
      </c>
      <c r="Q16" s="11" t="s">
        <v>729</v>
      </c>
      <c r="R16" s="11" t="s">
        <v>729</v>
      </c>
      <c r="S16" s="11" t="s">
        <v>729</v>
      </c>
      <c r="T16" s="11" t="s">
        <v>729</v>
      </c>
      <c r="U16" s="11" t="s">
        <v>729</v>
      </c>
      <c r="V16" s="12" t="s">
        <v>729</v>
      </c>
    </row>
    <row r="17" ht="18" customHeight="1" spans="1:22">
      <c r="A17" s="19" t="s">
        <v>696</v>
      </c>
      <c r="B17" s="20" t="s">
        <v>765</v>
      </c>
      <c r="C17" s="20"/>
      <c r="D17" s="20"/>
      <c r="E17" s="6" t="s">
        <v>729</v>
      </c>
      <c r="F17" s="11" t="s">
        <v>670</v>
      </c>
      <c r="G17" s="11" t="s">
        <v>670</v>
      </c>
      <c r="H17" s="11" t="s">
        <v>670</v>
      </c>
      <c r="I17" s="11" t="s">
        <v>671</v>
      </c>
      <c r="J17" s="11" t="s">
        <v>729</v>
      </c>
      <c r="K17" s="11" t="s">
        <v>729</v>
      </c>
      <c r="L17" s="11" t="s">
        <v>729</v>
      </c>
      <c r="M17" s="11" t="s">
        <v>729</v>
      </c>
      <c r="N17" s="11" t="s">
        <v>729</v>
      </c>
      <c r="O17" s="11" t="s">
        <v>729</v>
      </c>
      <c r="P17" s="11" t="s">
        <v>729</v>
      </c>
      <c r="Q17" s="11" t="s">
        <v>729</v>
      </c>
      <c r="R17" s="11" t="s">
        <v>729</v>
      </c>
      <c r="S17" s="11" t="s">
        <v>729</v>
      </c>
      <c r="T17" s="11" t="s">
        <v>729</v>
      </c>
      <c r="U17" s="11" t="s">
        <v>729</v>
      </c>
      <c r="V17" s="12" t="s">
        <v>729</v>
      </c>
    </row>
    <row r="18" ht="18" customHeight="1" spans="1:22">
      <c r="A18" s="19"/>
      <c r="B18" s="20" t="s">
        <v>698</v>
      </c>
      <c r="C18" s="20"/>
      <c r="D18" s="20"/>
      <c r="E18" s="6" t="s">
        <v>729</v>
      </c>
      <c r="F18" s="11" t="s">
        <v>766</v>
      </c>
      <c r="G18" s="11" t="s">
        <v>766</v>
      </c>
      <c r="H18" s="11" t="s">
        <v>766</v>
      </c>
      <c r="I18" s="11" t="s">
        <v>766</v>
      </c>
      <c r="J18" s="11" t="s">
        <v>729</v>
      </c>
      <c r="K18" s="11" t="s">
        <v>729</v>
      </c>
      <c r="L18" s="11" t="s">
        <v>729</v>
      </c>
      <c r="M18" s="11" t="s">
        <v>729</v>
      </c>
      <c r="N18" s="11" t="s">
        <v>729</v>
      </c>
      <c r="O18" s="11" t="s">
        <v>729</v>
      </c>
      <c r="P18" s="11" t="s">
        <v>729</v>
      </c>
      <c r="Q18" s="11" t="s">
        <v>729</v>
      </c>
      <c r="R18" s="11" t="s">
        <v>729</v>
      </c>
      <c r="S18" s="11" t="s">
        <v>729</v>
      </c>
      <c r="T18" s="11" t="s">
        <v>729</v>
      </c>
      <c r="U18" s="11" t="s">
        <v>729</v>
      </c>
      <c r="V18" s="12" t="s">
        <v>729</v>
      </c>
    </row>
    <row r="19" ht="18" customHeight="1" spans="1:22">
      <c r="A19" s="19"/>
      <c r="B19" s="20" t="s">
        <v>699</v>
      </c>
      <c r="C19" s="20"/>
      <c r="D19" s="20"/>
      <c r="E19" s="6" t="s">
        <v>729</v>
      </c>
      <c r="F19" s="6" t="s">
        <v>729</v>
      </c>
      <c r="G19" s="6" t="s">
        <v>729</v>
      </c>
      <c r="H19" s="6" t="s">
        <v>729</v>
      </c>
      <c r="I19" s="6" t="s">
        <v>729</v>
      </c>
      <c r="J19" s="6" t="s">
        <v>729</v>
      </c>
      <c r="K19" s="6" t="s">
        <v>729</v>
      </c>
      <c r="L19" s="6" t="s">
        <v>729</v>
      </c>
      <c r="M19" s="6" t="s">
        <v>729</v>
      </c>
      <c r="N19" s="6" t="s">
        <v>729</v>
      </c>
      <c r="O19" s="6" t="s">
        <v>729</v>
      </c>
      <c r="P19" s="6" t="s">
        <v>729</v>
      </c>
      <c r="Q19" s="6" t="s">
        <v>729</v>
      </c>
      <c r="R19" s="6" t="s">
        <v>729</v>
      </c>
      <c r="S19" s="6" t="s">
        <v>729</v>
      </c>
      <c r="T19" s="6" t="s">
        <v>729</v>
      </c>
      <c r="U19" s="6" t="s">
        <v>729</v>
      </c>
      <c r="V19" s="8" t="s">
        <v>729</v>
      </c>
    </row>
    <row r="20" ht="18" customHeight="1" spans="1:22">
      <c r="A20" s="19"/>
      <c r="B20" s="21" t="s">
        <v>700</v>
      </c>
      <c r="C20" s="21"/>
      <c r="D20" s="21"/>
      <c r="E20" s="22" t="s">
        <v>729</v>
      </c>
      <c r="F20" s="22" t="s">
        <v>729</v>
      </c>
      <c r="G20" s="22" t="s">
        <v>729</v>
      </c>
      <c r="H20" s="22" t="s">
        <v>729</v>
      </c>
      <c r="I20" s="22" t="s">
        <v>729</v>
      </c>
      <c r="J20" s="22" t="s">
        <v>729</v>
      </c>
      <c r="K20" s="22" t="s">
        <v>729</v>
      </c>
      <c r="L20" s="22" t="s">
        <v>729</v>
      </c>
      <c r="M20" s="22" t="s">
        <v>729</v>
      </c>
      <c r="N20" s="22" t="s">
        <v>729</v>
      </c>
      <c r="O20" s="22" t="s">
        <v>729</v>
      </c>
      <c r="P20" s="22" t="s">
        <v>729</v>
      </c>
      <c r="Q20" s="22" t="s">
        <v>729</v>
      </c>
      <c r="R20" s="22" t="s">
        <v>729</v>
      </c>
      <c r="S20" s="22" t="s">
        <v>729</v>
      </c>
      <c r="T20" s="22" t="s">
        <v>729</v>
      </c>
      <c r="U20" s="22" t="s">
        <v>729</v>
      </c>
      <c r="V20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7:D17"/>
    <mergeCell ref="B18:D18"/>
    <mergeCell ref="B19:D19"/>
    <mergeCell ref="B20:D20"/>
    <mergeCell ref="A7:A11"/>
    <mergeCell ref="A12:A16"/>
    <mergeCell ref="A17:A20"/>
  </mergeCells>
  <dataValidations count="3">
    <dataValidation type="list" allowBlank="1" sqref="F17:V17">
      <formula1>"N,A,B"</formula1>
    </dataValidation>
    <dataValidation type="list" allowBlank="1" sqref="F18:V18">
      <formula1>"P,F"</formula1>
    </dataValidation>
    <dataValidation type="list" allowBlank="1" sqref="F8:V9 F10:V11 F13:V16">
      <formula1>"O,-"</formula1>
    </dataValidation>
  </dataValidations>
  <pageMargins left="0.7" right="0.7" top="0.75" bottom="0.75" header="0.3" footer="0.3"/>
  <pageSetup paperSize="1" orientation="portrait"/>
  <headerFooter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9"/>
  <sheetViews>
    <sheetView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434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493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1362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4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4</v>
      </c>
      <c r="M5" s="11">
        <v>0</v>
      </c>
      <c r="N5" s="11">
        <v>0</v>
      </c>
      <c r="O5" s="12">
        <v>4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687</v>
      </c>
      <c r="H6" s="14" t="s">
        <v>688</v>
      </c>
      <c r="I6" s="14" t="s">
        <v>689</v>
      </c>
      <c r="J6" s="14" t="s">
        <v>729</v>
      </c>
      <c r="K6" s="14" t="s">
        <v>729</v>
      </c>
      <c r="L6" s="14" t="s">
        <v>729</v>
      </c>
      <c r="M6" s="14" t="s">
        <v>729</v>
      </c>
      <c r="N6" s="14" t="s">
        <v>729</v>
      </c>
      <c r="O6" s="14" t="s">
        <v>729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15.5" customHeight="1" spans="1:22">
      <c r="A7" s="16" t="s">
        <v>690</v>
      </c>
      <c r="B7" s="17" t="s">
        <v>1363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40.5" customHeight="1" spans="1:22">
      <c r="A8" s="16"/>
      <c r="B8" s="6" t="s">
        <v>729</v>
      </c>
      <c r="C8" s="6" t="s">
        <v>729</v>
      </c>
      <c r="D8" s="18" t="s">
        <v>1364</v>
      </c>
      <c r="E8" s="6" t="s">
        <v>729</v>
      </c>
      <c r="F8" s="11" t="s">
        <v>752</v>
      </c>
      <c r="G8" s="11" t="s">
        <v>756</v>
      </c>
      <c r="H8" s="11" t="s">
        <v>756</v>
      </c>
      <c r="I8" s="11" t="s">
        <v>756</v>
      </c>
      <c r="J8" s="11" t="s">
        <v>729</v>
      </c>
      <c r="K8" s="11" t="s">
        <v>729</v>
      </c>
      <c r="L8" s="11" t="s">
        <v>729</v>
      </c>
      <c r="M8" s="11" t="s">
        <v>729</v>
      </c>
      <c r="N8" s="11" t="s">
        <v>729</v>
      </c>
      <c r="O8" s="11" t="s">
        <v>729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28" customHeight="1" spans="1:22">
      <c r="A9" s="16"/>
      <c r="B9" s="6" t="s">
        <v>729</v>
      </c>
      <c r="C9" s="6" t="s">
        <v>729</v>
      </c>
      <c r="D9" s="18" t="s">
        <v>1365</v>
      </c>
      <c r="E9" s="6" t="s">
        <v>729</v>
      </c>
      <c r="F9" s="11" t="s">
        <v>756</v>
      </c>
      <c r="G9" s="11" t="s">
        <v>752</v>
      </c>
      <c r="H9" s="11" t="s">
        <v>756</v>
      </c>
      <c r="I9" s="11" t="s">
        <v>756</v>
      </c>
      <c r="J9" s="11" t="s">
        <v>729</v>
      </c>
      <c r="K9" s="11" t="s">
        <v>729</v>
      </c>
      <c r="L9" s="11" t="s">
        <v>729</v>
      </c>
      <c r="M9" s="11" t="s">
        <v>729</v>
      </c>
      <c r="N9" s="11" t="s">
        <v>729</v>
      </c>
      <c r="O9" s="11" t="s">
        <v>729</v>
      </c>
      <c r="P9" s="11" t="s">
        <v>729</v>
      </c>
      <c r="Q9" s="11" t="s">
        <v>729</v>
      </c>
      <c r="R9" s="11" t="s">
        <v>729</v>
      </c>
      <c r="S9" s="11" t="s">
        <v>729</v>
      </c>
      <c r="T9" s="11" t="s">
        <v>729</v>
      </c>
      <c r="U9" s="11" t="s">
        <v>729</v>
      </c>
      <c r="V9" s="12" t="s">
        <v>729</v>
      </c>
    </row>
    <row r="10" ht="28" customHeight="1" spans="1:22">
      <c r="A10" s="16"/>
      <c r="B10" s="6" t="s">
        <v>729</v>
      </c>
      <c r="C10" s="6" t="s">
        <v>729</v>
      </c>
      <c r="D10" s="18" t="s">
        <v>1366</v>
      </c>
      <c r="E10" s="6" t="s">
        <v>729</v>
      </c>
      <c r="F10" s="11" t="s">
        <v>756</v>
      </c>
      <c r="G10" s="11" t="s">
        <v>756</v>
      </c>
      <c r="H10" s="11" t="s">
        <v>752</v>
      </c>
      <c r="I10" s="11" t="s">
        <v>756</v>
      </c>
      <c r="J10" s="11" t="s">
        <v>729</v>
      </c>
      <c r="K10" s="11" t="s">
        <v>729</v>
      </c>
      <c r="L10" s="11" t="s">
        <v>729</v>
      </c>
      <c r="M10" s="11" t="s">
        <v>729</v>
      </c>
      <c r="N10" s="11" t="s">
        <v>729</v>
      </c>
      <c r="O10" s="11" t="s">
        <v>729</v>
      </c>
      <c r="P10" s="11" t="s">
        <v>729</v>
      </c>
      <c r="Q10" s="11" t="s">
        <v>729</v>
      </c>
      <c r="R10" s="11" t="s">
        <v>729</v>
      </c>
      <c r="S10" s="11" t="s">
        <v>729</v>
      </c>
      <c r="T10" s="11" t="s">
        <v>729</v>
      </c>
      <c r="U10" s="11" t="s">
        <v>729</v>
      </c>
      <c r="V10" s="12" t="s">
        <v>729</v>
      </c>
    </row>
    <row r="11" ht="40.5" customHeight="1" spans="1:22">
      <c r="A11" s="16"/>
      <c r="B11" s="6" t="s">
        <v>729</v>
      </c>
      <c r="C11" s="6" t="s">
        <v>729</v>
      </c>
      <c r="D11" s="18" t="s">
        <v>1367</v>
      </c>
      <c r="E11" s="6" t="s">
        <v>729</v>
      </c>
      <c r="F11" s="11" t="s">
        <v>756</v>
      </c>
      <c r="G11" s="11" t="s">
        <v>756</v>
      </c>
      <c r="H11" s="11" t="s">
        <v>756</v>
      </c>
      <c r="I11" s="11" t="s">
        <v>752</v>
      </c>
      <c r="J11" s="11" t="s">
        <v>729</v>
      </c>
      <c r="K11" s="11" t="s">
        <v>729</v>
      </c>
      <c r="L11" s="11" t="s">
        <v>729</v>
      </c>
      <c r="M11" s="11" t="s">
        <v>729</v>
      </c>
      <c r="N11" s="11" t="s">
        <v>729</v>
      </c>
      <c r="O11" s="11" t="s">
        <v>729</v>
      </c>
      <c r="P11" s="11" t="s">
        <v>729</v>
      </c>
      <c r="Q11" s="11" t="s">
        <v>729</v>
      </c>
      <c r="R11" s="11" t="s">
        <v>729</v>
      </c>
      <c r="S11" s="11" t="s">
        <v>729</v>
      </c>
      <c r="T11" s="11" t="s">
        <v>729</v>
      </c>
      <c r="U11" s="11" t="s">
        <v>729</v>
      </c>
      <c r="V11" s="12" t="s">
        <v>729</v>
      </c>
    </row>
    <row r="12" ht="15.5" customHeight="1" spans="1:22">
      <c r="A12" s="16" t="s">
        <v>692</v>
      </c>
      <c r="B12" s="17" t="s">
        <v>693</v>
      </c>
      <c r="C12" s="6" t="s">
        <v>729</v>
      </c>
      <c r="D12" s="6" t="s">
        <v>729</v>
      </c>
      <c r="E12" s="6" t="s">
        <v>729</v>
      </c>
      <c r="F12" s="6" t="s">
        <v>729</v>
      </c>
      <c r="G12" s="6" t="s">
        <v>729</v>
      </c>
      <c r="H12" s="6" t="s">
        <v>729</v>
      </c>
      <c r="I12" s="6" t="s">
        <v>729</v>
      </c>
      <c r="J12" s="6" t="s">
        <v>729</v>
      </c>
      <c r="K12" s="6" t="s">
        <v>729</v>
      </c>
      <c r="L12" s="6" t="s">
        <v>729</v>
      </c>
      <c r="M12" s="6" t="s">
        <v>729</v>
      </c>
      <c r="N12" s="6" t="s">
        <v>729</v>
      </c>
      <c r="O12" s="6" t="s">
        <v>729</v>
      </c>
      <c r="P12" s="6" t="s">
        <v>729</v>
      </c>
      <c r="Q12" s="6" t="s">
        <v>729</v>
      </c>
      <c r="R12" s="6" t="s">
        <v>729</v>
      </c>
      <c r="S12" s="6" t="s">
        <v>729</v>
      </c>
      <c r="T12" s="6" t="s">
        <v>729</v>
      </c>
      <c r="U12" s="6" t="s">
        <v>729</v>
      </c>
      <c r="V12" s="8" t="s">
        <v>729</v>
      </c>
    </row>
    <row r="13" ht="65.5" customHeight="1" spans="1:22">
      <c r="A13" s="16"/>
      <c r="B13" s="6" t="s">
        <v>729</v>
      </c>
      <c r="C13" s="6" t="s">
        <v>729</v>
      </c>
      <c r="D13" s="18" t="s">
        <v>1368</v>
      </c>
      <c r="E13" s="6" t="s">
        <v>729</v>
      </c>
      <c r="F13" s="11" t="s">
        <v>752</v>
      </c>
      <c r="G13" s="11" t="s">
        <v>752</v>
      </c>
      <c r="H13" s="11" t="s">
        <v>752</v>
      </c>
      <c r="I13" s="11" t="s">
        <v>752</v>
      </c>
      <c r="J13" s="11" t="s">
        <v>729</v>
      </c>
      <c r="K13" s="11" t="s">
        <v>729</v>
      </c>
      <c r="L13" s="11" t="s">
        <v>729</v>
      </c>
      <c r="M13" s="11" t="s">
        <v>729</v>
      </c>
      <c r="N13" s="11" t="s">
        <v>729</v>
      </c>
      <c r="O13" s="11" t="s">
        <v>729</v>
      </c>
      <c r="P13" s="11" t="s">
        <v>729</v>
      </c>
      <c r="Q13" s="11" t="s">
        <v>729</v>
      </c>
      <c r="R13" s="11" t="s">
        <v>729</v>
      </c>
      <c r="S13" s="11" t="s">
        <v>729</v>
      </c>
      <c r="T13" s="11" t="s">
        <v>729</v>
      </c>
      <c r="U13" s="11" t="s">
        <v>729</v>
      </c>
      <c r="V13" s="12" t="s">
        <v>729</v>
      </c>
    </row>
    <row r="14" ht="65.5" customHeight="1" spans="1:22">
      <c r="A14" s="16"/>
      <c r="B14" s="6" t="s">
        <v>729</v>
      </c>
      <c r="C14" s="6" t="s">
        <v>729</v>
      </c>
      <c r="D14" s="18" t="s">
        <v>1369</v>
      </c>
      <c r="E14" s="6" t="s">
        <v>729</v>
      </c>
      <c r="F14" s="11" t="s">
        <v>752</v>
      </c>
      <c r="G14" s="11" t="s">
        <v>756</v>
      </c>
      <c r="H14" s="11" t="s">
        <v>752</v>
      </c>
      <c r="I14" s="11" t="s">
        <v>752</v>
      </c>
      <c r="J14" s="11" t="s">
        <v>729</v>
      </c>
      <c r="K14" s="11" t="s">
        <v>729</v>
      </c>
      <c r="L14" s="11" t="s">
        <v>729</v>
      </c>
      <c r="M14" s="11" t="s">
        <v>729</v>
      </c>
      <c r="N14" s="11" t="s">
        <v>729</v>
      </c>
      <c r="O14" s="11" t="s">
        <v>729</v>
      </c>
      <c r="P14" s="11" t="s">
        <v>729</v>
      </c>
      <c r="Q14" s="11" t="s">
        <v>729</v>
      </c>
      <c r="R14" s="11" t="s">
        <v>729</v>
      </c>
      <c r="S14" s="11" t="s">
        <v>729</v>
      </c>
      <c r="T14" s="11" t="s">
        <v>729</v>
      </c>
      <c r="U14" s="11" t="s">
        <v>729</v>
      </c>
      <c r="V14" s="12" t="s">
        <v>729</v>
      </c>
    </row>
    <row r="15" ht="65.5" customHeight="1" spans="1:22">
      <c r="A15" s="16"/>
      <c r="B15" s="6" t="s">
        <v>729</v>
      </c>
      <c r="C15" s="6" t="s">
        <v>729</v>
      </c>
      <c r="D15" s="18" t="s">
        <v>1370</v>
      </c>
      <c r="E15" s="6" t="s">
        <v>729</v>
      </c>
      <c r="F15" s="11" t="s">
        <v>752</v>
      </c>
      <c r="G15" s="11" t="s">
        <v>752</v>
      </c>
      <c r="H15" s="11" t="s">
        <v>752</v>
      </c>
      <c r="I15" s="11" t="s">
        <v>752</v>
      </c>
      <c r="J15" s="11" t="s">
        <v>729</v>
      </c>
      <c r="K15" s="11" t="s">
        <v>729</v>
      </c>
      <c r="L15" s="11" t="s">
        <v>729</v>
      </c>
      <c r="M15" s="11" t="s">
        <v>729</v>
      </c>
      <c r="N15" s="11" t="s">
        <v>729</v>
      </c>
      <c r="O15" s="11" t="s">
        <v>729</v>
      </c>
      <c r="P15" s="11" t="s">
        <v>729</v>
      </c>
      <c r="Q15" s="11" t="s">
        <v>729</v>
      </c>
      <c r="R15" s="11" t="s">
        <v>729</v>
      </c>
      <c r="S15" s="11" t="s">
        <v>729</v>
      </c>
      <c r="T15" s="11" t="s">
        <v>729</v>
      </c>
      <c r="U15" s="11" t="s">
        <v>729</v>
      </c>
      <c r="V15" s="12" t="s">
        <v>729</v>
      </c>
    </row>
    <row r="16" ht="18" customHeight="1" spans="1:22">
      <c r="A16" s="19" t="s">
        <v>696</v>
      </c>
      <c r="B16" s="20" t="s">
        <v>765</v>
      </c>
      <c r="C16" s="20"/>
      <c r="D16" s="20"/>
      <c r="E16" s="6" t="s">
        <v>729</v>
      </c>
      <c r="F16" s="11" t="s">
        <v>670</v>
      </c>
      <c r="G16" s="11" t="s">
        <v>670</v>
      </c>
      <c r="H16" s="11" t="s">
        <v>670</v>
      </c>
      <c r="I16" s="11" t="s">
        <v>670</v>
      </c>
      <c r="J16" s="11" t="s">
        <v>729</v>
      </c>
      <c r="K16" s="11" t="s">
        <v>729</v>
      </c>
      <c r="L16" s="11" t="s">
        <v>729</v>
      </c>
      <c r="M16" s="11" t="s">
        <v>729</v>
      </c>
      <c r="N16" s="11" t="s">
        <v>729</v>
      </c>
      <c r="O16" s="11" t="s">
        <v>729</v>
      </c>
      <c r="P16" s="11" t="s">
        <v>729</v>
      </c>
      <c r="Q16" s="11" t="s">
        <v>729</v>
      </c>
      <c r="R16" s="11" t="s">
        <v>729</v>
      </c>
      <c r="S16" s="11" t="s">
        <v>729</v>
      </c>
      <c r="T16" s="11" t="s">
        <v>729</v>
      </c>
      <c r="U16" s="11" t="s">
        <v>729</v>
      </c>
      <c r="V16" s="12" t="s">
        <v>729</v>
      </c>
    </row>
    <row r="17" ht="18" customHeight="1" spans="1:22">
      <c r="A17" s="19"/>
      <c r="B17" s="20" t="s">
        <v>698</v>
      </c>
      <c r="C17" s="20"/>
      <c r="D17" s="20"/>
      <c r="E17" s="6" t="s">
        <v>729</v>
      </c>
      <c r="F17" s="11" t="s">
        <v>766</v>
      </c>
      <c r="G17" s="11" t="s">
        <v>766</v>
      </c>
      <c r="H17" s="11" t="s">
        <v>766</v>
      </c>
      <c r="I17" s="11" t="s">
        <v>766</v>
      </c>
      <c r="J17" s="11" t="s">
        <v>729</v>
      </c>
      <c r="K17" s="11" t="s">
        <v>729</v>
      </c>
      <c r="L17" s="11" t="s">
        <v>729</v>
      </c>
      <c r="M17" s="11" t="s">
        <v>729</v>
      </c>
      <c r="N17" s="11" t="s">
        <v>729</v>
      </c>
      <c r="O17" s="11" t="s">
        <v>729</v>
      </c>
      <c r="P17" s="11" t="s">
        <v>729</v>
      </c>
      <c r="Q17" s="11" t="s">
        <v>729</v>
      </c>
      <c r="R17" s="11" t="s">
        <v>729</v>
      </c>
      <c r="S17" s="11" t="s">
        <v>729</v>
      </c>
      <c r="T17" s="11" t="s">
        <v>729</v>
      </c>
      <c r="U17" s="11" t="s">
        <v>729</v>
      </c>
      <c r="V17" s="12" t="s">
        <v>729</v>
      </c>
    </row>
    <row r="18" ht="18" customHeight="1" spans="1:22">
      <c r="A18" s="19"/>
      <c r="B18" s="20" t="s">
        <v>699</v>
      </c>
      <c r="C18" s="20"/>
      <c r="D18" s="20"/>
      <c r="E18" s="6" t="s">
        <v>729</v>
      </c>
      <c r="F18" s="6" t="s">
        <v>729</v>
      </c>
      <c r="G18" s="6" t="s">
        <v>729</v>
      </c>
      <c r="H18" s="6" t="s">
        <v>729</v>
      </c>
      <c r="I18" s="6" t="s">
        <v>729</v>
      </c>
      <c r="J18" s="6" t="s">
        <v>729</v>
      </c>
      <c r="K18" s="6" t="s">
        <v>729</v>
      </c>
      <c r="L18" s="6" t="s">
        <v>729</v>
      </c>
      <c r="M18" s="6" t="s">
        <v>729</v>
      </c>
      <c r="N18" s="6" t="s">
        <v>729</v>
      </c>
      <c r="O18" s="6" t="s">
        <v>729</v>
      </c>
      <c r="P18" s="6" t="s">
        <v>729</v>
      </c>
      <c r="Q18" s="6" t="s">
        <v>729</v>
      </c>
      <c r="R18" s="6" t="s">
        <v>729</v>
      </c>
      <c r="S18" s="6" t="s">
        <v>729</v>
      </c>
      <c r="T18" s="6" t="s">
        <v>729</v>
      </c>
      <c r="U18" s="6" t="s">
        <v>729</v>
      </c>
      <c r="V18" s="8" t="s">
        <v>729</v>
      </c>
    </row>
    <row r="19" ht="18" customHeight="1" spans="1:22">
      <c r="A19" s="19"/>
      <c r="B19" s="21" t="s">
        <v>700</v>
      </c>
      <c r="C19" s="21"/>
      <c r="D19" s="21"/>
      <c r="E19" s="22" t="s">
        <v>729</v>
      </c>
      <c r="F19" s="22" t="s">
        <v>729</v>
      </c>
      <c r="G19" s="22" t="s">
        <v>729</v>
      </c>
      <c r="H19" s="22" t="s">
        <v>729</v>
      </c>
      <c r="I19" s="22" t="s">
        <v>729</v>
      </c>
      <c r="J19" s="22" t="s">
        <v>729</v>
      </c>
      <c r="K19" s="22" t="s">
        <v>729</v>
      </c>
      <c r="L19" s="22" t="s">
        <v>729</v>
      </c>
      <c r="M19" s="22" t="s">
        <v>729</v>
      </c>
      <c r="N19" s="22" t="s">
        <v>729</v>
      </c>
      <c r="O19" s="22" t="s">
        <v>729</v>
      </c>
      <c r="P19" s="22" t="s">
        <v>729</v>
      </c>
      <c r="Q19" s="22" t="s">
        <v>729</v>
      </c>
      <c r="R19" s="22" t="s">
        <v>729</v>
      </c>
      <c r="S19" s="22" t="s">
        <v>729</v>
      </c>
      <c r="T19" s="22" t="s">
        <v>729</v>
      </c>
      <c r="U19" s="22" t="s">
        <v>729</v>
      </c>
      <c r="V19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6:D16"/>
    <mergeCell ref="B17:D17"/>
    <mergeCell ref="B18:D18"/>
    <mergeCell ref="B19:D19"/>
    <mergeCell ref="A7:A11"/>
    <mergeCell ref="A12:A15"/>
    <mergeCell ref="A16:A19"/>
  </mergeCells>
  <dataValidations count="3">
    <dataValidation type="list" allowBlank="1" sqref="F16:V16">
      <formula1>"N,A,B"</formula1>
    </dataValidation>
    <dataValidation type="list" allowBlank="1" sqref="F17:V17">
      <formula1>"P,F"</formula1>
    </dataValidation>
    <dataValidation type="list" allowBlank="1" sqref="F8:V9 F10:V11 F13:V15">
      <formula1>"O,-"</formula1>
    </dataValidation>
  </dataValidations>
  <pageMargins left="0.7" right="0.7" top="0.75" bottom="0.75" header="0.3" footer="0.3"/>
  <pageSetup paperSize="1" orientation="portrait"/>
  <headerFooter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8"/>
  <sheetViews>
    <sheetView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434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498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1371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3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2</v>
      </c>
      <c r="M5" s="11">
        <v>0</v>
      </c>
      <c r="N5" s="11">
        <v>1</v>
      </c>
      <c r="O5" s="12">
        <v>3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687</v>
      </c>
      <c r="H6" s="14" t="s">
        <v>688</v>
      </c>
      <c r="I6" s="14" t="s">
        <v>729</v>
      </c>
      <c r="J6" s="14" t="s">
        <v>729</v>
      </c>
      <c r="K6" s="14" t="s">
        <v>729</v>
      </c>
      <c r="L6" s="14" t="s">
        <v>729</v>
      </c>
      <c r="M6" s="14" t="s">
        <v>729</v>
      </c>
      <c r="N6" s="14" t="s">
        <v>729</v>
      </c>
      <c r="O6" s="14" t="s">
        <v>729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15.5" customHeight="1" spans="1:22">
      <c r="A7" s="16" t="s">
        <v>690</v>
      </c>
      <c r="B7" s="17" t="s">
        <v>1272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28" customHeight="1" spans="1:22">
      <c r="A8" s="16"/>
      <c r="B8" s="6" t="s">
        <v>729</v>
      </c>
      <c r="C8" s="6" t="s">
        <v>729</v>
      </c>
      <c r="D8" s="18" t="s">
        <v>1372</v>
      </c>
      <c r="E8" s="6" t="s">
        <v>729</v>
      </c>
      <c r="F8" s="11" t="s">
        <v>752</v>
      </c>
      <c r="G8" s="11" t="s">
        <v>756</v>
      </c>
      <c r="H8" s="11" t="s">
        <v>756</v>
      </c>
      <c r="I8" s="11" t="s">
        <v>729</v>
      </c>
      <c r="J8" s="11" t="s">
        <v>729</v>
      </c>
      <c r="K8" s="11" t="s">
        <v>729</v>
      </c>
      <c r="L8" s="11" t="s">
        <v>729</v>
      </c>
      <c r="M8" s="11" t="s">
        <v>729</v>
      </c>
      <c r="N8" s="11" t="s">
        <v>729</v>
      </c>
      <c r="O8" s="11" t="s">
        <v>729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15.5" customHeight="1" spans="1:22">
      <c r="A9" s="16"/>
      <c r="B9" s="6" t="s">
        <v>729</v>
      </c>
      <c r="C9" s="6" t="s">
        <v>729</v>
      </c>
      <c r="D9" s="18" t="s">
        <v>1301</v>
      </c>
      <c r="E9" s="6" t="s">
        <v>729</v>
      </c>
      <c r="F9" s="11" t="s">
        <v>756</v>
      </c>
      <c r="G9" s="11" t="s">
        <v>752</v>
      </c>
      <c r="H9" s="11" t="s">
        <v>756</v>
      </c>
      <c r="I9" s="11" t="s">
        <v>729</v>
      </c>
      <c r="J9" s="11" t="s">
        <v>729</v>
      </c>
      <c r="K9" s="11" t="s">
        <v>729</v>
      </c>
      <c r="L9" s="11" t="s">
        <v>729</v>
      </c>
      <c r="M9" s="11" t="s">
        <v>729</v>
      </c>
      <c r="N9" s="11" t="s">
        <v>729</v>
      </c>
      <c r="O9" s="11" t="s">
        <v>729</v>
      </c>
      <c r="P9" s="11" t="s">
        <v>729</v>
      </c>
      <c r="Q9" s="11" t="s">
        <v>729</v>
      </c>
      <c r="R9" s="11" t="s">
        <v>729</v>
      </c>
      <c r="S9" s="11" t="s">
        <v>729</v>
      </c>
      <c r="T9" s="11" t="s">
        <v>729</v>
      </c>
      <c r="U9" s="11" t="s">
        <v>729</v>
      </c>
      <c r="V9" s="12" t="s">
        <v>729</v>
      </c>
    </row>
    <row r="10" ht="15.5" customHeight="1" spans="1:22">
      <c r="A10" s="16"/>
      <c r="B10" s="6" t="s">
        <v>729</v>
      </c>
      <c r="C10" s="6" t="s">
        <v>729</v>
      </c>
      <c r="D10" s="18" t="s">
        <v>1302</v>
      </c>
      <c r="E10" s="6" t="s">
        <v>729</v>
      </c>
      <c r="F10" s="11" t="s">
        <v>756</v>
      </c>
      <c r="G10" s="11" t="s">
        <v>756</v>
      </c>
      <c r="H10" s="11" t="s">
        <v>752</v>
      </c>
      <c r="I10" s="11" t="s">
        <v>729</v>
      </c>
      <c r="J10" s="11" t="s">
        <v>729</v>
      </c>
      <c r="K10" s="11" t="s">
        <v>729</v>
      </c>
      <c r="L10" s="11" t="s">
        <v>729</v>
      </c>
      <c r="M10" s="11" t="s">
        <v>729</v>
      </c>
      <c r="N10" s="11" t="s">
        <v>729</v>
      </c>
      <c r="O10" s="11" t="s">
        <v>729</v>
      </c>
      <c r="P10" s="11" t="s">
        <v>729</v>
      </c>
      <c r="Q10" s="11" t="s">
        <v>729</v>
      </c>
      <c r="R10" s="11" t="s">
        <v>729</v>
      </c>
      <c r="S10" s="11" t="s">
        <v>729</v>
      </c>
      <c r="T10" s="11" t="s">
        <v>729</v>
      </c>
      <c r="U10" s="11" t="s">
        <v>729</v>
      </c>
      <c r="V10" s="12" t="s">
        <v>729</v>
      </c>
    </row>
    <row r="11" ht="15.5" customHeight="1" spans="1:22">
      <c r="A11" s="16" t="s">
        <v>692</v>
      </c>
      <c r="B11" s="17" t="s">
        <v>693</v>
      </c>
      <c r="C11" s="6" t="s">
        <v>729</v>
      </c>
      <c r="D11" s="6" t="s">
        <v>729</v>
      </c>
      <c r="E11" s="6" t="s">
        <v>729</v>
      </c>
      <c r="F11" s="6" t="s">
        <v>729</v>
      </c>
      <c r="G11" s="6" t="s">
        <v>729</v>
      </c>
      <c r="H11" s="6" t="s">
        <v>729</v>
      </c>
      <c r="I11" s="6" t="s">
        <v>729</v>
      </c>
      <c r="J11" s="6" t="s">
        <v>729</v>
      </c>
      <c r="K11" s="6" t="s">
        <v>729</v>
      </c>
      <c r="L11" s="6" t="s">
        <v>729</v>
      </c>
      <c r="M11" s="6" t="s">
        <v>729</v>
      </c>
      <c r="N11" s="6" t="s">
        <v>729</v>
      </c>
      <c r="O11" s="6" t="s">
        <v>729</v>
      </c>
      <c r="P11" s="6" t="s">
        <v>729</v>
      </c>
      <c r="Q11" s="6" t="s">
        <v>729</v>
      </c>
      <c r="R11" s="6" t="s">
        <v>729</v>
      </c>
      <c r="S11" s="6" t="s">
        <v>729</v>
      </c>
      <c r="T11" s="6" t="s">
        <v>729</v>
      </c>
      <c r="U11" s="6" t="s">
        <v>729</v>
      </c>
      <c r="V11" s="8" t="s">
        <v>729</v>
      </c>
    </row>
    <row r="12" ht="40.5" customHeight="1" spans="1:22">
      <c r="A12" s="16"/>
      <c r="B12" s="6" t="s">
        <v>729</v>
      </c>
      <c r="C12" s="6" t="s">
        <v>729</v>
      </c>
      <c r="D12" s="18" t="s">
        <v>1373</v>
      </c>
      <c r="E12" s="6" t="s">
        <v>729</v>
      </c>
      <c r="F12" s="11" t="s">
        <v>752</v>
      </c>
      <c r="G12" s="11" t="s">
        <v>756</v>
      </c>
      <c r="H12" s="11" t="s">
        <v>756</v>
      </c>
      <c r="I12" s="11" t="s">
        <v>729</v>
      </c>
      <c r="J12" s="11" t="s">
        <v>729</v>
      </c>
      <c r="K12" s="11" t="s">
        <v>729</v>
      </c>
      <c r="L12" s="11" t="s">
        <v>729</v>
      </c>
      <c r="M12" s="11" t="s">
        <v>729</v>
      </c>
      <c r="N12" s="11" t="s">
        <v>729</v>
      </c>
      <c r="O12" s="11" t="s">
        <v>729</v>
      </c>
      <c r="P12" s="11" t="s">
        <v>729</v>
      </c>
      <c r="Q12" s="11" t="s">
        <v>729</v>
      </c>
      <c r="R12" s="11" t="s">
        <v>729</v>
      </c>
      <c r="S12" s="11" t="s">
        <v>729</v>
      </c>
      <c r="T12" s="11" t="s">
        <v>729</v>
      </c>
      <c r="U12" s="11" t="s">
        <v>729</v>
      </c>
      <c r="V12" s="12" t="s">
        <v>729</v>
      </c>
    </row>
    <row r="13" ht="78" customHeight="1" spans="1:22">
      <c r="A13" s="16"/>
      <c r="B13" s="6" t="s">
        <v>729</v>
      </c>
      <c r="C13" s="6" t="s">
        <v>729</v>
      </c>
      <c r="D13" s="18" t="s">
        <v>1374</v>
      </c>
      <c r="E13" s="6" t="s">
        <v>729</v>
      </c>
      <c r="F13" s="11" t="s">
        <v>756</v>
      </c>
      <c r="G13" s="11" t="s">
        <v>752</v>
      </c>
      <c r="H13" s="11" t="s">
        <v>752</v>
      </c>
      <c r="I13" s="11" t="s">
        <v>729</v>
      </c>
      <c r="J13" s="11" t="s">
        <v>729</v>
      </c>
      <c r="K13" s="11" t="s">
        <v>729</v>
      </c>
      <c r="L13" s="11" t="s">
        <v>729</v>
      </c>
      <c r="M13" s="11" t="s">
        <v>729</v>
      </c>
      <c r="N13" s="11" t="s">
        <v>729</v>
      </c>
      <c r="O13" s="11" t="s">
        <v>729</v>
      </c>
      <c r="P13" s="11" t="s">
        <v>729</v>
      </c>
      <c r="Q13" s="11" t="s">
        <v>729</v>
      </c>
      <c r="R13" s="11" t="s">
        <v>729</v>
      </c>
      <c r="S13" s="11" t="s">
        <v>729</v>
      </c>
      <c r="T13" s="11" t="s">
        <v>729</v>
      </c>
      <c r="U13" s="11" t="s">
        <v>729</v>
      </c>
      <c r="V13" s="12" t="s">
        <v>729</v>
      </c>
    </row>
    <row r="14" ht="53" customHeight="1" spans="1:22">
      <c r="A14" s="16"/>
      <c r="B14" s="6" t="s">
        <v>729</v>
      </c>
      <c r="C14" s="6" t="s">
        <v>729</v>
      </c>
      <c r="D14" s="18" t="s">
        <v>1375</v>
      </c>
      <c r="E14" s="6" t="s">
        <v>729</v>
      </c>
      <c r="F14" s="11" t="s">
        <v>756</v>
      </c>
      <c r="G14" s="11" t="s">
        <v>752</v>
      </c>
      <c r="H14" s="11" t="s">
        <v>752</v>
      </c>
      <c r="I14" s="11" t="s">
        <v>729</v>
      </c>
      <c r="J14" s="11" t="s">
        <v>729</v>
      </c>
      <c r="K14" s="11" t="s">
        <v>729</v>
      </c>
      <c r="L14" s="11" t="s">
        <v>729</v>
      </c>
      <c r="M14" s="11" t="s">
        <v>729</v>
      </c>
      <c r="N14" s="11" t="s">
        <v>729</v>
      </c>
      <c r="O14" s="11" t="s">
        <v>729</v>
      </c>
      <c r="P14" s="11" t="s">
        <v>729</v>
      </c>
      <c r="Q14" s="11" t="s">
        <v>729</v>
      </c>
      <c r="R14" s="11" t="s">
        <v>729</v>
      </c>
      <c r="S14" s="11" t="s">
        <v>729</v>
      </c>
      <c r="T14" s="11" t="s">
        <v>729</v>
      </c>
      <c r="U14" s="11" t="s">
        <v>729</v>
      </c>
      <c r="V14" s="12" t="s">
        <v>729</v>
      </c>
    </row>
    <row r="15" ht="18" customHeight="1" spans="1:22">
      <c r="A15" s="19" t="s">
        <v>696</v>
      </c>
      <c r="B15" s="20" t="s">
        <v>765</v>
      </c>
      <c r="C15" s="20"/>
      <c r="D15" s="20"/>
      <c r="E15" s="6" t="s">
        <v>729</v>
      </c>
      <c r="F15" s="11" t="s">
        <v>670</v>
      </c>
      <c r="G15" s="11" t="s">
        <v>670</v>
      </c>
      <c r="H15" s="11" t="s">
        <v>671</v>
      </c>
      <c r="I15" s="11" t="s">
        <v>729</v>
      </c>
      <c r="J15" s="11" t="s">
        <v>729</v>
      </c>
      <c r="K15" s="11" t="s">
        <v>729</v>
      </c>
      <c r="L15" s="11" t="s">
        <v>729</v>
      </c>
      <c r="M15" s="11" t="s">
        <v>729</v>
      </c>
      <c r="N15" s="11" t="s">
        <v>729</v>
      </c>
      <c r="O15" s="11" t="s">
        <v>729</v>
      </c>
      <c r="P15" s="11" t="s">
        <v>729</v>
      </c>
      <c r="Q15" s="11" t="s">
        <v>729</v>
      </c>
      <c r="R15" s="11" t="s">
        <v>729</v>
      </c>
      <c r="S15" s="11" t="s">
        <v>729</v>
      </c>
      <c r="T15" s="11" t="s">
        <v>729</v>
      </c>
      <c r="U15" s="11" t="s">
        <v>729</v>
      </c>
      <c r="V15" s="12" t="s">
        <v>729</v>
      </c>
    </row>
    <row r="16" ht="18" customHeight="1" spans="1:22">
      <c r="A16" s="19"/>
      <c r="B16" s="20" t="s">
        <v>698</v>
      </c>
      <c r="C16" s="20"/>
      <c r="D16" s="20"/>
      <c r="E16" s="6" t="s">
        <v>729</v>
      </c>
      <c r="F16" s="11" t="s">
        <v>766</v>
      </c>
      <c r="G16" s="11" t="s">
        <v>766</v>
      </c>
      <c r="H16" s="11" t="s">
        <v>766</v>
      </c>
      <c r="I16" s="11" t="s">
        <v>729</v>
      </c>
      <c r="J16" s="11" t="s">
        <v>729</v>
      </c>
      <c r="K16" s="11" t="s">
        <v>729</v>
      </c>
      <c r="L16" s="11" t="s">
        <v>729</v>
      </c>
      <c r="M16" s="11" t="s">
        <v>729</v>
      </c>
      <c r="N16" s="11" t="s">
        <v>729</v>
      </c>
      <c r="O16" s="11" t="s">
        <v>729</v>
      </c>
      <c r="P16" s="11" t="s">
        <v>729</v>
      </c>
      <c r="Q16" s="11" t="s">
        <v>729</v>
      </c>
      <c r="R16" s="11" t="s">
        <v>729</v>
      </c>
      <c r="S16" s="11" t="s">
        <v>729</v>
      </c>
      <c r="T16" s="11" t="s">
        <v>729</v>
      </c>
      <c r="U16" s="11" t="s">
        <v>729</v>
      </c>
      <c r="V16" s="12" t="s">
        <v>729</v>
      </c>
    </row>
    <row r="17" ht="18" customHeight="1" spans="1:22">
      <c r="A17" s="19"/>
      <c r="B17" s="20" t="s">
        <v>699</v>
      </c>
      <c r="C17" s="20"/>
      <c r="D17" s="20"/>
      <c r="E17" s="6" t="s">
        <v>729</v>
      </c>
      <c r="F17" s="6" t="s">
        <v>729</v>
      </c>
      <c r="G17" s="6" t="s">
        <v>729</v>
      </c>
      <c r="H17" s="6" t="s">
        <v>729</v>
      </c>
      <c r="I17" s="6" t="s">
        <v>729</v>
      </c>
      <c r="J17" s="6" t="s">
        <v>729</v>
      </c>
      <c r="K17" s="6" t="s">
        <v>729</v>
      </c>
      <c r="L17" s="6" t="s">
        <v>729</v>
      </c>
      <c r="M17" s="6" t="s">
        <v>729</v>
      </c>
      <c r="N17" s="6" t="s">
        <v>729</v>
      </c>
      <c r="O17" s="6" t="s">
        <v>729</v>
      </c>
      <c r="P17" s="6" t="s">
        <v>729</v>
      </c>
      <c r="Q17" s="6" t="s">
        <v>729</v>
      </c>
      <c r="R17" s="6" t="s">
        <v>729</v>
      </c>
      <c r="S17" s="6" t="s">
        <v>729</v>
      </c>
      <c r="T17" s="6" t="s">
        <v>729</v>
      </c>
      <c r="U17" s="6" t="s">
        <v>729</v>
      </c>
      <c r="V17" s="8" t="s">
        <v>729</v>
      </c>
    </row>
    <row r="18" ht="18" customHeight="1" spans="1:22">
      <c r="A18" s="19"/>
      <c r="B18" s="21" t="s">
        <v>700</v>
      </c>
      <c r="C18" s="21"/>
      <c r="D18" s="21"/>
      <c r="E18" s="22" t="s">
        <v>729</v>
      </c>
      <c r="F18" s="22" t="s">
        <v>729</v>
      </c>
      <c r="G18" s="22" t="s">
        <v>729</v>
      </c>
      <c r="H18" s="22" t="s">
        <v>729</v>
      </c>
      <c r="I18" s="22" t="s">
        <v>729</v>
      </c>
      <c r="J18" s="22" t="s">
        <v>729</v>
      </c>
      <c r="K18" s="22" t="s">
        <v>729</v>
      </c>
      <c r="L18" s="22" t="s">
        <v>729</v>
      </c>
      <c r="M18" s="22" t="s">
        <v>729</v>
      </c>
      <c r="N18" s="22" t="s">
        <v>729</v>
      </c>
      <c r="O18" s="22" t="s">
        <v>729</v>
      </c>
      <c r="P18" s="22" t="s">
        <v>729</v>
      </c>
      <c r="Q18" s="22" t="s">
        <v>729</v>
      </c>
      <c r="R18" s="22" t="s">
        <v>729</v>
      </c>
      <c r="S18" s="22" t="s">
        <v>729</v>
      </c>
      <c r="T18" s="22" t="s">
        <v>729</v>
      </c>
      <c r="U18" s="22" t="s">
        <v>729</v>
      </c>
      <c r="V18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5:D15"/>
    <mergeCell ref="B16:D16"/>
    <mergeCell ref="B17:D17"/>
    <mergeCell ref="B18:D18"/>
    <mergeCell ref="A7:A10"/>
    <mergeCell ref="A11:A14"/>
    <mergeCell ref="A15:A18"/>
  </mergeCells>
  <dataValidations count="3">
    <dataValidation type="list" allowBlank="1" sqref="F10:V10 F12:V14 F8:V9">
      <formula1>"O,-"</formula1>
    </dataValidation>
    <dataValidation type="list" allowBlank="1" sqref="F15:V15">
      <formula1>"N,A,B"</formula1>
    </dataValidation>
    <dataValidation type="list" allowBlank="1" sqref="F16:V16">
      <formula1>"P,F"</formula1>
    </dataValidation>
  </dataValidations>
  <pageMargins left="0.7" right="0.7" top="0.75" bottom="0.75" header="0.3" footer="0.3"/>
  <pageSetup paperSize="1" orientation="portrait"/>
  <headerFooter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1"/>
  <sheetViews>
    <sheetView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434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503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1376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4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3</v>
      </c>
      <c r="M5" s="11">
        <v>1</v>
      </c>
      <c r="N5" s="11">
        <v>0</v>
      </c>
      <c r="O5" s="12">
        <v>4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687</v>
      </c>
      <c r="H6" s="14" t="s">
        <v>688</v>
      </c>
      <c r="I6" s="14" t="s">
        <v>689</v>
      </c>
      <c r="J6" s="14" t="s">
        <v>729</v>
      </c>
      <c r="K6" s="14" t="s">
        <v>729</v>
      </c>
      <c r="L6" s="14" t="s">
        <v>729</v>
      </c>
      <c r="M6" s="14" t="s">
        <v>729</v>
      </c>
      <c r="N6" s="14" t="s">
        <v>729</v>
      </c>
      <c r="O6" s="14" t="s">
        <v>729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15.5" customHeight="1" spans="1:22">
      <c r="A7" s="16" t="s">
        <v>690</v>
      </c>
      <c r="B7" s="17" t="s">
        <v>1377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40.5" customHeight="1" spans="1:22">
      <c r="A8" s="16"/>
      <c r="B8" s="6" t="s">
        <v>729</v>
      </c>
      <c r="C8" s="6" t="s">
        <v>729</v>
      </c>
      <c r="D8" s="18" t="s">
        <v>1378</v>
      </c>
      <c r="E8" s="6" t="s">
        <v>729</v>
      </c>
      <c r="F8" s="11" t="s">
        <v>752</v>
      </c>
      <c r="G8" s="11" t="s">
        <v>756</v>
      </c>
      <c r="H8" s="11" t="s">
        <v>756</v>
      </c>
      <c r="I8" s="11" t="s">
        <v>756</v>
      </c>
      <c r="J8" s="11" t="s">
        <v>729</v>
      </c>
      <c r="K8" s="11" t="s">
        <v>729</v>
      </c>
      <c r="L8" s="11" t="s">
        <v>729</v>
      </c>
      <c r="M8" s="11" t="s">
        <v>729</v>
      </c>
      <c r="N8" s="11" t="s">
        <v>729</v>
      </c>
      <c r="O8" s="11" t="s">
        <v>729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40.5" customHeight="1" spans="1:22">
      <c r="A9" s="16"/>
      <c r="B9" s="6" t="s">
        <v>729</v>
      </c>
      <c r="C9" s="6" t="s">
        <v>729</v>
      </c>
      <c r="D9" s="18" t="s">
        <v>1379</v>
      </c>
      <c r="E9" s="6" t="s">
        <v>729</v>
      </c>
      <c r="F9" s="11" t="s">
        <v>756</v>
      </c>
      <c r="G9" s="11" t="s">
        <v>752</v>
      </c>
      <c r="H9" s="11" t="s">
        <v>756</v>
      </c>
      <c r="I9" s="11" t="s">
        <v>756</v>
      </c>
      <c r="J9" s="11" t="s">
        <v>729</v>
      </c>
      <c r="K9" s="11" t="s">
        <v>729</v>
      </c>
      <c r="L9" s="11" t="s">
        <v>729</v>
      </c>
      <c r="M9" s="11" t="s">
        <v>729</v>
      </c>
      <c r="N9" s="11" t="s">
        <v>729</v>
      </c>
      <c r="O9" s="11" t="s">
        <v>729</v>
      </c>
      <c r="P9" s="11" t="s">
        <v>729</v>
      </c>
      <c r="Q9" s="11" t="s">
        <v>729</v>
      </c>
      <c r="R9" s="11" t="s">
        <v>729</v>
      </c>
      <c r="S9" s="11" t="s">
        <v>729</v>
      </c>
      <c r="T9" s="11" t="s">
        <v>729</v>
      </c>
      <c r="U9" s="11" t="s">
        <v>729</v>
      </c>
      <c r="V9" s="12" t="s">
        <v>729</v>
      </c>
    </row>
    <row r="10" ht="40.5" customHeight="1" spans="1:22">
      <c r="A10" s="16"/>
      <c r="B10" s="6" t="s">
        <v>729</v>
      </c>
      <c r="C10" s="6" t="s">
        <v>729</v>
      </c>
      <c r="D10" s="18" t="s">
        <v>1380</v>
      </c>
      <c r="E10" s="6" t="s">
        <v>729</v>
      </c>
      <c r="F10" s="11" t="s">
        <v>756</v>
      </c>
      <c r="G10" s="11" t="s">
        <v>756</v>
      </c>
      <c r="H10" s="11" t="s">
        <v>752</v>
      </c>
      <c r="I10" s="11" t="s">
        <v>756</v>
      </c>
      <c r="J10" s="11" t="s">
        <v>729</v>
      </c>
      <c r="K10" s="11" t="s">
        <v>729</v>
      </c>
      <c r="L10" s="11" t="s">
        <v>729</v>
      </c>
      <c r="M10" s="11" t="s">
        <v>729</v>
      </c>
      <c r="N10" s="11" t="s">
        <v>729</v>
      </c>
      <c r="O10" s="11" t="s">
        <v>729</v>
      </c>
      <c r="P10" s="11" t="s">
        <v>729</v>
      </c>
      <c r="Q10" s="11" t="s">
        <v>729</v>
      </c>
      <c r="R10" s="11" t="s">
        <v>729</v>
      </c>
      <c r="S10" s="11" t="s">
        <v>729</v>
      </c>
      <c r="T10" s="11" t="s">
        <v>729</v>
      </c>
      <c r="U10" s="11" t="s">
        <v>729</v>
      </c>
      <c r="V10" s="12" t="s">
        <v>729</v>
      </c>
    </row>
    <row r="11" ht="53" customHeight="1" spans="1:22">
      <c r="A11" s="16"/>
      <c r="B11" s="6" t="s">
        <v>729</v>
      </c>
      <c r="C11" s="6" t="s">
        <v>729</v>
      </c>
      <c r="D11" s="18" t="s">
        <v>1381</v>
      </c>
      <c r="E11" s="6" t="s">
        <v>729</v>
      </c>
      <c r="F11" s="11" t="s">
        <v>756</v>
      </c>
      <c r="G11" s="11" t="s">
        <v>756</v>
      </c>
      <c r="H11" s="11" t="s">
        <v>756</v>
      </c>
      <c r="I11" s="11" t="s">
        <v>752</v>
      </c>
      <c r="J11" s="11" t="s">
        <v>729</v>
      </c>
      <c r="K11" s="11" t="s">
        <v>729</v>
      </c>
      <c r="L11" s="11" t="s">
        <v>729</v>
      </c>
      <c r="M11" s="11" t="s">
        <v>729</v>
      </c>
      <c r="N11" s="11" t="s">
        <v>729</v>
      </c>
      <c r="O11" s="11" t="s">
        <v>729</v>
      </c>
      <c r="P11" s="11" t="s">
        <v>729</v>
      </c>
      <c r="Q11" s="11" t="s">
        <v>729</v>
      </c>
      <c r="R11" s="11" t="s">
        <v>729</v>
      </c>
      <c r="S11" s="11" t="s">
        <v>729</v>
      </c>
      <c r="T11" s="11" t="s">
        <v>729</v>
      </c>
      <c r="U11" s="11" t="s">
        <v>729</v>
      </c>
      <c r="V11" s="12" t="s">
        <v>729</v>
      </c>
    </row>
    <row r="12" ht="15.5" customHeight="1" spans="1:22">
      <c r="A12" s="16" t="s">
        <v>692</v>
      </c>
      <c r="B12" s="17" t="s">
        <v>693</v>
      </c>
      <c r="C12" s="6" t="s">
        <v>729</v>
      </c>
      <c r="D12" s="6" t="s">
        <v>729</v>
      </c>
      <c r="E12" s="6" t="s">
        <v>729</v>
      </c>
      <c r="F12" s="6" t="s">
        <v>729</v>
      </c>
      <c r="G12" s="6" t="s">
        <v>729</v>
      </c>
      <c r="H12" s="6" t="s">
        <v>729</v>
      </c>
      <c r="I12" s="6" t="s">
        <v>729</v>
      </c>
      <c r="J12" s="6" t="s">
        <v>729</v>
      </c>
      <c r="K12" s="6" t="s">
        <v>729</v>
      </c>
      <c r="L12" s="6" t="s">
        <v>729</v>
      </c>
      <c r="M12" s="6" t="s">
        <v>729</v>
      </c>
      <c r="N12" s="6" t="s">
        <v>729</v>
      </c>
      <c r="O12" s="6" t="s">
        <v>729</v>
      </c>
      <c r="P12" s="6" t="s">
        <v>729</v>
      </c>
      <c r="Q12" s="6" t="s">
        <v>729</v>
      </c>
      <c r="R12" s="6" t="s">
        <v>729</v>
      </c>
      <c r="S12" s="6" t="s">
        <v>729</v>
      </c>
      <c r="T12" s="6" t="s">
        <v>729</v>
      </c>
      <c r="U12" s="6" t="s">
        <v>729</v>
      </c>
      <c r="V12" s="8" t="s">
        <v>729</v>
      </c>
    </row>
    <row r="13" ht="65.5" customHeight="1" spans="1:22">
      <c r="A13" s="16"/>
      <c r="B13" s="6" t="s">
        <v>729</v>
      </c>
      <c r="C13" s="6" t="s">
        <v>729</v>
      </c>
      <c r="D13" s="18" t="s">
        <v>1382</v>
      </c>
      <c r="E13" s="6" t="s">
        <v>729</v>
      </c>
      <c r="F13" s="11" t="s">
        <v>752</v>
      </c>
      <c r="G13" s="11" t="s">
        <v>752</v>
      </c>
      <c r="H13" s="11" t="s">
        <v>752</v>
      </c>
      <c r="I13" s="11" t="s">
        <v>756</v>
      </c>
      <c r="J13" s="11" t="s">
        <v>729</v>
      </c>
      <c r="K13" s="11" t="s">
        <v>729</v>
      </c>
      <c r="L13" s="11" t="s">
        <v>729</v>
      </c>
      <c r="M13" s="11" t="s">
        <v>729</v>
      </c>
      <c r="N13" s="11" t="s">
        <v>729</v>
      </c>
      <c r="O13" s="11" t="s">
        <v>729</v>
      </c>
      <c r="P13" s="11" t="s">
        <v>729</v>
      </c>
      <c r="Q13" s="11" t="s">
        <v>729</v>
      </c>
      <c r="R13" s="11" t="s">
        <v>729</v>
      </c>
      <c r="S13" s="11" t="s">
        <v>729</v>
      </c>
      <c r="T13" s="11" t="s">
        <v>729</v>
      </c>
      <c r="U13" s="11" t="s">
        <v>729</v>
      </c>
      <c r="V13" s="12" t="s">
        <v>729</v>
      </c>
    </row>
    <row r="14" ht="53" customHeight="1" spans="1:22">
      <c r="A14" s="16"/>
      <c r="B14" s="6" t="s">
        <v>729</v>
      </c>
      <c r="C14" s="6" t="s">
        <v>729</v>
      </c>
      <c r="D14" s="18" t="s">
        <v>1383</v>
      </c>
      <c r="E14" s="6" t="s">
        <v>729</v>
      </c>
      <c r="F14" s="11" t="s">
        <v>752</v>
      </c>
      <c r="G14" s="11" t="s">
        <v>752</v>
      </c>
      <c r="H14" s="11" t="s">
        <v>752</v>
      </c>
      <c r="I14" s="11" t="s">
        <v>756</v>
      </c>
      <c r="J14" s="11" t="s">
        <v>729</v>
      </c>
      <c r="K14" s="11" t="s">
        <v>729</v>
      </c>
      <c r="L14" s="11" t="s">
        <v>729</v>
      </c>
      <c r="M14" s="11" t="s">
        <v>729</v>
      </c>
      <c r="N14" s="11" t="s">
        <v>729</v>
      </c>
      <c r="O14" s="11" t="s">
        <v>729</v>
      </c>
      <c r="P14" s="11" t="s">
        <v>729</v>
      </c>
      <c r="Q14" s="11" t="s">
        <v>729</v>
      </c>
      <c r="R14" s="11" t="s">
        <v>729</v>
      </c>
      <c r="S14" s="11" t="s">
        <v>729</v>
      </c>
      <c r="T14" s="11" t="s">
        <v>729</v>
      </c>
      <c r="U14" s="11" t="s">
        <v>729</v>
      </c>
      <c r="V14" s="12" t="s">
        <v>729</v>
      </c>
    </row>
    <row r="15" ht="65.5" customHeight="1" spans="1:22">
      <c r="A15" s="16"/>
      <c r="B15" s="6" t="s">
        <v>729</v>
      </c>
      <c r="C15" s="6" t="s">
        <v>729</v>
      </c>
      <c r="D15" s="18" t="s">
        <v>1384</v>
      </c>
      <c r="E15" s="6" t="s">
        <v>729</v>
      </c>
      <c r="F15" s="11" t="s">
        <v>756</v>
      </c>
      <c r="G15" s="11" t="s">
        <v>756</v>
      </c>
      <c r="H15" s="11" t="s">
        <v>756</v>
      </c>
      <c r="I15" s="11" t="s">
        <v>752</v>
      </c>
      <c r="J15" s="11" t="s">
        <v>729</v>
      </c>
      <c r="K15" s="11" t="s">
        <v>729</v>
      </c>
      <c r="L15" s="11" t="s">
        <v>729</v>
      </c>
      <c r="M15" s="11" t="s">
        <v>729</v>
      </c>
      <c r="N15" s="11" t="s">
        <v>729</v>
      </c>
      <c r="O15" s="11" t="s">
        <v>729</v>
      </c>
      <c r="P15" s="11" t="s">
        <v>729</v>
      </c>
      <c r="Q15" s="11" t="s">
        <v>729</v>
      </c>
      <c r="R15" s="11" t="s">
        <v>729</v>
      </c>
      <c r="S15" s="11" t="s">
        <v>729</v>
      </c>
      <c r="T15" s="11" t="s">
        <v>729</v>
      </c>
      <c r="U15" s="11" t="s">
        <v>729</v>
      </c>
      <c r="V15" s="12" t="s">
        <v>729</v>
      </c>
    </row>
    <row r="16" ht="15.5" customHeight="1" spans="1:22">
      <c r="A16" s="16"/>
      <c r="B16" s="17" t="s">
        <v>694</v>
      </c>
      <c r="C16" s="6" t="s">
        <v>729</v>
      </c>
      <c r="D16" s="6" t="s">
        <v>729</v>
      </c>
      <c r="E16" s="6" t="s">
        <v>729</v>
      </c>
      <c r="F16" s="6" t="s">
        <v>729</v>
      </c>
      <c r="G16" s="6" t="s">
        <v>729</v>
      </c>
      <c r="H16" s="6" t="s">
        <v>729</v>
      </c>
      <c r="I16" s="6" t="s">
        <v>729</v>
      </c>
      <c r="J16" s="6" t="s">
        <v>729</v>
      </c>
      <c r="K16" s="6" t="s">
        <v>729</v>
      </c>
      <c r="L16" s="6" t="s">
        <v>729</v>
      </c>
      <c r="M16" s="6" t="s">
        <v>729</v>
      </c>
      <c r="N16" s="6" t="s">
        <v>729</v>
      </c>
      <c r="O16" s="6" t="s">
        <v>729</v>
      </c>
      <c r="P16" s="6" t="s">
        <v>729</v>
      </c>
      <c r="Q16" s="6" t="s">
        <v>729</v>
      </c>
      <c r="R16" s="6" t="s">
        <v>729</v>
      </c>
      <c r="S16" s="6" t="s">
        <v>729</v>
      </c>
      <c r="T16" s="6" t="s">
        <v>729</v>
      </c>
      <c r="U16" s="6" t="s">
        <v>729</v>
      </c>
      <c r="V16" s="8" t="s">
        <v>729</v>
      </c>
    </row>
    <row r="17" ht="78" customHeight="1" spans="1:22">
      <c r="A17" s="16"/>
      <c r="B17" s="6" t="s">
        <v>729</v>
      </c>
      <c r="C17" s="6" t="s">
        <v>729</v>
      </c>
      <c r="D17" s="18" t="s">
        <v>1385</v>
      </c>
      <c r="E17" s="6" t="s">
        <v>729</v>
      </c>
      <c r="F17" s="11" t="s">
        <v>756</v>
      </c>
      <c r="G17" s="11" t="s">
        <v>756</v>
      </c>
      <c r="H17" s="11" t="s">
        <v>756</v>
      </c>
      <c r="I17" s="11" t="s">
        <v>752</v>
      </c>
      <c r="J17" s="11" t="s">
        <v>729</v>
      </c>
      <c r="K17" s="11" t="s">
        <v>729</v>
      </c>
      <c r="L17" s="11" t="s">
        <v>729</v>
      </c>
      <c r="M17" s="11" t="s">
        <v>729</v>
      </c>
      <c r="N17" s="11" t="s">
        <v>729</v>
      </c>
      <c r="O17" s="11" t="s">
        <v>729</v>
      </c>
      <c r="P17" s="11" t="s">
        <v>729</v>
      </c>
      <c r="Q17" s="11" t="s">
        <v>729</v>
      </c>
      <c r="R17" s="11" t="s">
        <v>729</v>
      </c>
      <c r="S17" s="11" t="s">
        <v>729</v>
      </c>
      <c r="T17" s="11" t="s">
        <v>729</v>
      </c>
      <c r="U17" s="11" t="s">
        <v>729</v>
      </c>
      <c r="V17" s="12" t="s">
        <v>729</v>
      </c>
    </row>
    <row r="18" ht="18" customHeight="1" spans="1:22">
      <c r="A18" s="19" t="s">
        <v>696</v>
      </c>
      <c r="B18" s="20" t="s">
        <v>765</v>
      </c>
      <c r="C18" s="20"/>
      <c r="D18" s="20"/>
      <c r="E18" s="6" t="s">
        <v>729</v>
      </c>
      <c r="F18" s="11" t="s">
        <v>670</v>
      </c>
      <c r="G18" s="11" t="s">
        <v>670</v>
      </c>
      <c r="H18" s="11" t="s">
        <v>670</v>
      </c>
      <c r="I18" s="11" t="s">
        <v>63</v>
      </c>
      <c r="J18" s="11" t="s">
        <v>729</v>
      </c>
      <c r="K18" s="11" t="s">
        <v>729</v>
      </c>
      <c r="L18" s="11" t="s">
        <v>729</v>
      </c>
      <c r="M18" s="11" t="s">
        <v>729</v>
      </c>
      <c r="N18" s="11" t="s">
        <v>729</v>
      </c>
      <c r="O18" s="11" t="s">
        <v>729</v>
      </c>
      <c r="P18" s="11" t="s">
        <v>729</v>
      </c>
      <c r="Q18" s="11" t="s">
        <v>729</v>
      </c>
      <c r="R18" s="11" t="s">
        <v>729</v>
      </c>
      <c r="S18" s="11" t="s">
        <v>729</v>
      </c>
      <c r="T18" s="11" t="s">
        <v>729</v>
      </c>
      <c r="U18" s="11" t="s">
        <v>729</v>
      </c>
      <c r="V18" s="12" t="s">
        <v>729</v>
      </c>
    </row>
    <row r="19" ht="18" customHeight="1" spans="1:22">
      <c r="A19" s="19"/>
      <c r="B19" s="20" t="s">
        <v>698</v>
      </c>
      <c r="C19" s="20"/>
      <c r="D19" s="20"/>
      <c r="E19" s="6" t="s">
        <v>729</v>
      </c>
      <c r="F19" s="11" t="s">
        <v>766</v>
      </c>
      <c r="G19" s="11" t="s">
        <v>766</v>
      </c>
      <c r="H19" s="11" t="s">
        <v>766</v>
      </c>
      <c r="I19" s="11" t="s">
        <v>766</v>
      </c>
      <c r="J19" s="11" t="s">
        <v>729</v>
      </c>
      <c r="K19" s="11" t="s">
        <v>729</v>
      </c>
      <c r="L19" s="11" t="s">
        <v>729</v>
      </c>
      <c r="M19" s="11" t="s">
        <v>729</v>
      </c>
      <c r="N19" s="11" t="s">
        <v>729</v>
      </c>
      <c r="O19" s="11" t="s">
        <v>729</v>
      </c>
      <c r="P19" s="11" t="s">
        <v>729</v>
      </c>
      <c r="Q19" s="11" t="s">
        <v>729</v>
      </c>
      <c r="R19" s="11" t="s">
        <v>729</v>
      </c>
      <c r="S19" s="11" t="s">
        <v>729</v>
      </c>
      <c r="T19" s="11" t="s">
        <v>729</v>
      </c>
      <c r="U19" s="11" t="s">
        <v>729</v>
      </c>
      <c r="V19" s="12" t="s">
        <v>729</v>
      </c>
    </row>
    <row r="20" ht="18" customHeight="1" spans="1:22">
      <c r="A20" s="19"/>
      <c r="B20" s="20" t="s">
        <v>699</v>
      </c>
      <c r="C20" s="20"/>
      <c r="D20" s="20"/>
      <c r="E20" s="6" t="s">
        <v>729</v>
      </c>
      <c r="F20" s="6" t="s">
        <v>729</v>
      </c>
      <c r="G20" s="6" t="s">
        <v>729</v>
      </c>
      <c r="H20" s="6" t="s">
        <v>729</v>
      </c>
      <c r="I20" s="6" t="s">
        <v>729</v>
      </c>
      <c r="J20" s="6" t="s">
        <v>729</v>
      </c>
      <c r="K20" s="6" t="s">
        <v>729</v>
      </c>
      <c r="L20" s="6" t="s">
        <v>729</v>
      </c>
      <c r="M20" s="6" t="s">
        <v>729</v>
      </c>
      <c r="N20" s="6" t="s">
        <v>729</v>
      </c>
      <c r="O20" s="6" t="s">
        <v>729</v>
      </c>
      <c r="P20" s="6" t="s">
        <v>729</v>
      </c>
      <c r="Q20" s="6" t="s">
        <v>729</v>
      </c>
      <c r="R20" s="6" t="s">
        <v>729</v>
      </c>
      <c r="S20" s="6" t="s">
        <v>729</v>
      </c>
      <c r="T20" s="6" t="s">
        <v>729</v>
      </c>
      <c r="U20" s="6" t="s">
        <v>729</v>
      </c>
      <c r="V20" s="8" t="s">
        <v>729</v>
      </c>
    </row>
    <row r="21" ht="18" customHeight="1" spans="1:22">
      <c r="A21" s="19"/>
      <c r="B21" s="21" t="s">
        <v>700</v>
      </c>
      <c r="C21" s="21"/>
      <c r="D21" s="21"/>
      <c r="E21" s="22" t="s">
        <v>729</v>
      </c>
      <c r="F21" s="22" t="s">
        <v>729</v>
      </c>
      <c r="G21" s="22" t="s">
        <v>729</v>
      </c>
      <c r="H21" s="22" t="s">
        <v>729</v>
      </c>
      <c r="I21" s="22" t="s">
        <v>729</v>
      </c>
      <c r="J21" s="22" t="s">
        <v>729</v>
      </c>
      <c r="K21" s="22" t="s">
        <v>729</v>
      </c>
      <c r="L21" s="22" t="s">
        <v>729</v>
      </c>
      <c r="M21" s="22" t="s">
        <v>729</v>
      </c>
      <c r="N21" s="22" t="s">
        <v>729</v>
      </c>
      <c r="O21" s="22" t="s">
        <v>729</v>
      </c>
      <c r="P21" s="22" t="s">
        <v>729</v>
      </c>
      <c r="Q21" s="22" t="s">
        <v>729</v>
      </c>
      <c r="R21" s="22" t="s">
        <v>729</v>
      </c>
      <c r="S21" s="22" t="s">
        <v>729</v>
      </c>
      <c r="T21" s="22" t="s">
        <v>729</v>
      </c>
      <c r="U21" s="22" t="s">
        <v>729</v>
      </c>
      <c r="V21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8:D18"/>
    <mergeCell ref="B19:D19"/>
    <mergeCell ref="B20:D20"/>
    <mergeCell ref="B21:D21"/>
    <mergeCell ref="A7:A11"/>
    <mergeCell ref="A12:A17"/>
    <mergeCell ref="A18:A21"/>
  </mergeCells>
  <dataValidations count="3">
    <dataValidation type="list" allowBlank="1" sqref="F17:V17 F8:V9 F10:V11 F13:V15">
      <formula1>"O,-"</formula1>
    </dataValidation>
    <dataValidation type="list" allowBlank="1" sqref="F18:V18">
      <formula1>"N,A,B"</formula1>
    </dataValidation>
    <dataValidation type="list" allowBlank="1" sqref="F19:V19">
      <formula1>"P,F"</formula1>
    </dataValidation>
  </dataValidations>
  <pageMargins left="0.7" right="0.7" top="0.75" bottom="0.75" header="0.3" footer="0.3"/>
  <pageSetup paperSize="1" orientation="portrait"/>
  <headerFooter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8"/>
  <sheetViews>
    <sheetView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434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508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1386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3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2</v>
      </c>
      <c r="M5" s="11">
        <v>0</v>
      </c>
      <c r="N5" s="11">
        <v>1</v>
      </c>
      <c r="O5" s="12">
        <v>3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687</v>
      </c>
      <c r="H6" s="14" t="s">
        <v>688</v>
      </c>
      <c r="I6" s="14" t="s">
        <v>729</v>
      </c>
      <c r="J6" s="14" t="s">
        <v>729</v>
      </c>
      <c r="K6" s="14" t="s">
        <v>729</v>
      </c>
      <c r="L6" s="14" t="s">
        <v>729</v>
      </c>
      <c r="M6" s="14" t="s">
        <v>729</v>
      </c>
      <c r="N6" s="14" t="s">
        <v>729</v>
      </c>
      <c r="O6" s="14" t="s">
        <v>729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15.5" customHeight="1" spans="1:22">
      <c r="A7" s="16" t="s">
        <v>690</v>
      </c>
      <c r="B7" s="17" t="s">
        <v>1023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40.5" customHeight="1" spans="1:22">
      <c r="A8" s="16"/>
      <c r="B8" s="6" t="s">
        <v>729</v>
      </c>
      <c r="C8" s="6" t="s">
        <v>729</v>
      </c>
      <c r="D8" s="18" t="s">
        <v>1387</v>
      </c>
      <c r="E8" s="6" t="s">
        <v>729</v>
      </c>
      <c r="F8" s="11" t="s">
        <v>752</v>
      </c>
      <c r="G8" s="11" t="s">
        <v>756</v>
      </c>
      <c r="H8" s="11" t="s">
        <v>756</v>
      </c>
      <c r="I8" s="11" t="s">
        <v>729</v>
      </c>
      <c r="J8" s="11" t="s">
        <v>729</v>
      </c>
      <c r="K8" s="11" t="s">
        <v>729</v>
      </c>
      <c r="L8" s="11" t="s">
        <v>729</v>
      </c>
      <c r="M8" s="11" t="s">
        <v>729</v>
      </c>
      <c r="N8" s="11" t="s">
        <v>729</v>
      </c>
      <c r="O8" s="11" t="s">
        <v>729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53" customHeight="1" spans="1:22">
      <c r="A9" s="16"/>
      <c r="B9" s="6" t="s">
        <v>729</v>
      </c>
      <c r="C9" s="6" t="s">
        <v>729</v>
      </c>
      <c r="D9" s="18" t="s">
        <v>1388</v>
      </c>
      <c r="E9" s="6" t="s">
        <v>729</v>
      </c>
      <c r="F9" s="11" t="s">
        <v>756</v>
      </c>
      <c r="G9" s="11" t="s">
        <v>752</v>
      </c>
      <c r="H9" s="11" t="s">
        <v>756</v>
      </c>
      <c r="I9" s="11" t="s">
        <v>729</v>
      </c>
      <c r="J9" s="11" t="s">
        <v>729</v>
      </c>
      <c r="K9" s="11" t="s">
        <v>729</v>
      </c>
      <c r="L9" s="11" t="s">
        <v>729</v>
      </c>
      <c r="M9" s="11" t="s">
        <v>729</v>
      </c>
      <c r="N9" s="11" t="s">
        <v>729</v>
      </c>
      <c r="O9" s="11" t="s">
        <v>729</v>
      </c>
      <c r="P9" s="11" t="s">
        <v>729</v>
      </c>
      <c r="Q9" s="11" t="s">
        <v>729</v>
      </c>
      <c r="R9" s="11" t="s">
        <v>729</v>
      </c>
      <c r="S9" s="11" t="s">
        <v>729</v>
      </c>
      <c r="T9" s="11" t="s">
        <v>729</v>
      </c>
      <c r="U9" s="11" t="s">
        <v>729</v>
      </c>
      <c r="V9" s="12" t="s">
        <v>729</v>
      </c>
    </row>
    <row r="10" ht="53" customHeight="1" spans="1:22">
      <c r="A10" s="16"/>
      <c r="B10" s="6" t="s">
        <v>729</v>
      </c>
      <c r="C10" s="6" t="s">
        <v>729</v>
      </c>
      <c r="D10" s="18" t="s">
        <v>1389</v>
      </c>
      <c r="E10" s="6" t="s">
        <v>729</v>
      </c>
      <c r="F10" s="11" t="s">
        <v>756</v>
      </c>
      <c r="G10" s="11" t="s">
        <v>756</v>
      </c>
      <c r="H10" s="11" t="s">
        <v>752</v>
      </c>
      <c r="I10" s="11" t="s">
        <v>729</v>
      </c>
      <c r="J10" s="11" t="s">
        <v>729</v>
      </c>
      <c r="K10" s="11" t="s">
        <v>729</v>
      </c>
      <c r="L10" s="11" t="s">
        <v>729</v>
      </c>
      <c r="M10" s="11" t="s">
        <v>729</v>
      </c>
      <c r="N10" s="11" t="s">
        <v>729</v>
      </c>
      <c r="O10" s="11" t="s">
        <v>729</v>
      </c>
      <c r="P10" s="11" t="s">
        <v>729</v>
      </c>
      <c r="Q10" s="11" t="s">
        <v>729</v>
      </c>
      <c r="R10" s="11" t="s">
        <v>729</v>
      </c>
      <c r="S10" s="11" t="s">
        <v>729</v>
      </c>
      <c r="T10" s="11" t="s">
        <v>729</v>
      </c>
      <c r="U10" s="11" t="s">
        <v>729</v>
      </c>
      <c r="V10" s="12" t="s">
        <v>729</v>
      </c>
    </row>
    <row r="11" ht="15.5" customHeight="1" spans="1:22">
      <c r="A11" s="16" t="s">
        <v>692</v>
      </c>
      <c r="B11" s="17" t="s">
        <v>693</v>
      </c>
      <c r="C11" s="6" t="s">
        <v>729</v>
      </c>
      <c r="D11" s="6" t="s">
        <v>729</v>
      </c>
      <c r="E11" s="6" t="s">
        <v>729</v>
      </c>
      <c r="F11" s="6" t="s">
        <v>729</v>
      </c>
      <c r="G11" s="6" t="s">
        <v>729</v>
      </c>
      <c r="H11" s="6" t="s">
        <v>729</v>
      </c>
      <c r="I11" s="6" t="s">
        <v>729</v>
      </c>
      <c r="J11" s="6" t="s">
        <v>729</v>
      </c>
      <c r="K11" s="6" t="s">
        <v>729</v>
      </c>
      <c r="L11" s="6" t="s">
        <v>729</v>
      </c>
      <c r="M11" s="6" t="s">
        <v>729</v>
      </c>
      <c r="N11" s="6" t="s">
        <v>729</v>
      </c>
      <c r="O11" s="6" t="s">
        <v>729</v>
      </c>
      <c r="P11" s="6" t="s">
        <v>729</v>
      </c>
      <c r="Q11" s="6" t="s">
        <v>729</v>
      </c>
      <c r="R11" s="6" t="s">
        <v>729</v>
      </c>
      <c r="S11" s="6" t="s">
        <v>729</v>
      </c>
      <c r="T11" s="6" t="s">
        <v>729</v>
      </c>
      <c r="U11" s="6" t="s">
        <v>729</v>
      </c>
      <c r="V11" s="8" t="s">
        <v>729</v>
      </c>
    </row>
    <row r="12" ht="78" customHeight="1" spans="1:22">
      <c r="A12" s="16"/>
      <c r="B12" s="6" t="s">
        <v>729</v>
      </c>
      <c r="C12" s="6" t="s">
        <v>729</v>
      </c>
      <c r="D12" s="18" t="s">
        <v>1390</v>
      </c>
      <c r="E12" s="6" t="s">
        <v>729</v>
      </c>
      <c r="F12" s="11" t="s">
        <v>752</v>
      </c>
      <c r="G12" s="11" t="s">
        <v>756</v>
      </c>
      <c r="H12" s="11" t="s">
        <v>756</v>
      </c>
      <c r="I12" s="11" t="s">
        <v>729</v>
      </c>
      <c r="J12" s="11" t="s">
        <v>729</v>
      </c>
      <c r="K12" s="11" t="s">
        <v>729</v>
      </c>
      <c r="L12" s="11" t="s">
        <v>729</v>
      </c>
      <c r="M12" s="11" t="s">
        <v>729</v>
      </c>
      <c r="N12" s="11" t="s">
        <v>729</v>
      </c>
      <c r="O12" s="11" t="s">
        <v>729</v>
      </c>
      <c r="P12" s="11" t="s">
        <v>729</v>
      </c>
      <c r="Q12" s="11" t="s">
        <v>729</v>
      </c>
      <c r="R12" s="11" t="s">
        <v>729</v>
      </c>
      <c r="S12" s="11" t="s">
        <v>729</v>
      </c>
      <c r="T12" s="11" t="s">
        <v>729</v>
      </c>
      <c r="U12" s="11" t="s">
        <v>729</v>
      </c>
      <c r="V12" s="12" t="s">
        <v>729</v>
      </c>
    </row>
    <row r="13" ht="78" customHeight="1" spans="1:22">
      <c r="A13" s="16"/>
      <c r="B13" s="6" t="s">
        <v>729</v>
      </c>
      <c r="C13" s="6" t="s">
        <v>729</v>
      </c>
      <c r="D13" s="18" t="s">
        <v>1391</v>
      </c>
      <c r="E13" s="6" t="s">
        <v>729</v>
      </c>
      <c r="F13" s="11" t="s">
        <v>756</v>
      </c>
      <c r="G13" s="11" t="s">
        <v>752</v>
      </c>
      <c r="H13" s="11" t="s">
        <v>752</v>
      </c>
      <c r="I13" s="11" t="s">
        <v>729</v>
      </c>
      <c r="J13" s="11" t="s">
        <v>729</v>
      </c>
      <c r="K13" s="11" t="s">
        <v>729</v>
      </c>
      <c r="L13" s="11" t="s">
        <v>729</v>
      </c>
      <c r="M13" s="11" t="s">
        <v>729</v>
      </c>
      <c r="N13" s="11" t="s">
        <v>729</v>
      </c>
      <c r="O13" s="11" t="s">
        <v>729</v>
      </c>
      <c r="P13" s="11" t="s">
        <v>729</v>
      </c>
      <c r="Q13" s="11" t="s">
        <v>729</v>
      </c>
      <c r="R13" s="11" t="s">
        <v>729</v>
      </c>
      <c r="S13" s="11" t="s">
        <v>729</v>
      </c>
      <c r="T13" s="11" t="s">
        <v>729</v>
      </c>
      <c r="U13" s="11" t="s">
        <v>729</v>
      </c>
      <c r="V13" s="12" t="s">
        <v>729</v>
      </c>
    </row>
    <row r="14" ht="78" customHeight="1" spans="1:22">
      <c r="A14" s="16"/>
      <c r="B14" s="6" t="s">
        <v>729</v>
      </c>
      <c r="C14" s="6" t="s">
        <v>729</v>
      </c>
      <c r="D14" s="18" t="s">
        <v>1392</v>
      </c>
      <c r="E14" s="6" t="s">
        <v>729</v>
      </c>
      <c r="F14" s="11" t="s">
        <v>756</v>
      </c>
      <c r="G14" s="11" t="s">
        <v>756</v>
      </c>
      <c r="H14" s="11" t="s">
        <v>752</v>
      </c>
      <c r="I14" s="11" t="s">
        <v>729</v>
      </c>
      <c r="J14" s="11" t="s">
        <v>729</v>
      </c>
      <c r="K14" s="11" t="s">
        <v>729</v>
      </c>
      <c r="L14" s="11" t="s">
        <v>729</v>
      </c>
      <c r="M14" s="11" t="s">
        <v>729</v>
      </c>
      <c r="N14" s="11" t="s">
        <v>729</v>
      </c>
      <c r="O14" s="11" t="s">
        <v>729</v>
      </c>
      <c r="P14" s="11" t="s">
        <v>729</v>
      </c>
      <c r="Q14" s="11" t="s">
        <v>729</v>
      </c>
      <c r="R14" s="11" t="s">
        <v>729</v>
      </c>
      <c r="S14" s="11" t="s">
        <v>729</v>
      </c>
      <c r="T14" s="11" t="s">
        <v>729</v>
      </c>
      <c r="U14" s="11" t="s">
        <v>729</v>
      </c>
      <c r="V14" s="12" t="s">
        <v>729</v>
      </c>
    </row>
    <row r="15" ht="18" customHeight="1" spans="1:22">
      <c r="A15" s="19" t="s">
        <v>696</v>
      </c>
      <c r="B15" s="20" t="s">
        <v>765</v>
      </c>
      <c r="C15" s="20"/>
      <c r="D15" s="20"/>
      <c r="E15" s="6" t="s">
        <v>729</v>
      </c>
      <c r="F15" s="11" t="s">
        <v>670</v>
      </c>
      <c r="G15" s="11" t="s">
        <v>670</v>
      </c>
      <c r="H15" s="11" t="s">
        <v>671</v>
      </c>
      <c r="I15" s="11" t="s">
        <v>729</v>
      </c>
      <c r="J15" s="11" t="s">
        <v>729</v>
      </c>
      <c r="K15" s="11" t="s">
        <v>729</v>
      </c>
      <c r="L15" s="11" t="s">
        <v>729</v>
      </c>
      <c r="M15" s="11" t="s">
        <v>729</v>
      </c>
      <c r="N15" s="11" t="s">
        <v>729</v>
      </c>
      <c r="O15" s="11" t="s">
        <v>729</v>
      </c>
      <c r="P15" s="11" t="s">
        <v>729</v>
      </c>
      <c r="Q15" s="11" t="s">
        <v>729</v>
      </c>
      <c r="R15" s="11" t="s">
        <v>729</v>
      </c>
      <c r="S15" s="11" t="s">
        <v>729</v>
      </c>
      <c r="T15" s="11" t="s">
        <v>729</v>
      </c>
      <c r="U15" s="11" t="s">
        <v>729</v>
      </c>
      <c r="V15" s="12" t="s">
        <v>729</v>
      </c>
    </row>
    <row r="16" ht="18" customHeight="1" spans="1:22">
      <c r="A16" s="19"/>
      <c r="B16" s="20" t="s">
        <v>698</v>
      </c>
      <c r="C16" s="20"/>
      <c r="D16" s="20"/>
      <c r="E16" s="6" t="s">
        <v>729</v>
      </c>
      <c r="F16" s="11" t="s">
        <v>766</v>
      </c>
      <c r="G16" s="11" t="s">
        <v>766</v>
      </c>
      <c r="H16" s="11" t="s">
        <v>766</v>
      </c>
      <c r="I16" s="11" t="s">
        <v>729</v>
      </c>
      <c r="J16" s="11" t="s">
        <v>729</v>
      </c>
      <c r="K16" s="11" t="s">
        <v>729</v>
      </c>
      <c r="L16" s="11" t="s">
        <v>729</v>
      </c>
      <c r="M16" s="11" t="s">
        <v>729</v>
      </c>
      <c r="N16" s="11" t="s">
        <v>729</v>
      </c>
      <c r="O16" s="11" t="s">
        <v>729</v>
      </c>
      <c r="P16" s="11" t="s">
        <v>729</v>
      </c>
      <c r="Q16" s="11" t="s">
        <v>729</v>
      </c>
      <c r="R16" s="11" t="s">
        <v>729</v>
      </c>
      <c r="S16" s="11" t="s">
        <v>729</v>
      </c>
      <c r="T16" s="11" t="s">
        <v>729</v>
      </c>
      <c r="U16" s="11" t="s">
        <v>729</v>
      </c>
      <c r="V16" s="12" t="s">
        <v>729</v>
      </c>
    </row>
    <row r="17" ht="18" customHeight="1" spans="1:22">
      <c r="A17" s="19"/>
      <c r="B17" s="20" t="s">
        <v>699</v>
      </c>
      <c r="C17" s="20"/>
      <c r="D17" s="20"/>
      <c r="E17" s="6" t="s">
        <v>729</v>
      </c>
      <c r="F17" s="6" t="s">
        <v>729</v>
      </c>
      <c r="G17" s="6" t="s">
        <v>729</v>
      </c>
      <c r="H17" s="6" t="s">
        <v>729</v>
      </c>
      <c r="I17" s="6" t="s">
        <v>729</v>
      </c>
      <c r="J17" s="6" t="s">
        <v>729</v>
      </c>
      <c r="K17" s="6" t="s">
        <v>729</v>
      </c>
      <c r="L17" s="6" t="s">
        <v>729</v>
      </c>
      <c r="M17" s="6" t="s">
        <v>729</v>
      </c>
      <c r="N17" s="6" t="s">
        <v>729</v>
      </c>
      <c r="O17" s="6" t="s">
        <v>729</v>
      </c>
      <c r="P17" s="6" t="s">
        <v>729</v>
      </c>
      <c r="Q17" s="6" t="s">
        <v>729</v>
      </c>
      <c r="R17" s="6" t="s">
        <v>729</v>
      </c>
      <c r="S17" s="6" t="s">
        <v>729</v>
      </c>
      <c r="T17" s="6" t="s">
        <v>729</v>
      </c>
      <c r="U17" s="6" t="s">
        <v>729</v>
      </c>
      <c r="V17" s="8" t="s">
        <v>729</v>
      </c>
    </row>
    <row r="18" ht="18" customHeight="1" spans="1:22">
      <c r="A18" s="19"/>
      <c r="B18" s="21" t="s">
        <v>700</v>
      </c>
      <c r="C18" s="21"/>
      <c r="D18" s="21"/>
      <c r="E18" s="22" t="s">
        <v>729</v>
      </c>
      <c r="F18" s="22" t="s">
        <v>729</v>
      </c>
      <c r="G18" s="22" t="s">
        <v>729</v>
      </c>
      <c r="H18" s="22" t="s">
        <v>729</v>
      </c>
      <c r="I18" s="22" t="s">
        <v>729</v>
      </c>
      <c r="J18" s="22" t="s">
        <v>729</v>
      </c>
      <c r="K18" s="22" t="s">
        <v>729</v>
      </c>
      <c r="L18" s="22" t="s">
        <v>729</v>
      </c>
      <c r="M18" s="22" t="s">
        <v>729</v>
      </c>
      <c r="N18" s="22" t="s">
        <v>729</v>
      </c>
      <c r="O18" s="22" t="s">
        <v>729</v>
      </c>
      <c r="P18" s="22" t="s">
        <v>729</v>
      </c>
      <c r="Q18" s="22" t="s">
        <v>729</v>
      </c>
      <c r="R18" s="22" t="s">
        <v>729</v>
      </c>
      <c r="S18" s="22" t="s">
        <v>729</v>
      </c>
      <c r="T18" s="22" t="s">
        <v>729</v>
      </c>
      <c r="U18" s="22" t="s">
        <v>729</v>
      </c>
      <c r="V18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5:D15"/>
    <mergeCell ref="B16:D16"/>
    <mergeCell ref="B17:D17"/>
    <mergeCell ref="B18:D18"/>
    <mergeCell ref="A7:A10"/>
    <mergeCell ref="A11:A14"/>
    <mergeCell ref="A15:A18"/>
  </mergeCells>
  <dataValidations count="3">
    <dataValidation type="list" allowBlank="1" sqref="F10:V10 F12:V14 F8:V9">
      <formula1>"O,-"</formula1>
    </dataValidation>
    <dataValidation type="list" allowBlank="1" sqref="F15:V15">
      <formula1>"N,A,B"</formula1>
    </dataValidation>
    <dataValidation type="list" allowBlank="1" sqref="F16:V16">
      <formula1>"P,F"</formula1>
    </dataValidation>
  </dataValidations>
  <pageMargins left="0.7" right="0.7" top="0.75" bottom="0.75" header="0.3" footer="0.3"/>
  <pageSetup paperSize="1" orientation="portrait"/>
  <headerFooter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0"/>
  <sheetViews>
    <sheetView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434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513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1393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4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2</v>
      </c>
      <c r="M5" s="11">
        <v>2</v>
      </c>
      <c r="N5" s="11">
        <v>0</v>
      </c>
      <c r="O5" s="12">
        <v>4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687</v>
      </c>
      <c r="H6" s="14" t="s">
        <v>688</v>
      </c>
      <c r="I6" s="14" t="s">
        <v>689</v>
      </c>
      <c r="J6" s="14" t="s">
        <v>729</v>
      </c>
      <c r="K6" s="14" t="s">
        <v>729</v>
      </c>
      <c r="L6" s="14" t="s">
        <v>729</v>
      </c>
      <c r="M6" s="14" t="s">
        <v>729</v>
      </c>
      <c r="N6" s="14" t="s">
        <v>729</v>
      </c>
      <c r="O6" s="14" t="s">
        <v>729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15.5" customHeight="1" spans="1:22">
      <c r="A7" s="16" t="s">
        <v>690</v>
      </c>
      <c r="B7" s="17" t="s">
        <v>1394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40.5" customHeight="1" spans="1:22">
      <c r="A8" s="16"/>
      <c r="B8" s="6" t="s">
        <v>729</v>
      </c>
      <c r="C8" s="6" t="s">
        <v>729</v>
      </c>
      <c r="D8" s="18" t="s">
        <v>1395</v>
      </c>
      <c r="E8" s="6" t="s">
        <v>729</v>
      </c>
      <c r="F8" s="11" t="s">
        <v>752</v>
      </c>
      <c r="G8" s="11" t="s">
        <v>756</v>
      </c>
      <c r="H8" s="11" t="s">
        <v>756</v>
      </c>
      <c r="I8" s="11" t="s">
        <v>756</v>
      </c>
      <c r="J8" s="11" t="s">
        <v>729</v>
      </c>
      <c r="K8" s="11" t="s">
        <v>729</v>
      </c>
      <c r="L8" s="11" t="s">
        <v>729</v>
      </c>
      <c r="M8" s="11" t="s">
        <v>729</v>
      </c>
      <c r="N8" s="11" t="s">
        <v>729</v>
      </c>
      <c r="O8" s="11" t="s">
        <v>729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40.5" customHeight="1" spans="1:22">
      <c r="A9" s="16"/>
      <c r="B9" s="6" t="s">
        <v>729</v>
      </c>
      <c r="C9" s="6" t="s">
        <v>729</v>
      </c>
      <c r="D9" s="18" t="s">
        <v>1396</v>
      </c>
      <c r="E9" s="6" t="s">
        <v>729</v>
      </c>
      <c r="F9" s="11" t="s">
        <v>756</v>
      </c>
      <c r="G9" s="11" t="s">
        <v>752</v>
      </c>
      <c r="H9" s="11" t="s">
        <v>756</v>
      </c>
      <c r="I9" s="11" t="s">
        <v>756</v>
      </c>
      <c r="J9" s="11" t="s">
        <v>729</v>
      </c>
      <c r="K9" s="11" t="s">
        <v>729</v>
      </c>
      <c r="L9" s="11" t="s">
        <v>729</v>
      </c>
      <c r="M9" s="11" t="s">
        <v>729</v>
      </c>
      <c r="N9" s="11" t="s">
        <v>729</v>
      </c>
      <c r="O9" s="11" t="s">
        <v>729</v>
      </c>
      <c r="P9" s="11" t="s">
        <v>729</v>
      </c>
      <c r="Q9" s="11" t="s">
        <v>729</v>
      </c>
      <c r="R9" s="11" t="s">
        <v>729</v>
      </c>
      <c r="S9" s="11" t="s">
        <v>729</v>
      </c>
      <c r="T9" s="11" t="s">
        <v>729</v>
      </c>
      <c r="U9" s="11" t="s">
        <v>729</v>
      </c>
      <c r="V9" s="12" t="s">
        <v>729</v>
      </c>
    </row>
    <row r="10" ht="40.5" customHeight="1" spans="1:22">
      <c r="A10" s="16"/>
      <c r="B10" s="6" t="s">
        <v>729</v>
      </c>
      <c r="C10" s="6" t="s">
        <v>729</v>
      </c>
      <c r="D10" s="18" t="s">
        <v>1397</v>
      </c>
      <c r="E10" s="6" t="s">
        <v>729</v>
      </c>
      <c r="F10" s="11" t="s">
        <v>756</v>
      </c>
      <c r="G10" s="11" t="s">
        <v>756</v>
      </c>
      <c r="H10" s="11" t="s">
        <v>752</v>
      </c>
      <c r="I10" s="11" t="s">
        <v>756</v>
      </c>
      <c r="J10" s="11" t="s">
        <v>729</v>
      </c>
      <c r="K10" s="11" t="s">
        <v>729</v>
      </c>
      <c r="L10" s="11" t="s">
        <v>729</v>
      </c>
      <c r="M10" s="11" t="s">
        <v>729</v>
      </c>
      <c r="N10" s="11" t="s">
        <v>729</v>
      </c>
      <c r="O10" s="11" t="s">
        <v>729</v>
      </c>
      <c r="P10" s="11" t="s">
        <v>729</v>
      </c>
      <c r="Q10" s="11" t="s">
        <v>729</v>
      </c>
      <c r="R10" s="11" t="s">
        <v>729</v>
      </c>
      <c r="S10" s="11" t="s">
        <v>729</v>
      </c>
      <c r="T10" s="11" t="s">
        <v>729</v>
      </c>
      <c r="U10" s="11" t="s">
        <v>729</v>
      </c>
      <c r="V10" s="12" t="s">
        <v>729</v>
      </c>
    </row>
    <row r="11" ht="40.5" customHeight="1" spans="1:22">
      <c r="A11" s="16"/>
      <c r="B11" s="6" t="s">
        <v>729</v>
      </c>
      <c r="C11" s="6" t="s">
        <v>729</v>
      </c>
      <c r="D11" s="18" t="s">
        <v>1398</v>
      </c>
      <c r="E11" s="6" t="s">
        <v>729</v>
      </c>
      <c r="F11" s="11" t="s">
        <v>756</v>
      </c>
      <c r="G11" s="11" t="s">
        <v>756</v>
      </c>
      <c r="H11" s="11" t="s">
        <v>756</v>
      </c>
      <c r="I11" s="11" t="s">
        <v>752</v>
      </c>
      <c r="J11" s="11" t="s">
        <v>729</v>
      </c>
      <c r="K11" s="11" t="s">
        <v>729</v>
      </c>
      <c r="L11" s="11" t="s">
        <v>729</v>
      </c>
      <c r="M11" s="11" t="s">
        <v>729</v>
      </c>
      <c r="N11" s="11" t="s">
        <v>729</v>
      </c>
      <c r="O11" s="11" t="s">
        <v>729</v>
      </c>
      <c r="P11" s="11" t="s">
        <v>729</v>
      </c>
      <c r="Q11" s="11" t="s">
        <v>729</v>
      </c>
      <c r="R11" s="11" t="s">
        <v>729</v>
      </c>
      <c r="S11" s="11" t="s">
        <v>729</v>
      </c>
      <c r="T11" s="11" t="s">
        <v>729</v>
      </c>
      <c r="U11" s="11" t="s">
        <v>729</v>
      </c>
      <c r="V11" s="12" t="s">
        <v>729</v>
      </c>
    </row>
    <row r="12" ht="15.5" customHeight="1" spans="1:22">
      <c r="A12" s="16" t="s">
        <v>692</v>
      </c>
      <c r="B12" s="17" t="s">
        <v>693</v>
      </c>
      <c r="C12" s="6" t="s">
        <v>729</v>
      </c>
      <c r="D12" s="6" t="s">
        <v>729</v>
      </c>
      <c r="E12" s="6" t="s">
        <v>729</v>
      </c>
      <c r="F12" s="6" t="s">
        <v>729</v>
      </c>
      <c r="G12" s="6" t="s">
        <v>729</v>
      </c>
      <c r="H12" s="6" t="s">
        <v>729</v>
      </c>
      <c r="I12" s="6" t="s">
        <v>729</v>
      </c>
      <c r="J12" s="6" t="s">
        <v>729</v>
      </c>
      <c r="K12" s="6" t="s">
        <v>729</v>
      </c>
      <c r="L12" s="6" t="s">
        <v>729</v>
      </c>
      <c r="M12" s="6" t="s">
        <v>729</v>
      </c>
      <c r="N12" s="6" t="s">
        <v>729</v>
      </c>
      <c r="O12" s="6" t="s">
        <v>729</v>
      </c>
      <c r="P12" s="6" t="s">
        <v>729</v>
      </c>
      <c r="Q12" s="6" t="s">
        <v>729</v>
      </c>
      <c r="R12" s="6" t="s">
        <v>729</v>
      </c>
      <c r="S12" s="6" t="s">
        <v>729</v>
      </c>
      <c r="T12" s="6" t="s">
        <v>729</v>
      </c>
      <c r="U12" s="6" t="s">
        <v>729</v>
      </c>
      <c r="V12" s="8" t="s">
        <v>729</v>
      </c>
    </row>
    <row r="13" ht="65.5" customHeight="1" spans="1:22">
      <c r="A13" s="16"/>
      <c r="B13" s="6" t="s">
        <v>729</v>
      </c>
      <c r="C13" s="6" t="s">
        <v>729</v>
      </c>
      <c r="D13" s="18" t="s">
        <v>1399</v>
      </c>
      <c r="E13" s="6" t="s">
        <v>729</v>
      </c>
      <c r="F13" s="11" t="s">
        <v>752</v>
      </c>
      <c r="G13" s="11" t="s">
        <v>752</v>
      </c>
      <c r="H13" s="11" t="s">
        <v>756</v>
      </c>
      <c r="I13" s="11" t="s">
        <v>756</v>
      </c>
      <c r="J13" s="11" t="s">
        <v>729</v>
      </c>
      <c r="K13" s="11" t="s">
        <v>729</v>
      </c>
      <c r="L13" s="11" t="s">
        <v>729</v>
      </c>
      <c r="M13" s="11" t="s">
        <v>729</v>
      </c>
      <c r="N13" s="11" t="s">
        <v>729</v>
      </c>
      <c r="O13" s="11" t="s">
        <v>729</v>
      </c>
      <c r="P13" s="11" t="s">
        <v>729</v>
      </c>
      <c r="Q13" s="11" t="s">
        <v>729</v>
      </c>
      <c r="R13" s="11" t="s">
        <v>729</v>
      </c>
      <c r="S13" s="11" t="s">
        <v>729</v>
      </c>
      <c r="T13" s="11" t="s">
        <v>729</v>
      </c>
      <c r="U13" s="11" t="s">
        <v>729</v>
      </c>
      <c r="V13" s="12" t="s">
        <v>729</v>
      </c>
    </row>
    <row r="14" ht="65.5" customHeight="1" spans="1:22">
      <c r="A14" s="16"/>
      <c r="B14" s="6" t="s">
        <v>729</v>
      </c>
      <c r="C14" s="6" t="s">
        <v>729</v>
      </c>
      <c r="D14" s="18" t="s">
        <v>1400</v>
      </c>
      <c r="E14" s="6" t="s">
        <v>729</v>
      </c>
      <c r="F14" s="11" t="s">
        <v>752</v>
      </c>
      <c r="G14" s="11" t="s">
        <v>752</v>
      </c>
      <c r="H14" s="11" t="s">
        <v>756</v>
      </c>
      <c r="I14" s="11" t="s">
        <v>756</v>
      </c>
      <c r="J14" s="11" t="s">
        <v>729</v>
      </c>
      <c r="K14" s="11" t="s">
        <v>729</v>
      </c>
      <c r="L14" s="11" t="s">
        <v>729</v>
      </c>
      <c r="M14" s="11" t="s">
        <v>729</v>
      </c>
      <c r="N14" s="11" t="s">
        <v>729</v>
      </c>
      <c r="O14" s="11" t="s">
        <v>729</v>
      </c>
      <c r="P14" s="11" t="s">
        <v>729</v>
      </c>
      <c r="Q14" s="11" t="s">
        <v>729</v>
      </c>
      <c r="R14" s="11" t="s">
        <v>729</v>
      </c>
      <c r="S14" s="11" t="s">
        <v>729</v>
      </c>
      <c r="T14" s="11" t="s">
        <v>729</v>
      </c>
      <c r="U14" s="11" t="s">
        <v>729</v>
      </c>
      <c r="V14" s="12" t="s">
        <v>729</v>
      </c>
    </row>
    <row r="15" ht="40.5" customHeight="1" spans="1:22">
      <c r="A15" s="16"/>
      <c r="B15" s="6" t="s">
        <v>729</v>
      </c>
      <c r="C15" s="6" t="s">
        <v>729</v>
      </c>
      <c r="D15" s="18" t="s">
        <v>1401</v>
      </c>
      <c r="E15" s="6" t="s">
        <v>729</v>
      </c>
      <c r="F15" s="11" t="s">
        <v>756</v>
      </c>
      <c r="G15" s="11" t="s">
        <v>756</v>
      </c>
      <c r="H15" s="11" t="s">
        <v>752</v>
      </c>
      <c r="I15" s="11" t="s">
        <v>756</v>
      </c>
      <c r="J15" s="11" t="s">
        <v>729</v>
      </c>
      <c r="K15" s="11" t="s">
        <v>729</v>
      </c>
      <c r="L15" s="11" t="s">
        <v>729</v>
      </c>
      <c r="M15" s="11" t="s">
        <v>729</v>
      </c>
      <c r="N15" s="11" t="s">
        <v>729</v>
      </c>
      <c r="O15" s="11" t="s">
        <v>729</v>
      </c>
      <c r="P15" s="11" t="s">
        <v>729</v>
      </c>
      <c r="Q15" s="11" t="s">
        <v>729</v>
      </c>
      <c r="R15" s="11" t="s">
        <v>729</v>
      </c>
      <c r="S15" s="11" t="s">
        <v>729</v>
      </c>
      <c r="T15" s="11" t="s">
        <v>729</v>
      </c>
      <c r="U15" s="11" t="s">
        <v>729</v>
      </c>
      <c r="V15" s="12" t="s">
        <v>729</v>
      </c>
    </row>
    <row r="16" ht="65.5" customHeight="1" spans="1:22">
      <c r="A16" s="16"/>
      <c r="B16" s="6" t="s">
        <v>729</v>
      </c>
      <c r="C16" s="6" t="s">
        <v>729</v>
      </c>
      <c r="D16" s="18" t="s">
        <v>1402</v>
      </c>
      <c r="E16" s="6" t="s">
        <v>729</v>
      </c>
      <c r="F16" s="11" t="s">
        <v>756</v>
      </c>
      <c r="G16" s="11" t="s">
        <v>756</v>
      </c>
      <c r="H16" s="11" t="s">
        <v>756</v>
      </c>
      <c r="I16" s="11" t="s">
        <v>752</v>
      </c>
      <c r="J16" s="11" t="s">
        <v>729</v>
      </c>
      <c r="K16" s="11" t="s">
        <v>729</v>
      </c>
      <c r="L16" s="11" t="s">
        <v>729</v>
      </c>
      <c r="M16" s="11" t="s">
        <v>729</v>
      </c>
      <c r="N16" s="11" t="s">
        <v>729</v>
      </c>
      <c r="O16" s="11" t="s">
        <v>729</v>
      </c>
      <c r="P16" s="11" t="s">
        <v>729</v>
      </c>
      <c r="Q16" s="11" t="s">
        <v>729</v>
      </c>
      <c r="R16" s="11" t="s">
        <v>729</v>
      </c>
      <c r="S16" s="11" t="s">
        <v>729</v>
      </c>
      <c r="T16" s="11" t="s">
        <v>729</v>
      </c>
      <c r="U16" s="11" t="s">
        <v>729</v>
      </c>
      <c r="V16" s="12" t="s">
        <v>729</v>
      </c>
    </row>
    <row r="17" ht="18" customHeight="1" spans="1:22">
      <c r="A17" s="19" t="s">
        <v>696</v>
      </c>
      <c r="B17" s="20" t="s">
        <v>765</v>
      </c>
      <c r="C17" s="20"/>
      <c r="D17" s="20"/>
      <c r="E17" s="6" t="s">
        <v>729</v>
      </c>
      <c r="F17" s="11" t="s">
        <v>63</v>
      </c>
      <c r="G17" s="11" t="s">
        <v>63</v>
      </c>
      <c r="H17" s="11" t="s">
        <v>670</v>
      </c>
      <c r="I17" s="11" t="s">
        <v>670</v>
      </c>
      <c r="J17" s="11" t="s">
        <v>729</v>
      </c>
      <c r="K17" s="11" t="s">
        <v>729</v>
      </c>
      <c r="L17" s="11" t="s">
        <v>729</v>
      </c>
      <c r="M17" s="11" t="s">
        <v>729</v>
      </c>
      <c r="N17" s="11" t="s">
        <v>729</v>
      </c>
      <c r="O17" s="11" t="s">
        <v>729</v>
      </c>
      <c r="P17" s="11" t="s">
        <v>729</v>
      </c>
      <c r="Q17" s="11" t="s">
        <v>729</v>
      </c>
      <c r="R17" s="11" t="s">
        <v>729</v>
      </c>
      <c r="S17" s="11" t="s">
        <v>729</v>
      </c>
      <c r="T17" s="11" t="s">
        <v>729</v>
      </c>
      <c r="U17" s="11" t="s">
        <v>729</v>
      </c>
      <c r="V17" s="12" t="s">
        <v>729</v>
      </c>
    </row>
    <row r="18" ht="18" customHeight="1" spans="1:22">
      <c r="A18" s="19"/>
      <c r="B18" s="20" t="s">
        <v>698</v>
      </c>
      <c r="C18" s="20"/>
      <c r="D18" s="20"/>
      <c r="E18" s="6" t="s">
        <v>729</v>
      </c>
      <c r="F18" s="11" t="s">
        <v>766</v>
      </c>
      <c r="G18" s="11" t="s">
        <v>766</v>
      </c>
      <c r="H18" s="11" t="s">
        <v>766</v>
      </c>
      <c r="I18" s="11" t="s">
        <v>766</v>
      </c>
      <c r="J18" s="11" t="s">
        <v>729</v>
      </c>
      <c r="K18" s="11" t="s">
        <v>729</v>
      </c>
      <c r="L18" s="11" t="s">
        <v>729</v>
      </c>
      <c r="M18" s="11" t="s">
        <v>729</v>
      </c>
      <c r="N18" s="11" t="s">
        <v>729</v>
      </c>
      <c r="O18" s="11" t="s">
        <v>729</v>
      </c>
      <c r="P18" s="11" t="s">
        <v>729</v>
      </c>
      <c r="Q18" s="11" t="s">
        <v>729</v>
      </c>
      <c r="R18" s="11" t="s">
        <v>729</v>
      </c>
      <c r="S18" s="11" t="s">
        <v>729</v>
      </c>
      <c r="T18" s="11" t="s">
        <v>729</v>
      </c>
      <c r="U18" s="11" t="s">
        <v>729</v>
      </c>
      <c r="V18" s="12" t="s">
        <v>729</v>
      </c>
    </row>
    <row r="19" ht="18" customHeight="1" spans="1:22">
      <c r="A19" s="19"/>
      <c r="B19" s="20" t="s">
        <v>699</v>
      </c>
      <c r="C19" s="20"/>
      <c r="D19" s="20"/>
      <c r="E19" s="6" t="s">
        <v>729</v>
      </c>
      <c r="F19" s="6" t="s">
        <v>729</v>
      </c>
      <c r="G19" s="6" t="s">
        <v>729</v>
      </c>
      <c r="H19" s="6" t="s">
        <v>729</v>
      </c>
      <c r="I19" s="6" t="s">
        <v>729</v>
      </c>
      <c r="J19" s="6" t="s">
        <v>729</v>
      </c>
      <c r="K19" s="6" t="s">
        <v>729</v>
      </c>
      <c r="L19" s="6" t="s">
        <v>729</v>
      </c>
      <c r="M19" s="6" t="s">
        <v>729</v>
      </c>
      <c r="N19" s="6" t="s">
        <v>729</v>
      </c>
      <c r="O19" s="6" t="s">
        <v>729</v>
      </c>
      <c r="P19" s="6" t="s">
        <v>729</v>
      </c>
      <c r="Q19" s="6" t="s">
        <v>729</v>
      </c>
      <c r="R19" s="6" t="s">
        <v>729</v>
      </c>
      <c r="S19" s="6" t="s">
        <v>729</v>
      </c>
      <c r="T19" s="6" t="s">
        <v>729</v>
      </c>
      <c r="U19" s="6" t="s">
        <v>729</v>
      </c>
      <c r="V19" s="8" t="s">
        <v>729</v>
      </c>
    </row>
    <row r="20" ht="18" customHeight="1" spans="1:22">
      <c r="A20" s="19"/>
      <c r="B20" s="21" t="s">
        <v>700</v>
      </c>
      <c r="C20" s="21"/>
      <c r="D20" s="21"/>
      <c r="E20" s="22" t="s">
        <v>729</v>
      </c>
      <c r="F20" s="22" t="s">
        <v>729</v>
      </c>
      <c r="G20" s="22" t="s">
        <v>729</v>
      </c>
      <c r="H20" s="22" t="s">
        <v>729</v>
      </c>
      <c r="I20" s="22" t="s">
        <v>729</v>
      </c>
      <c r="J20" s="22" t="s">
        <v>729</v>
      </c>
      <c r="K20" s="22" t="s">
        <v>729</v>
      </c>
      <c r="L20" s="22" t="s">
        <v>729</v>
      </c>
      <c r="M20" s="22" t="s">
        <v>729</v>
      </c>
      <c r="N20" s="22" t="s">
        <v>729</v>
      </c>
      <c r="O20" s="22" t="s">
        <v>729</v>
      </c>
      <c r="P20" s="22" t="s">
        <v>729</v>
      </c>
      <c r="Q20" s="22" t="s">
        <v>729</v>
      </c>
      <c r="R20" s="22" t="s">
        <v>729</v>
      </c>
      <c r="S20" s="22" t="s">
        <v>729</v>
      </c>
      <c r="T20" s="22" t="s">
        <v>729</v>
      </c>
      <c r="U20" s="22" t="s">
        <v>729</v>
      </c>
      <c r="V20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7:D17"/>
    <mergeCell ref="B18:D18"/>
    <mergeCell ref="B19:D19"/>
    <mergeCell ref="B20:D20"/>
    <mergeCell ref="A7:A11"/>
    <mergeCell ref="A12:A16"/>
    <mergeCell ref="A17:A20"/>
  </mergeCells>
  <dataValidations count="3">
    <dataValidation type="list" allowBlank="1" sqref="F17:V17">
      <formula1>"N,A,B"</formula1>
    </dataValidation>
    <dataValidation type="list" allowBlank="1" sqref="F18:V18">
      <formula1>"P,F"</formula1>
    </dataValidation>
    <dataValidation type="list" allowBlank="1" sqref="F8:V9 F10:V11 F13:V16">
      <formula1>"O,-"</formula1>
    </dataValidation>
  </dataValidations>
  <pageMargins left="0.7" right="0.7" top="0.75" bottom="0.75" header="0.3" footer="0.3"/>
  <pageSetup paperSize="1" orientation="portrait"/>
  <headerFooter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8"/>
  <sheetViews>
    <sheetView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434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518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1403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4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4</v>
      </c>
      <c r="M5" s="11">
        <v>0</v>
      </c>
      <c r="N5" s="11">
        <v>0</v>
      </c>
      <c r="O5" s="12">
        <v>4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687</v>
      </c>
      <c r="H6" s="14" t="s">
        <v>688</v>
      </c>
      <c r="I6" s="14" t="s">
        <v>689</v>
      </c>
      <c r="J6" s="14" t="s">
        <v>729</v>
      </c>
      <c r="K6" s="14" t="s">
        <v>729</v>
      </c>
      <c r="L6" s="14" t="s">
        <v>729</v>
      </c>
      <c r="M6" s="14" t="s">
        <v>729</v>
      </c>
      <c r="N6" s="14" t="s">
        <v>729</v>
      </c>
      <c r="O6" s="14" t="s">
        <v>729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15.5" customHeight="1" spans="1:22">
      <c r="A7" s="16" t="s">
        <v>690</v>
      </c>
      <c r="B7" s="17" t="s">
        <v>1404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28" customHeight="1" spans="1:22">
      <c r="A8" s="16"/>
      <c r="B8" s="6" t="s">
        <v>729</v>
      </c>
      <c r="C8" s="6" t="s">
        <v>729</v>
      </c>
      <c r="D8" s="18" t="s">
        <v>1405</v>
      </c>
      <c r="E8" s="6" t="s">
        <v>729</v>
      </c>
      <c r="F8" s="11" t="s">
        <v>752</v>
      </c>
      <c r="G8" s="11" t="s">
        <v>756</v>
      </c>
      <c r="H8" s="11" t="s">
        <v>756</v>
      </c>
      <c r="I8" s="11" t="s">
        <v>756</v>
      </c>
      <c r="J8" s="11" t="s">
        <v>729</v>
      </c>
      <c r="K8" s="11" t="s">
        <v>729</v>
      </c>
      <c r="L8" s="11" t="s">
        <v>729</v>
      </c>
      <c r="M8" s="11" t="s">
        <v>729</v>
      </c>
      <c r="N8" s="11" t="s">
        <v>729</v>
      </c>
      <c r="O8" s="11" t="s">
        <v>729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15.5" customHeight="1" spans="1:22">
      <c r="A9" s="16"/>
      <c r="B9" s="6" t="s">
        <v>729</v>
      </c>
      <c r="C9" s="6" t="s">
        <v>729</v>
      </c>
      <c r="D9" s="18" t="s">
        <v>1406</v>
      </c>
      <c r="E9" s="6" t="s">
        <v>729</v>
      </c>
      <c r="F9" s="11" t="s">
        <v>756</v>
      </c>
      <c r="G9" s="11" t="s">
        <v>752</v>
      </c>
      <c r="H9" s="11" t="s">
        <v>756</v>
      </c>
      <c r="I9" s="11" t="s">
        <v>756</v>
      </c>
      <c r="J9" s="11" t="s">
        <v>729</v>
      </c>
      <c r="K9" s="11" t="s">
        <v>729</v>
      </c>
      <c r="L9" s="11" t="s">
        <v>729</v>
      </c>
      <c r="M9" s="11" t="s">
        <v>729</v>
      </c>
      <c r="N9" s="11" t="s">
        <v>729</v>
      </c>
      <c r="O9" s="11" t="s">
        <v>729</v>
      </c>
      <c r="P9" s="11" t="s">
        <v>729</v>
      </c>
      <c r="Q9" s="11" t="s">
        <v>729</v>
      </c>
      <c r="R9" s="11" t="s">
        <v>729</v>
      </c>
      <c r="S9" s="11" t="s">
        <v>729</v>
      </c>
      <c r="T9" s="11" t="s">
        <v>729</v>
      </c>
      <c r="U9" s="11" t="s">
        <v>729</v>
      </c>
      <c r="V9" s="12" t="s">
        <v>729</v>
      </c>
    </row>
    <row r="10" ht="28" customHeight="1" spans="1:22">
      <c r="A10" s="16"/>
      <c r="B10" s="6" t="s">
        <v>729</v>
      </c>
      <c r="C10" s="6" t="s">
        <v>729</v>
      </c>
      <c r="D10" s="18" t="s">
        <v>1407</v>
      </c>
      <c r="E10" s="6" t="s">
        <v>729</v>
      </c>
      <c r="F10" s="11" t="s">
        <v>756</v>
      </c>
      <c r="G10" s="11" t="s">
        <v>756</v>
      </c>
      <c r="H10" s="11" t="s">
        <v>752</v>
      </c>
      <c r="I10" s="11" t="s">
        <v>756</v>
      </c>
      <c r="J10" s="11" t="s">
        <v>729</v>
      </c>
      <c r="K10" s="11" t="s">
        <v>729</v>
      </c>
      <c r="L10" s="11" t="s">
        <v>729</v>
      </c>
      <c r="M10" s="11" t="s">
        <v>729</v>
      </c>
      <c r="N10" s="11" t="s">
        <v>729</v>
      </c>
      <c r="O10" s="11" t="s">
        <v>729</v>
      </c>
      <c r="P10" s="11" t="s">
        <v>729</v>
      </c>
      <c r="Q10" s="11" t="s">
        <v>729</v>
      </c>
      <c r="R10" s="11" t="s">
        <v>729</v>
      </c>
      <c r="S10" s="11" t="s">
        <v>729</v>
      </c>
      <c r="T10" s="11" t="s">
        <v>729</v>
      </c>
      <c r="U10" s="11" t="s">
        <v>729</v>
      </c>
      <c r="V10" s="12" t="s">
        <v>729</v>
      </c>
    </row>
    <row r="11" ht="28" customHeight="1" spans="1:22">
      <c r="A11" s="16"/>
      <c r="B11" s="6" t="s">
        <v>729</v>
      </c>
      <c r="C11" s="6" t="s">
        <v>729</v>
      </c>
      <c r="D11" s="18" t="s">
        <v>1408</v>
      </c>
      <c r="E11" s="6" t="s">
        <v>729</v>
      </c>
      <c r="F11" s="11" t="s">
        <v>756</v>
      </c>
      <c r="G11" s="11" t="s">
        <v>756</v>
      </c>
      <c r="H11" s="11" t="s">
        <v>756</v>
      </c>
      <c r="I11" s="11" t="s">
        <v>752</v>
      </c>
      <c r="J11" s="11" t="s">
        <v>729</v>
      </c>
      <c r="K11" s="11" t="s">
        <v>729</v>
      </c>
      <c r="L11" s="11" t="s">
        <v>729</v>
      </c>
      <c r="M11" s="11" t="s">
        <v>729</v>
      </c>
      <c r="N11" s="11" t="s">
        <v>729</v>
      </c>
      <c r="O11" s="11" t="s">
        <v>729</v>
      </c>
      <c r="P11" s="11" t="s">
        <v>729</v>
      </c>
      <c r="Q11" s="11" t="s">
        <v>729</v>
      </c>
      <c r="R11" s="11" t="s">
        <v>729</v>
      </c>
      <c r="S11" s="11" t="s">
        <v>729</v>
      </c>
      <c r="T11" s="11" t="s">
        <v>729</v>
      </c>
      <c r="U11" s="11" t="s">
        <v>729</v>
      </c>
      <c r="V11" s="12" t="s">
        <v>729</v>
      </c>
    </row>
    <row r="12" ht="15.5" customHeight="1" spans="1:22">
      <c r="A12" s="16" t="s">
        <v>692</v>
      </c>
      <c r="B12" s="17" t="s">
        <v>693</v>
      </c>
      <c r="C12" s="6" t="s">
        <v>729</v>
      </c>
      <c r="D12" s="6" t="s">
        <v>729</v>
      </c>
      <c r="E12" s="6" t="s">
        <v>729</v>
      </c>
      <c r="F12" s="6" t="s">
        <v>729</v>
      </c>
      <c r="G12" s="6" t="s">
        <v>729</v>
      </c>
      <c r="H12" s="6" t="s">
        <v>729</v>
      </c>
      <c r="I12" s="6" t="s">
        <v>729</v>
      </c>
      <c r="J12" s="6" t="s">
        <v>729</v>
      </c>
      <c r="K12" s="6" t="s">
        <v>729</v>
      </c>
      <c r="L12" s="6" t="s">
        <v>729</v>
      </c>
      <c r="M12" s="6" t="s">
        <v>729</v>
      </c>
      <c r="N12" s="6" t="s">
        <v>729</v>
      </c>
      <c r="O12" s="6" t="s">
        <v>729</v>
      </c>
      <c r="P12" s="6" t="s">
        <v>729</v>
      </c>
      <c r="Q12" s="6" t="s">
        <v>729</v>
      </c>
      <c r="R12" s="6" t="s">
        <v>729</v>
      </c>
      <c r="S12" s="6" t="s">
        <v>729</v>
      </c>
      <c r="T12" s="6" t="s">
        <v>729</v>
      </c>
      <c r="U12" s="6" t="s">
        <v>729</v>
      </c>
      <c r="V12" s="8" t="s">
        <v>729</v>
      </c>
    </row>
    <row r="13" ht="78" customHeight="1" spans="1:22">
      <c r="A13" s="16"/>
      <c r="B13" s="6" t="s">
        <v>729</v>
      </c>
      <c r="C13" s="6" t="s">
        <v>729</v>
      </c>
      <c r="D13" s="18" t="s">
        <v>1409</v>
      </c>
      <c r="E13" s="6" t="s">
        <v>729</v>
      </c>
      <c r="F13" s="11" t="s">
        <v>752</v>
      </c>
      <c r="G13" s="11" t="s">
        <v>752</v>
      </c>
      <c r="H13" s="11" t="s">
        <v>752</v>
      </c>
      <c r="I13" s="11" t="s">
        <v>752</v>
      </c>
      <c r="J13" s="11" t="s">
        <v>729</v>
      </c>
      <c r="K13" s="11" t="s">
        <v>729</v>
      </c>
      <c r="L13" s="11" t="s">
        <v>729</v>
      </c>
      <c r="M13" s="11" t="s">
        <v>729</v>
      </c>
      <c r="N13" s="11" t="s">
        <v>729</v>
      </c>
      <c r="O13" s="11" t="s">
        <v>729</v>
      </c>
      <c r="P13" s="11" t="s">
        <v>729</v>
      </c>
      <c r="Q13" s="11" t="s">
        <v>729</v>
      </c>
      <c r="R13" s="11" t="s">
        <v>729</v>
      </c>
      <c r="S13" s="11" t="s">
        <v>729</v>
      </c>
      <c r="T13" s="11" t="s">
        <v>729</v>
      </c>
      <c r="U13" s="11" t="s">
        <v>729</v>
      </c>
      <c r="V13" s="12" t="s">
        <v>729</v>
      </c>
    </row>
    <row r="14" ht="65.5" customHeight="1" spans="1:22">
      <c r="A14" s="16"/>
      <c r="B14" s="6" t="s">
        <v>729</v>
      </c>
      <c r="C14" s="6" t="s">
        <v>729</v>
      </c>
      <c r="D14" s="18" t="s">
        <v>1410</v>
      </c>
      <c r="E14" s="6" t="s">
        <v>729</v>
      </c>
      <c r="F14" s="11" t="s">
        <v>752</v>
      </c>
      <c r="G14" s="11" t="s">
        <v>752</v>
      </c>
      <c r="H14" s="11" t="s">
        <v>752</v>
      </c>
      <c r="I14" s="11" t="s">
        <v>752</v>
      </c>
      <c r="J14" s="11" t="s">
        <v>729</v>
      </c>
      <c r="K14" s="11" t="s">
        <v>729</v>
      </c>
      <c r="L14" s="11" t="s">
        <v>729</v>
      </c>
      <c r="M14" s="11" t="s">
        <v>729</v>
      </c>
      <c r="N14" s="11" t="s">
        <v>729</v>
      </c>
      <c r="O14" s="11" t="s">
        <v>729</v>
      </c>
      <c r="P14" s="11" t="s">
        <v>729</v>
      </c>
      <c r="Q14" s="11" t="s">
        <v>729</v>
      </c>
      <c r="R14" s="11" t="s">
        <v>729</v>
      </c>
      <c r="S14" s="11" t="s">
        <v>729</v>
      </c>
      <c r="T14" s="11" t="s">
        <v>729</v>
      </c>
      <c r="U14" s="11" t="s">
        <v>729</v>
      </c>
      <c r="V14" s="12" t="s">
        <v>729</v>
      </c>
    </row>
    <row r="15" ht="18" customHeight="1" spans="1:22">
      <c r="A15" s="19" t="s">
        <v>696</v>
      </c>
      <c r="B15" s="20" t="s">
        <v>765</v>
      </c>
      <c r="C15" s="20"/>
      <c r="D15" s="20"/>
      <c r="E15" s="6" t="s">
        <v>729</v>
      </c>
      <c r="F15" s="11" t="s">
        <v>670</v>
      </c>
      <c r="G15" s="11" t="s">
        <v>670</v>
      </c>
      <c r="H15" s="11" t="s">
        <v>670</v>
      </c>
      <c r="I15" s="11" t="s">
        <v>670</v>
      </c>
      <c r="J15" s="11" t="s">
        <v>729</v>
      </c>
      <c r="K15" s="11" t="s">
        <v>729</v>
      </c>
      <c r="L15" s="11" t="s">
        <v>729</v>
      </c>
      <c r="M15" s="11" t="s">
        <v>729</v>
      </c>
      <c r="N15" s="11" t="s">
        <v>729</v>
      </c>
      <c r="O15" s="11" t="s">
        <v>729</v>
      </c>
      <c r="P15" s="11" t="s">
        <v>729</v>
      </c>
      <c r="Q15" s="11" t="s">
        <v>729</v>
      </c>
      <c r="R15" s="11" t="s">
        <v>729</v>
      </c>
      <c r="S15" s="11" t="s">
        <v>729</v>
      </c>
      <c r="T15" s="11" t="s">
        <v>729</v>
      </c>
      <c r="U15" s="11" t="s">
        <v>729</v>
      </c>
      <c r="V15" s="12" t="s">
        <v>729</v>
      </c>
    </row>
    <row r="16" ht="18" customHeight="1" spans="1:22">
      <c r="A16" s="19"/>
      <c r="B16" s="20" t="s">
        <v>698</v>
      </c>
      <c r="C16" s="20"/>
      <c r="D16" s="20"/>
      <c r="E16" s="6" t="s">
        <v>729</v>
      </c>
      <c r="F16" s="11" t="s">
        <v>766</v>
      </c>
      <c r="G16" s="11" t="s">
        <v>766</v>
      </c>
      <c r="H16" s="11" t="s">
        <v>766</v>
      </c>
      <c r="I16" s="11" t="s">
        <v>766</v>
      </c>
      <c r="J16" s="11" t="s">
        <v>729</v>
      </c>
      <c r="K16" s="11" t="s">
        <v>729</v>
      </c>
      <c r="L16" s="11" t="s">
        <v>729</v>
      </c>
      <c r="M16" s="11" t="s">
        <v>729</v>
      </c>
      <c r="N16" s="11" t="s">
        <v>729</v>
      </c>
      <c r="O16" s="11" t="s">
        <v>729</v>
      </c>
      <c r="P16" s="11" t="s">
        <v>729</v>
      </c>
      <c r="Q16" s="11" t="s">
        <v>729</v>
      </c>
      <c r="R16" s="11" t="s">
        <v>729</v>
      </c>
      <c r="S16" s="11" t="s">
        <v>729</v>
      </c>
      <c r="T16" s="11" t="s">
        <v>729</v>
      </c>
      <c r="U16" s="11" t="s">
        <v>729</v>
      </c>
      <c r="V16" s="12" t="s">
        <v>729</v>
      </c>
    </row>
    <row r="17" ht="18" customHeight="1" spans="1:22">
      <c r="A17" s="19"/>
      <c r="B17" s="20" t="s">
        <v>699</v>
      </c>
      <c r="C17" s="20"/>
      <c r="D17" s="20"/>
      <c r="E17" s="6" t="s">
        <v>729</v>
      </c>
      <c r="F17" s="6" t="s">
        <v>729</v>
      </c>
      <c r="G17" s="6" t="s">
        <v>729</v>
      </c>
      <c r="H17" s="6" t="s">
        <v>729</v>
      </c>
      <c r="I17" s="6" t="s">
        <v>729</v>
      </c>
      <c r="J17" s="6" t="s">
        <v>729</v>
      </c>
      <c r="K17" s="6" t="s">
        <v>729</v>
      </c>
      <c r="L17" s="6" t="s">
        <v>729</v>
      </c>
      <c r="M17" s="6" t="s">
        <v>729</v>
      </c>
      <c r="N17" s="6" t="s">
        <v>729</v>
      </c>
      <c r="O17" s="6" t="s">
        <v>729</v>
      </c>
      <c r="P17" s="6" t="s">
        <v>729</v>
      </c>
      <c r="Q17" s="6" t="s">
        <v>729</v>
      </c>
      <c r="R17" s="6" t="s">
        <v>729</v>
      </c>
      <c r="S17" s="6" t="s">
        <v>729</v>
      </c>
      <c r="T17" s="6" t="s">
        <v>729</v>
      </c>
      <c r="U17" s="6" t="s">
        <v>729</v>
      </c>
      <c r="V17" s="8" t="s">
        <v>729</v>
      </c>
    </row>
    <row r="18" ht="18" customHeight="1" spans="1:22">
      <c r="A18" s="19"/>
      <c r="B18" s="21" t="s">
        <v>700</v>
      </c>
      <c r="C18" s="21"/>
      <c r="D18" s="21"/>
      <c r="E18" s="22" t="s">
        <v>729</v>
      </c>
      <c r="F18" s="22" t="s">
        <v>729</v>
      </c>
      <c r="G18" s="22" t="s">
        <v>729</v>
      </c>
      <c r="H18" s="22" t="s">
        <v>729</v>
      </c>
      <c r="I18" s="22" t="s">
        <v>729</v>
      </c>
      <c r="J18" s="22" t="s">
        <v>729</v>
      </c>
      <c r="K18" s="22" t="s">
        <v>729</v>
      </c>
      <c r="L18" s="22" t="s">
        <v>729</v>
      </c>
      <c r="M18" s="22" t="s">
        <v>729</v>
      </c>
      <c r="N18" s="22" t="s">
        <v>729</v>
      </c>
      <c r="O18" s="22" t="s">
        <v>729</v>
      </c>
      <c r="P18" s="22" t="s">
        <v>729</v>
      </c>
      <c r="Q18" s="22" t="s">
        <v>729</v>
      </c>
      <c r="R18" s="22" t="s">
        <v>729</v>
      </c>
      <c r="S18" s="22" t="s">
        <v>729</v>
      </c>
      <c r="T18" s="22" t="s">
        <v>729</v>
      </c>
      <c r="U18" s="22" t="s">
        <v>729</v>
      </c>
      <c r="V18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5:D15"/>
    <mergeCell ref="B16:D16"/>
    <mergeCell ref="B17:D17"/>
    <mergeCell ref="B18:D18"/>
    <mergeCell ref="A7:A11"/>
    <mergeCell ref="A12:A14"/>
    <mergeCell ref="A15:A18"/>
  </mergeCells>
  <dataValidations count="3">
    <dataValidation type="list" allowBlank="1" sqref="F15:V15">
      <formula1>"N,A,B"</formula1>
    </dataValidation>
    <dataValidation type="list" allowBlank="1" sqref="F16:V16">
      <formula1>"P,F"</formula1>
    </dataValidation>
    <dataValidation type="list" allowBlank="1" sqref="F8:V9 F10:V11 F13:V14">
      <formula1>"O,-"</formula1>
    </dataValidation>
  </dataValidations>
  <pageMargins left="0.7" right="0.7" top="0.75" bottom="0.75" header="0.3" footer="0.3"/>
  <pageSetup paperSize="1" orientation="portrait"/>
  <headerFooter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40"/>
  <sheetViews>
    <sheetView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524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525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1411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7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1</v>
      </c>
      <c r="M5" s="11">
        <v>6</v>
      </c>
      <c r="N5" s="11">
        <v>0</v>
      </c>
      <c r="O5" s="12">
        <v>7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687</v>
      </c>
      <c r="H6" s="14" t="s">
        <v>688</v>
      </c>
      <c r="I6" s="14" t="s">
        <v>689</v>
      </c>
      <c r="J6" s="14" t="s">
        <v>863</v>
      </c>
      <c r="K6" s="14" t="s">
        <v>864</v>
      </c>
      <c r="L6" s="14" t="s">
        <v>1412</v>
      </c>
      <c r="M6" s="14" t="s">
        <v>729</v>
      </c>
      <c r="N6" s="14" t="s">
        <v>729</v>
      </c>
      <c r="O6" s="14" t="s">
        <v>729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15.5" customHeight="1" spans="1:22">
      <c r="A7" s="16" t="s">
        <v>690</v>
      </c>
      <c r="B7" s="17" t="s">
        <v>750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28" customHeight="1" spans="1:22">
      <c r="A8" s="16"/>
      <c r="B8" s="6" t="s">
        <v>729</v>
      </c>
      <c r="C8" s="6" t="s">
        <v>729</v>
      </c>
      <c r="D8" s="18" t="s">
        <v>529</v>
      </c>
      <c r="E8" s="6" t="s">
        <v>729</v>
      </c>
      <c r="F8" s="11" t="s">
        <v>752</v>
      </c>
      <c r="G8" s="11" t="s">
        <v>752</v>
      </c>
      <c r="H8" s="11" t="s">
        <v>752</v>
      </c>
      <c r="I8" s="11" t="s">
        <v>752</v>
      </c>
      <c r="J8" s="11" t="s">
        <v>752</v>
      </c>
      <c r="K8" s="11" t="s">
        <v>752</v>
      </c>
      <c r="L8" s="11" t="s">
        <v>752</v>
      </c>
      <c r="M8" s="11" t="s">
        <v>729</v>
      </c>
      <c r="N8" s="11" t="s">
        <v>729</v>
      </c>
      <c r="O8" s="11" t="s">
        <v>729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15.5" customHeight="1" spans="1:22">
      <c r="A9" s="16"/>
      <c r="B9" s="17" t="s">
        <v>1413</v>
      </c>
      <c r="C9" s="6" t="s">
        <v>729</v>
      </c>
      <c r="D9" s="6" t="s">
        <v>729</v>
      </c>
      <c r="E9" s="6" t="s">
        <v>729</v>
      </c>
      <c r="F9" s="6" t="s">
        <v>729</v>
      </c>
      <c r="G9" s="6" t="s">
        <v>729</v>
      </c>
      <c r="H9" s="6" t="s">
        <v>729</v>
      </c>
      <c r="I9" s="6" t="s">
        <v>729</v>
      </c>
      <c r="J9" s="6" t="s">
        <v>729</v>
      </c>
      <c r="K9" s="6" t="s">
        <v>729</v>
      </c>
      <c r="L9" s="6" t="s">
        <v>729</v>
      </c>
      <c r="M9" s="6" t="s">
        <v>729</v>
      </c>
      <c r="N9" s="6" t="s">
        <v>729</v>
      </c>
      <c r="O9" s="6" t="s">
        <v>729</v>
      </c>
      <c r="P9" s="6" t="s">
        <v>729</v>
      </c>
      <c r="Q9" s="6" t="s">
        <v>729</v>
      </c>
      <c r="R9" s="6" t="s">
        <v>729</v>
      </c>
      <c r="S9" s="6" t="s">
        <v>729</v>
      </c>
      <c r="T9" s="6" t="s">
        <v>729</v>
      </c>
      <c r="U9" s="6" t="s">
        <v>729</v>
      </c>
      <c r="V9" s="8" t="s">
        <v>729</v>
      </c>
    </row>
    <row r="10" ht="28" customHeight="1" spans="1:22">
      <c r="A10" s="16"/>
      <c r="B10" s="6" t="s">
        <v>729</v>
      </c>
      <c r="C10" s="6" t="s">
        <v>729</v>
      </c>
      <c r="D10" s="18" t="s">
        <v>1414</v>
      </c>
      <c r="E10" s="6" t="s">
        <v>729</v>
      </c>
      <c r="F10" s="11" t="s">
        <v>752</v>
      </c>
      <c r="G10" s="11" t="s">
        <v>756</v>
      </c>
      <c r="H10" s="11" t="s">
        <v>752</v>
      </c>
      <c r="I10" s="11" t="s">
        <v>752</v>
      </c>
      <c r="J10" s="11" t="s">
        <v>752</v>
      </c>
      <c r="K10" s="11" t="s">
        <v>752</v>
      </c>
      <c r="L10" s="11" t="s">
        <v>752</v>
      </c>
      <c r="M10" s="11" t="s">
        <v>729</v>
      </c>
      <c r="N10" s="11" t="s">
        <v>729</v>
      </c>
      <c r="O10" s="11" t="s">
        <v>729</v>
      </c>
      <c r="P10" s="11" t="s">
        <v>729</v>
      </c>
      <c r="Q10" s="11" t="s">
        <v>729</v>
      </c>
      <c r="R10" s="11" t="s">
        <v>729</v>
      </c>
      <c r="S10" s="11" t="s">
        <v>729</v>
      </c>
      <c r="T10" s="11" t="s">
        <v>729</v>
      </c>
      <c r="U10" s="11" t="s">
        <v>729</v>
      </c>
      <c r="V10" s="12" t="s">
        <v>729</v>
      </c>
    </row>
    <row r="11" ht="15.5" customHeight="1" spans="1:22">
      <c r="A11" s="16"/>
      <c r="B11" s="6" t="s">
        <v>729</v>
      </c>
      <c r="C11" s="6" t="s">
        <v>729</v>
      </c>
      <c r="D11" s="18" t="s">
        <v>1415</v>
      </c>
      <c r="E11" s="6" t="s">
        <v>729</v>
      </c>
      <c r="F11" s="11" t="s">
        <v>756</v>
      </c>
      <c r="G11" s="11" t="s">
        <v>752</v>
      </c>
      <c r="H11" s="11" t="s">
        <v>756</v>
      </c>
      <c r="I11" s="11" t="s">
        <v>756</v>
      </c>
      <c r="J11" s="11" t="s">
        <v>756</v>
      </c>
      <c r="K11" s="11" t="s">
        <v>756</v>
      </c>
      <c r="L11" s="11" t="s">
        <v>756</v>
      </c>
      <c r="M11" s="11" t="s">
        <v>729</v>
      </c>
      <c r="N11" s="11" t="s">
        <v>729</v>
      </c>
      <c r="O11" s="11" t="s">
        <v>729</v>
      </c>
      <c r="P11" s="11" t="s">
        <v>729</v>
      </c>
      <c r="Q11" s="11" t="s">
        <v>729</v>
      </c>
      <c r="R11" s="11" t="s">
        <v>729</v>
      </c>
      <c r="S11" s="11" t="s">
        <v>729</v>
      </c>
      <c r="T11" s="11" t="s">
        <v>729</v>
      </c>
      <c r="U11" s="11" t="s">
        <v>729</v>
      </c>
      <c r="V11" s="12" t="s">
        <v>729</v>
      </c>
    </row>
    <row r="12" ht="15.5" customHeight="1" spans="1:22">
      <c r="A12" s="16"/>
      <c r="B12" s="17" t="s">
        <v>1416</v>
      </c>
      <c r="C12" s="6" t="s">
        <v>729</v>
      </c>
      <c r="D12" s="6" t="s">
        <v>729</v>
      </c>
      <c r="E12" s="6" t="s">
        <v>729</v>
      </c>
      <c r="F12" s="6" t="s">
        <v>729</v>
      </c>
      <c r="G12" s="6" t="s">
        <v>729</v>
      </c>
      <c r="H12" s="6" t="s">
        <v>729</v>
      </c>
      <c r="I12" s="6" t="s">
        <v>729</v>
      </c>
      <c r="J12" s="6" t="s">
        <v>729</v>
      </c>
      <c r="K12" s="6" t="s">
        <v>729</v>
      </c>
      <c r="L12" s="6" t="s">
        <v>729</v>
      </c>
      <c r="M12" s="6" t="s">
        <v>729</v>
      </c>
      <c r="N12" s="6" t="s">
        <v>729</v>
      </c>
      <c r="O12" s="6" t="s">
        <v>729</v>
      </c>
      <c r="P12" s="6" t="s">
        <v>729</v>
      </c>
      <c r="Q12" s="6" t="s">
        <v>729</v>
      </c>
      <c r="R12" s="6" t="s">
        <v>729</v>
      </c>
      <c r="S12" s="6" t="s">
        <v>729</v>
      </c>
      <c r="T12" s="6" t="s">
        <v>729</v>
      </c>
      <c r="U12" s="6" t="s">
        <v>729</v>
      </c>
      <c r="V12" s="8" t="s">
        <v>729</v>
      </c>
    </row>
    <row r="13" ht="28" customHeight="1" spans="1:22">
      <c r="A13" s="16"/>
      <c r="B13" s="6" t="s">
        <v>729</v>
      </c>
      <c r="C13" s="6" t="s">
        <v>729</v>
      </c>
      <c r="D13" s="18" t="s">
        <v>1417</v>
      </c>
      <c r="E13" s="6" t="s">
        <v>729</v>
      </c>
      <c r="F13" s="11" t="s">
        <v>752</v>
      </c>
      <c r="G13" s="11" t="s">
        <v>752</v>
      </c>
      <c r="H13" s="11" t="s">
        <v>756</v>
      </c>
      <c r="I13" s="11" t="s">
        <v>752</v>
      </c>
      <c r="J13" s="11" t="s">
        <v>752</v>
      </c>
      <c r="K13" s="11" t="s">
        <v>752</v>
      </c>
      <c r="L13" s="11" t="s">
        <v>752</v>
      </c>
      <c r="M13" s="11" t="s">
        <v>729</v>
      </c>
      <c r="N13" s="11" t="s">
        <v>729</v>
      </c>
      <c r="O13" s="11" t="s">
        <v>729</v>
      </c>
      <c r="P13" s="11" t="s">
        <v>729</v>
      </c>
      <c r="Q13" s="11" t="s">
        <v>729</v>
      </c>
      <c r="R13" s="11" t="s">
        <v>729</v>
      </c>
      <c r="S13" s="11" t="s">
        <v>729</v>
      </c>
      <c r="T13" s="11" t="s">
        <v>729</v>
      </c>
      <c r="U13" s="11" t="s">
        <v>729</v>
      </c>
      <c r="V13" s="12" t="s">
        <v>729</v>
      </c>
    </row>
    <row r="14" ht="15.5" customHeight="1" spans="1:22">
      <c r="A14" s="16"/>
      <c r="B14" s="6" t="s">
        <v>729</v>
      </c>
      <c r="C14" s="6" t="s">
        <v>729</v>
      </c>
      <c r="D14" s="18" t="s">
        <v>1415</v>
      </c>
      <c r="E14" s="6" t="s">
        <v>729</v>
      </c>
      <c r="F14" s="11" t="s">
        <v>756</v>
      </c>
      <c r="G14" s="11" t="s">
        <v>756</v>
      </c>
      <c r="H14" s="11" t="s">
        <v>752</v>
      </c>
      <c r="I14" s="11" t="s">
        <v>756</v>
      </c>
      <c r="J14" s="11" t="s">
        <v>756</v>
      </c>
      <c r="K14" s="11" t="s">
        <v>756</v>
      </c>
      <c r="L14" s="11" t="s">
        <v>756</v>
      </c>
      <c r="M14" s="11" t="s">
        <v>729</v>
      </c>
      <c r="N14" s="11" t="s">
        <v>729</v>
      </c>
      <c r="O14" s="11" t="s">
        <v>729</v>
      </c>
      <c r="P14" s="11" t="s">
        <v>729</v>
      </c>
      <c r="Q14" s="11" t="s">
        <v>729</v>
      </c>
      <c r="R14" s="11" t="s">
        <v>729</v>
      </c>
      <c r="S14" s="11" t="s">
        <v>729</v>
      </c>
      <c r="T14" s="11" t="s">
        <v>729</v>
      </c>
      <c r="U14" s="11" t="s">
        <v>729</v>
      </c>
      <c r="V14" s="12" t="s">
        <v>729</v>
      </c>
    </row>
    <row r="15" ht="15.5" customHeight="1" spans="1:22">
      <c r="A15" s="16"/>
      <c r="B15" s="17" t="s">
        <v>1418</v>
      </c>
      <c r="C15" s="6" t="s">
        <v>729</v>
      </c>
      <c r="D15" s="6" t="s">
        <v>729</v>
      </c>
      <c r="E15" s="6" t="s">
        <v>729</v>
      </c>
      <c r="F15" s="6" t="s">
        <v>729</v>
      </c>
      <c r="G15" s="6" t="s">
        <v>729</v>
      </c>
      <c r="H15" s="6" t="s">
        <v>729</v>
      </c>
      <c r="I15" s="6" t="s">
        <v>729</v>
      </c>
      <c r="J15" s="6" t="s">
        <v>729</v>
      </c>
      <c r="K15" s="6" t="s">
        <v>729</v>
      </c>
      <c r="L15" s="6" t="s">
        <v>729</v>
      </c>
      <c r="M15" s="6" t="s">
        <v>729</v>
      </c>
      <c r="N15" s="6" t="s">
        <v>729</v>
      </c>
      <c r="O15" s="6" t="s">
        <v>729</v>
      </c>
      <c r="P15" s="6" t="s">
        <v>729</v>
      </c>
      <c r="Q15" s="6" t="s">
        <v>729</v>
      </c>
      <c r="R15" s="6" t="s">
        <v>729</v>
      </c>
      <c r="S15" s="6" t="s">
        <v>729</v>
      </c>
      <c r="T15" s="6" t="s">
        <v>729</v>
      </c>
      <c r="U15" s="6" t="s">
        <v>729</v>
      </c>
      <c r="V15" s="8" t="s">
        <v>729</v>
      </c>
    </row>
    <row r="16" ht="28" customHeight="1" spans="1:22">
      <c r="A16" s="16"/>
      <c r="B16" s="6" t="s">
        <v>729</v>
      </c>
      <c r="C16" s="6" t="s">
        <v>729</v>
      </c>
      <c r="D16" s="18" t="s">
        <v>1419</v>
      </c>
      <c r="E16" s="6" t="s">
        <v>729</v>
      </c>
      <c r="F16" s="11" t="s">
        <v>752</v>
      </c>
      <c r="G16" s="11" t="s">
        <v>752</v>
      </c>
      <c r="H16" s="11" t="s">
        <v>752</v>
      </c>
      <c r="I16" s="11" t="s">
        <v>756</v>
      </c>
      <c r="J16" s="11" t="s">
        <v>752</v>
      </c>
      <c r="K16" s="11" t="s">
        <v>752</v>
      </c>
      <c r="L16" s="11" t="s">
        <v>752</v>
      </c>
      <c r="M16" s="11" t="s">
        <v>729</v>
      </c>
      <c r="N16" s="11" t="s">
        <v>729</v>
      </c>
      <c r="O16" s="11" t="s">
        <v>729</v>
      </c>
      <c r="P16" s="11" t="s">
        <v>729</v>
      </c>
      <c r="Q16" s="11" t="s">
        <v>729</v>
      </c>
      <c r="R16" s="11" t="s">
        <v>729</v>
      </c>
      <c r="S16" s="11" t="s">
        <v>729</v>
      </c>
      <c r="T16" s="11" t="s">
        <v>729</v>
      </c>
      <c r="U16" s="11" t="s">
        <v>729</v>
      </c>
      <c r="V16" s="12" t="s">
        <v>729</v>
      </c>
    </row>
    <row r="17" ht="15.5" customHeight="1" spans="1:22">
      <c r="A17" s="16"/>
      <c r="B17" s="6" t="s">
        <v>729</v>
      </c>
      <c r="C17" s="6" t="s">
        <v>729</v>
      </c>
      <c r="D17" s="18" t="s">
        <v>1415</v>
      </c>
      <c r="E17" s="6" t="s">
        <v>729</v>
      </c>
      <c r="F17" s="11" t="s">
        <v>756</v>
      </c>
      <c r="G17" s="11" t="s">
        <v>756</v>
      </c>
      <c r="H17" s="11" t="s">
        <v>756</v>
      </c>
      <c r="I17" s="11" t="s">
        <v>752</v>
      </c>
      <c r="J17" s="11" t="s">
        <v>756</v>
      </c>
      <c r="K17" s="11" t="s">
        <v>756</v>
      </c>
      <c r="L17" s="11" t="s">
        <v>756</v>
      </c>
      <c r="M17" s="11" t="s">
        <v>729</v>
      </c>
      <c r="N17" s="11" t="s">
        <v>729</v>
      </c>
      <c r="O17" s="11" t="s">
        <v>729</v>
      </c>
      <c r="P17" s="11" t="s">
        <v>729</v>
      </c>
      <c r="Q17" s="11" t="s">
        <v>729</v>
      </c>
      <c r="R17" s="11" t="s">
        <v>729</v>
      </c>
      <c r="S17" s="11" t="s">
        <v>729</v>
      </c>
      <c r="T17" s="11" t="s">
        <v>729</v>
      </c>
      <c r="U17" s="11" t="s">
        <v>729</v>
      </c>
      <c r="V17" s="12" t="s">
        <v>729</v>
      </c>
    </row>
    <row r="18" ht="15.5" customHeight="1" spans="1:22">
      <c r="A18" s="16"/>
      <c r="B18" s="17" t="s">
        <v>1420</v>
      </c>
      <c r="C18" s="6" t="s">
        <v>729</v>
      </c>
      <c r="D18" s="6" t="s">
        <v>729</v>
      </c>
      <c r="E18" s="6" t="s">
        <v>729</v>
      </c>
      <c r="F18" s="6" t="s">
        <v>729</v>
      </c>
      <c r="G18" s="6" t="s">
        <v>729</v>
      </c>
      <c r="H18" s="6" t="s">
        <v>729</v>
      </c>
      <c r="I18" s="6" t="s">
        <v>729</v>
      </c>
      <c r="J18" s="6" t="s">
        <v>729</v>
      </c>
      <c r="K18" s="6" t="s">
        <v>729</v>
      </c>
      <c r="L18" s="6" t="s">
        <v>729</v>
      </c>
      <c r="M18" s="6" t="s">
        <v>729</v>
      </c>
      <c r="N18" s="6" t="s">
        <v>729</v>
      </c>
      <c r="O18" s="6" t="s">
        <v>729</v>
      </c>
      <c r="P18" s="6" t="s">
        <v>729</v>
      </c>
      <c r="Q18" s="6" t="s">
        <v>729</v>
      </c>
      <c r="R18" s="6" t="s">
        <v>729</v>
      </c>
      <c r="S18" s="6" t="s">
        <v>729</v>
      </c>
      <c r="T18" s="6" t="s">
        <v>729</v>
      </c>
      <c r="U18" s="6" t="s">
        <v>729</v>
      </c>
      <c r="V18" s="8" t="s">
        <v>729</v>
      </c>
    </row>
    <row r="19" ht="28" customHeight="1" spans="1:22">
      <c r="A19" s="16"/>
      <c r="B19" s="6" t="s">
        <v>729</v>
      </c>
      <c r="C19" s="6" t="s">
        <v>729</v>
      </c>
      <c r="D19" s="18" t="s">
        <v>1421</v>
      </c>
      <c r="E19" s="6" t="s">
        <v>729</v>
      </c>
      <c r="F19" s="11" t="s">
        <v>752</v>
      </c>
      <c r="G19" s="11" t="s">
        <v>752</v>
      </c>
      <c r="H19" s="11" t="s">
        <v>752</v>
      </c>
      <c r="I19" s="11" t="s">
        <v>752</v>
      </c>
      <c r="J19" s="11" t="s">
        <v>756</v>
      </c>
      <c r="K19" s="11" t="s">
        <v>752</v>
      </c>
      <c r="L19" s="11" t="s">
        <v>752</v>
      </c>
      <c r="M19" s="11" t="s">
        <v>729</v>
      </c>
      <c r="N19" s="11" t="s">
        <v>729</v>
      </c>
      <c r="O19" s="11" t="s">
        <v>729</v>
      </c>
      <c r="P19" s="11" t="s">
        <v>729</v>
      </c>
      <c r="Q19" s="11" t="s">
        <v>729</v>
      </c>
      <c r="R19" s="11" t="s">
        <v>729</v>
      </c>
      <c r="S19" s="11" t="s">
        <v>729</v>
      </c>
      <c r="T19" s="11" t="s">
        <v>729</v>
      </c>
      <c r="U19" s="11" t="s">
        <v>729</v>
      </c>
      <c r="V19" s="12" t="s">
        <v>729</v>
      </c>
    </row>
    <row r="20" ht="15.5" customHeight="1" spans="1:22">
      <c r="A20" s="16"/>
      <c r="B20" s="6" t="s">
        <v>729</v>
      </c>
      <c r="C20" s="6" t="s">
        <v>729</v>
      </c>
      <c r="D20" s="18" t="s">
        <v>1415</v>
      </c>
      <c r="E20" s="6" t="s">
        <v>729</v>
      </c>
      <c r="F20" s="11" t="s">
        <v>756</v>
      </c>
      <c r="G20" s="11" t="s">
        <v>756</v>
      </c>
      <c r="H20" s="11" t="s">
        <v>756</v>
      </c>
      <c r="I20" s="11" t="s">
        <v>756</v>
      </c>
      <c r="J20" s="11" t="s">
        <v>752</v>
      </c>
      <c r="K20" s="11" t="s">
        <v>756</v>
      </c>
      <c r="L20" s="11" t="s">
        <v>756</v>
      </c>
      <c r="M20" s="11" t="s">
        <v>729</v>
      </c>
      <c r="N20" s="11" t="s">
        <v>729</v>
      </c>
      <c r="O20" s="11" t="s">
        <v>729</v>
      </c>
      <c r="P20" s="11" t="s">
        <v>729</v>
      </c>
      <c r="Q20" s="11" t="s">
        <v>729</v>
      </c>
      <c r="R20" s="11" t="s">
        <v>729</v>
      </c>
      <c r="S20" s="11" t="s">
        <v>729</v>
      </c>
      <c r="T20" s="11" t="s">
        <v>729</v>
      </c>
      <c r="U20" s="11" t="s">
        <v>729</v>
      </c>
      <c r="V20" s="12" t="s">
        <v>729</v>
      </c>
    </row>
    <row r="21" ht="15.5" customHeight="1" spans="1:22">
      <c r="A21" s="16"/>
      <c r="B21" s="17" t="s">
        <v>1422</v>
      </c>
      <c r="C21" s="6" t="s">
        <v>729</v>
      </c>
      <c r="D21" s="6" t="s">
        <v>729</v>
      </c>
      <c r="E21" s="6" t="s">
        <v>729</v>
      </c>
      <c r="F21" s="6" t="s">
        <v>729</v>
      </c>
      <c r="G21" s="6" t="s">
        <v>729</v>
      </c>
      <c r="H21" s="6" t="s">
        <v>729</v>
      </c>
      <c r="I21" s="6" t="s">
        <v>729</v>
      </c>
      <c r="J21" s="6" t="s">
        <v>729</v>
      </c>
      <c r="K21" s="6" t="s">
        <v>729</v>
      </c>
      <c r="L21" s="6" t="s">
        <v>729</v>
      </c>
      <c r="M21" s="6" t="s">
        <v>729</v>
      </c>
      <c r="N21" s="6" t="s">
        <v>729</v>
      </c>
      <c r="O21" s="6" t="s">
        <v>729</v>
      </c>
      <c r="P21" s="6" t="s">
        <v>729</v>
      </c>
      <c r="Q21" s="6" t="s">
        <v>729</v>
      </c>
      <c r="R21" s="6" t="s">
        <v>729</v>
      </c>
      <c r="S21" s="6" t="s">
        <v>729</v>
      </c>
      <c r="T21" s="6" t="s">
        <v>729</v>
      </c>
      <c r="U21" s="6" t="s">
        <v>729</v>
      </c>
      <c r="V21" s="8" t="s">
        <v>729</v>
      </c>
    </row>
    <row r="22" ht="28" customHeight="1" spans="1:22">
      <c r="A22" s="16"/>
      <c r="B22" s="6" t="s">
        <v>729</v>
      </c>
      <c r="C22" s="6" t="s">
        <v>729</v>
      </c>
      <c r="D22" s="18" t="s">
        <v>1423</v>
      </c>
      <c r="E22" s="6" t="s">
        <v>729</v>
      </c>
      <c r="F22" s="11" t="s">
        <v>752</v>
      </c>
      <c r="G22" s="11" t="s">
        <v>752</v>
      </c>
      <c r="H22" s="11" t="s">
        <v>752</v>
      </c>
      <c r="I22" s="11" t="s">
        <v>752</v>
      </c>
      <c r="J22" s="11" t="s">
        <v>752</v>
      </c>
      <c r="K22" s="11" t="s">
        <v>756</v>
      </c>
      <c r="L22" s="11" t="s">
        <v>756</v>
      </c>
      <c r="M22" s="11" t="s">
        <v>729</v>
      </c>
      <c r="N22" s="11" t="s">
        <v>729</v>
      </c>
      <c r="O22" s="11" t="s">
        <v>729</v>
      </c>
      <c r="P22" s="11" t="s">
        <v>729</v>
      </c>
      <c r="Q22" s="11" t="s">
        <v>729</v>
      </c>
      <c r="R22" s="11" t="s">
        <v>729</v>
      </c>
      <c r="S22" s="11" t="s">
        <v>729</v>
      </c>
      <c r="T22" s="11" t="s">
        <v>729</v>
      </c>
      <c r="U22" s="11" t="s">
        <v>729</v>
      </c>
      <c r="V22" s="12" t="s">
        <v>729</v>
      </c>
    </row>
    <row r="23" ht="15.5" customHeight="1" spans="1:22">
      <c r="A23" s="16"/>
      <c r="B23" s="6" t="s">
        <v>729</v>
      </c>
      <c r="C23" s="6" t="s">
        <v>729</v>
      </c>
      <c r="D23" s="18" t="s">
        <v>1415</v>
      </c>
      <c r="E23" s="6" t="s">
        <v>729</v>
      </c>
      <c r="F23" s="11" t="s">
        <v>756</v>
      </c>
      <c r="G23" s="11" t="s">
        <v>756</v>
      </c>
      <c r="H23" s="11" t="s">
        <v>756</v>
      </c>
      <c r="I23" s="11" t="s">
        <v>756</v>
      </c>
      <c r="J23" s="11" t="s">
        <v>756</v>
      </c>
      <c r="K23" s="11" t="s">
        <v>752</v>
      </c>
      <c r="L23" s="11" t="s">
        <v>756</v>
      </c>
      <c r="M23" s="11" t="s">
        <v>729</v>
      </c>
      <c r="N23" s="11" t="s">
        <v>729</v>
      </c>
      <c r="O23" s="11" t="s">
        <v>729</v>
      </c>
      <c r="P23" s="11" t="s">
        <v>729</v>
      </c>
      <c r="Q23" s="11" t="s">
        <v>729</v>
      </c>
      <c r="R23" s="11" t="s">
        <v>729</v>
      </c>
      <c r="S23" s="11" t="s">
        <v>729</v>
      </c>
      <c r="T23" s="11" t="s">
        <v>729</v>
      </c>
      <c r="U23" s="11" t="s">
        <v>729</v>
      </c>
      <c r="V23" s="12" t="s">
        <v>729</v>
      </c>
    </row>
    <row r="24" ht="28" customHeight="1" spans="1:22">
      <c r="A24" s="16"/>
      <c r="B24" s="6" t="s">
        <v>729</v>
      </c>
      <c r="C24" s="6" t="s">
        <v>729</v>
      </c>
      <c r="D24" s="18" t="s">
        <v>1424</v>
      </c>
      <c r="E24" s="6" t="s">
        <v>729</v>
      </c>
      <c r="F24" s="11" t="s">
        <v>756</v>
      </c>
      <c r="G24" s="11" t="s">
        <v>756</v>
      </c>
      <c r="H24" s="11" t="s">
        <v>756</v>
      </c>
      <c r="I24" s="11" t="s">
        <v>756</v>
      </c>
      <c r="J24" s="11" t="s">
        <v>756</v>
      </c>
      <c r="K24" s="11" t="s">
        <v>756</v>
      </c>
      <c r="L24" s="11" t="s">
        <v>752</v>
      </c>
      <c r="M24" s="11" t="s">
        <v>729</v>
      </c>
      <c r="N24" s="11" t="s">
        <v>729</v>
      </c>
      <c r="O24" s="11" t="s">
        <v>729</v>
      </c>
      <c r="P24" s="11" t="s">
        <v>729</v>
      </c>
      <c r="Q24" s="11" t="s">
        <v>729</v>
      </c>
      <c r="R24" s="11" t="s">
        <v>729</v>
      </c>
      <c r="S24" s="11" t="s">
        <v>729</v>
      </c>
      <c r="T24" s="11" t="s">
        <v>729</v>
      </c>
      <c r="U24" s="11" t="s">
        <v>729</v>
      </c>
      <c r="V24" s="12" t="s">
        <v>729</v>
      </c>
    </row>
    <row r="25" ht="15.5" customHeight="1" spans="1:22">
      <c r="A25" s="16" t="s">
        <v>692</v>
      </c>
      <c r="B25" s="17" t="s">
        <v>693</v>
      </c>
      <c r="C25" s="6" t="s">
        <v>729</v>
      </c>
      <c r="D25" s="6" t="s">
        <v>729</v>
      </c>
      <c r="E25" s="6" t="s">
        <v>729</v>
      </c>
      <c r="F25" s="6" t="s">
        <v>729</v>
      </c>
      <c r="G25" s="6" t="s">
        <v>729</v>
      </c>
      <c r="H25" s="6" t="s">
        <v>729</v>
      </c>
      <c r="I25" s="6" t="s">
        <v>729</v>
      </c>
      <c r="J25" s="6" t="s">
        <v>729</v>
      </c>
      <c r="K25" s="6" t="s">
        <v>729</v>
      </c>
      <c r="L25" s="6" t="s">
        <v>729</v>
      </c>
      <c r="M25" s="6" t="s">
        <v>729</v>
      </c>
      <c r="N25" s="6" t="s">
        <v>729</v>
      </c>
      <c r="O25" s="6" t="s">
        <v>729</v>
      </c>
      <c r="P25" s="6" t="s">
        <v>729</v>
      </c>
      <c r="Q25" s="6" t="s">
        <v>729</v>
      </c>
      <c r="R25" s="6" t="s">
        <v>729</v>
      </c>
      <c r="S25" s="6" t="s">
        <v>729</v>
      </c>
      <c r="T25" s="6" t="s">
        <v>729</v>
      </c>
      <c r="U25" s="6" t="s">
        <v>729</v>
      </c>
      <c r="V25" s="8" t="s">
        <v>729</v>
      </c>
    </row>
    <row r="26" ht="28" customHeight="1" spans="1:22">
      <c r="A26" s="16"/>
      <c r="B26" s="6" t="s">
        <v>729</v>
      </c>
      <c r="C26" s="6" t="s">
        <v>729</v>
      </c>
      <c r="D26" s="18" t="s">
        <v>1425</v>
      </c>
      <c r="E26" s="6" t="s">
        <v>729</v>
      </c>
      <c r="F26" s="11" t="s">
        <v>752</v>
      </c>
      <c r="G26" s="11" t="s">
        <v>756</v>
      </c>
      <c r="H26" s="11" t="s">
        <v>756</v>
      </c>
      <c r="I26" s="11" t="s">
        <v>756</v>
      </c>
      <c r="J26" s="11" t="s">
        <v>756</v>
      </c>
      <c r="K26" s="11" t="s">
        <v>756</v>
      </c>
      <c r="L26" s="11" t="s">
        <v>756</v>
      </c>
      <c r="M26" s="11" t="s">
        <v>729</v>
      </c>
      <c r="N26" s="11" t="s">
        <v>729</v>
      </c>
      <c r="O26" s="11" t="s">
        <v>729</v>
      </c>
      <c r="P26" s="11" t="s">
        <v>729</v>
      </c>
      <c r="Q26" s="11" t="s">
        <v>729</v>
      </c>
      <c r="R26" s="11" t="s">
        <v>729</v>
      </c>
      <c r="S26" s="11" t="s">
        <v>729</v>
      </c>
      <c r="T26" s="11" t="s">
        <v>729</v>
      </c>
      <c r="U26" s="11" t="s">
        <v>729</v>
      </c>
      <c r="V26" s="12" t="s">
        <v>729</v>
      </c>
    </row>
    <row r="27" ht="15.5" customHeight="1" spans="1:22">
      <c r="A27" s="16"/>
      <c r="B27" s="6" t="s">
        <v>729</v>
      </c>
      <c r="C27" s="6" t="s">
        <v>729</v>
      </c>
      <c r="D27" s="18" t="s">
        <v>1426</v>
      </c>
      <c r="E27" s="6" t="s">
        <v>729</v>
      </c>
      <c r="F27" s="11" t="s">
        <v>756</v>
      </c>
      <c r="G27" s="11" t="s">
        <v>752</v>
      </c>
      <c r="H27" s="11" t="s">
        <v>752</v>
      </c>
      <c r="I27" s="11" t="s">
        <v>752</v>
      </c>
      <c r="J27" s="11" t="s">
        <v>752</v>
      </c>
      <c r="K27" s="11" t="s">
        <v>752</v>
      </c>
      <c r="L27" s="11" t="s">
        <v>752</v>
      </c>
      <c r="M27" s="11" t="s">
        <v>729</v>
      </c>
      <c r="N27" s="11" t="s">
        <v>729</v>
      </c>
      <c r="O27" s="11" t="s">
        <v>729</v>
      </c>
      <c r="P27" s="11" t="s">
        <v>729</v>
      </c>
      <c r="Q27" s="11" t="s">
        <v>729</v>
      </c>
      <c r="R27" s="11" t="s">
        <v>729</v>
      </c>
      <c r="S27" s="11" t="s">
        <v>729</v>
      </c>
      <c r="T27" s="11" t="s">
        <v>729</v>
      </c>
      <c r="U27" s="11" t="s">
        <v>729</v>
      </c>
      <c r="V27" s="12" t="s">
        <v>729</v>
      </c>
    </row>
    <row r="28" ht="15.5" customHeight="1" spans="1:22">
      <c r="A28" s="16"/>
      <c r="B28" s="17" t="s">
        <v>694</v>
      </c>
      <c r="C28" s="6" t="s">
        <v>729</v>
      </c>
      <c r="D28" s="6" t="s">
        <v>729</v>
      </c>
      <c r="E28" s="6" t="s">
        <v>729</v>
      </c>
      <c r="F28" s="6" t="s">
        <v>729</v>
      </c>
      <c r="G28" s="6" t="s">
        <v>729</v>
      </c>
      <c r="H28" s="6" t="s">
        <v>729</v>
      </c>
      <c r="I28" s="6" t="s">
        <v>729</v>
      </c>
      <c r="J28" s="6" t="s">
        <v>729</v>
      </c>
      <c r="K28" s="6" t="s">
        <v>729</v>
      </c>
      <c r="L28" s="6" t="s">
        <v>729</v>
      </c>
      <c r="M28" s="6" t="s">
        <v>729</v>
      </c>
      <c r="N28" s="6" t="s">
        <v>729</v>
      </c>
      <c r="O28" s="6" t="s">
        <v>729</v>
      </c>
      <c r="P28" s="6" t="s">
        <v>729</v>
      </c>
      <c r="Q28" s="6" t="s">
        <v>729</v>
      </c>
      <c r="R28" s="6" t="s">
        <v>729</v>
      </c>
      <c r="S28" s="6" t="s">
        <v>729</v>
      </c>
      <c r="T28" s="6" t="s">
        <v>729</v>
      </c>
      <c r="U28" s="6" t="s">
        <v>729</v>
      </c>
      <c r="V28" s="8" t="s">
        <v>729</v>
      </c>
    </row>
    <row r="29" ht="28" customHeight="1" spans="1:22">
      <c r="A29" s="16"/>
      <c r="B29" s="6" t="s">
        <v>729</v>
      </c>
      <c r="C29" s="6" t="s">
        <v>729</v>
      </c>
      <c r="D29" s="18" t="s">
        <v>1427</v>
      </c>
      <c r="E29" s="6" t="s">
        <v>729</v>
      </c>
      <c r="F29" s="11" t="s">
        <v>756</v>
      </c>
      <c r="G29" s="11" t="s">
        <v>752</v>
      </c>
      <c r="H29" s="11" t="s">
        <v>756</v>
      </c>
      <c r="I29" s="11" t="s">
        <v>756</v>
      </c>
      <c r="J29" s="11" t="s">
        <v>756</v>
      </c>
      <c r="K29" s="11" t="s">
        <v>756</v>
      </c>
      <c r="L29" s="11" t="s">
        <v>756</v>
      </c>
      <c r="M29" s="11" t="s">
        <v>729</v>
      </c>
      <c r="N29" s="11" t="s">
        <v>729</v>
      </c>
      <c r="O29" s="11" t="s">
        <v>729</v>
      </c>
      <c r="P29" s="11" t="s">
        <v>729</v>
      </c>
      <c r="Q29" s="11" t="s">
        <v>729</v>
      </c>
      <c r="R29" s="11" t="s">
        <v>729</v>
      </c>
      <c r="S29" s="11" t="s">
        <v>729</v>
      </c>
      <c r="T29" s="11" t="s">
        <v>729</v>
      </c>
      <c r="U29" s="11" t="s">
        <v>729</v>
      </c>
      <c r="V29" s="12" t="s">
        <v>729</v>
      </c>
    </row>
    <row r="30" ht="28" customHeight="1" spans="1:22">
      <c r="A30" s="16"/>
      <c r="B30" s="6" t="s">
        <v>729</v>
      </c>
      <c r="C30" s="6" t="s">
        <v>729</v>
      </c>
      <c r="D30" s="18" t="s">
        <v>1428</v>
      </c>
      <c r="E30" s="6" t="s">
        <v>729</v>
      </c>
      <c r="F30" s="11" t="s">
        <v>756</v>
      </c>
      <c r="G30" s="11" t="s">
        <v>756</v>
      </c>
      <c r="H30" s="11" t="s">
        <v>752</v>
      </c>
      <c r="I30" s="11" t="s">
        <v>756</v>
      </c>
      <c r="J30" s="11" t="s">
        <v>756</v>
      </c>
      <c r="K30" s="11" t="s">
        <v>756</v>
      </c>
      <c r="L30" s="11" t="s">
        <v>756</v>
      </c>
      <c r="M30" s="11" t="s">
        <v>729</v>
      </c>
      <c r="N30" s="11" t="s">
        <v>729</v>
      </c>
      <c r="O30" s="11" t="s">
        <v>729</v>
      </c>
      <c r="P30" s="11" t="s">
        <v>729</v>
      </c>
      <c r="Q30" s="11" t="s">
        <v>729</v>
      </c>
      <c r="R30" s="11" t="s">
        <v>729</v>
      </c>
      <c r="S30" s="11" t="s">
        <v>729</v>
      </c>
      <c r="T30" s="11" t="s">
        <v>729</v>
      </c>
      <c r="U30" s="11" t="s">
        <v>729</v>
      </c>
      <c r="V30" s="12" t="s">
        <v>729</v>
      </c>
    </row>
    <row r="31" ht="28" customHeight="1" spans="1:22">
      <c r="A31" s="16"/>
      <c r="B31" s="6" t="s">
        <v>729</v>
      </c>
      <c r="C31" s="6" t="s">
        <v>729</v>
      </c>
      <c r="D31" s="18" t="s">
        <v>1429</v>
      </c>
      <c r="E31" s="6" t="s">
        <v>729</v>
      </c>
      <c r="F31" s="11" t="s">
        <v>756</v>
      </c>
      <c r="G31" s="11" t="s">
        <v>756</v>
      </c>
      <c r="H31" s="11" t="s">
        <v>756</v>
      </c>
      <c r="I31" s="11" t="s">
        <v>752</v>
      </c>
      <c r="J31" s="11" t="s">
        <v>756</v>
      </c>
      <c r="K31" s="11" t="s">
        <v>756</v>
      </c>
      <c r="L31" s="11" t="s">
        <v>756</v>
      </c>
      <c r="M31" s="11" t="s">
        <v>729</v>
      </c>
      <c r="N31" s="11" t="s">
        <v>729</v>
      </c>
      <c r="O31" s="11" t="s">
        <v>729</v>
      </c>
      <c r="P31" s="11" t="s">
        <v>729</v>
      </c>
      <c r="Q31" s="11" t="s">
        <v>729</v>
      </c>
      <c r="R31" s="11" t="s">
        <v>729</v>
      </c>
      <c r="S31" s="11" t="s">
        <v>729</v>
      </c>
      <c r="T31" s="11" t="s">
        <v>729</v>
      </c>
      <c r="U31" s="11" t="s">
        <v>729</v>
      </c>
      <c r="V31" s="12" t="s">
        <v>729</v>
      </c>
    </row>
    <row r="32" ht="28" customHeight="1" spans="1:22">
      <c r="A32" s="16"/>
      <c r="B32" s="6" t="s">
        <v>729</v>
      </c>
      <c r="C32" s="6" t="s">
        <v>729</v>
      </c>
      <c r="D32" s="18" t="s">
        <v>1430</v>
      </c>
      <c r="E32" s="6" t="s">
        <v>729</v>
      </c>
      <c r="F32" s="11" t="s">
        <v>756</v>
      </c>
      <c r="G32" s="11" t="s">
        <v>756</v>
      </c>
      <c r="H32" s="11" t="s">
        <v>756</v>
      </c>
      <c r="I32" s="11" t="s">
        <v>756</v>
      </c>
      <c r="J32" s="11" t="s">
        <v>752</v>
      </c>
      <c r="K32" s="11" t="s">
        <v>756</v>
      </c>
      <c r="L32" s="11" t="s">
        <v>756</v>
      </c>
      <c r="M32" s="11" t="s">
        <v>729</v>
      </c>
      <c r="N32" s="11" t="s">
        <v>729</v>
      </c>
      <c r="O32" s="11" t="s">
        <v>729</v>
      </c>
      <c r="P32" s="11" t="s">
        <v>729</v>
      </c>
      <c r="Q32" s="11" t="s">
        <v>729</v>
      </c>
      <c r="R32" s="11" t="s">
        <v>729</v>
      </c>
      <c r="S32" s="11" t="s">
        <v>729</v>
      </c>
      <c r="T32" s="11" t="s">
        <v>729</v>
      </c>
      <c r="U32" s="11" t="s">
        <v>729</v>
      </c>
      <c r="V32" s="12" t="s">
        <v>729</v>
      </c>
    </row>
    <row r="33" ht="40.5" customHeight="1" spans="1:22">
      <c r="A33" s="16"/>
      <c r="B33" s="6" t="s">
        <v>729</v>
      </c>
      <c r="C33" s="6" t="s">
        <v>729</v>
      </c>
      <c r="D33" s="18" t="s">
        <v>1431</v>
      </c>
      <c r="E33" s="6" t="s">
        <v>729</v>
      </c>
      <c r="F33" s="11" t="s">
        <v>756</v>
      </c>
      <c r="G33" s="11" t="s">
        <v>756</v>
      </c>
      <c r="H33" s="11" t="s">
        <v>756</v>
      </c>
      <c r="I33" s="11" t="s">
        <v>756</v>
      </c>
      <c r="J33" s="11" t="s">
        <v>756</v>
      </c>
      <c r="K33" s="11" t="s">
        <v>752</v>
      </c>
      <c r="L33" s="11" t="s">
        <v>756</v>
      </c>
      <c r="M33" s="11" t="s">
        <v>729</v>
      </c>
      <c r="N33" s="11" t="s">
        <v>729</v>
      </c>
      <c r="O33" s="11" t="s">
        <v>729</v>
      </c>
      <c r="P33" s="11" t="s">
        <v>729</v>
      </c>
      <c r="Q33" s="11" t="s">
        <v>729</v>
      </c>
      <c r="R33" s="11" t="s">
        <v>729</v>
      </c>
      <c r="S33" s="11" t="s">
        <v>729</v>
      </c>
      <c r="T33" s="11" t="s">
        <v>729</v>
      </c>
      <c r="U33" s="11" t="s">
        <v>729</v>
      </c>
      <c r="V33" s="12" t="s">
        <v>729</v>
      </c>
    </row>
    <row r="34" ht="28" customHeight="1" spans="1:22">
      <c r="A34" s="16"/>
      <c r="B34" s="6" t="s">
        <v>729</v>
      </c>
      <c r="C34" s="6" t="s">
        <v>729</v>
      </c>
      <c r="D34" s="18" t="s">
        <v>1432</v>
      </c>
      <c r="E34" s="6" t="s">
        <v>729</v>
      </c>
      <c r="F34" s="11" t="s">
        <v>756</v>
      </c>
      <c r="G34" s="11" t="s">
        <v>756</v>
      </c>
      <c r="H34" s="11" t="s">
        <v>756</v>
      </c>
      <c r="I34" s="11" t="s">
        <v>756</v>
      </c>
      <c r="J34" s="11" t="s">
        <v>756</v>
      </c>
      <c r="K34" s="11" t="s">
        <v>756</v>
      </c>
      <c r="L34" s="11" t="s">
        <v>752</v>
      </c>
      <c r="M34" s="11" t="s">
        <v>729</v>
      </c>
      <c r="N34" s="11" t="s">
        <v>729</v>
      </c>
      <c r="O34" s="11" t="s">
        <v>729</v>
      </c>
      <c r="P34" s="11" t="s">
        <v>729</v>
      </c>
      <c r="Q34" s="11" t="s">
        <v>729</v>
      </c>
      <c r="R34" s="11" t="s">
        <v>729</v>
      </c>
      <c r="S34" s="11" t="s">
        <v>729</v>
      </c>
      <c r="T34" s="11" t="s">
        <v>729</v>
      </c>
      <c r="U34" s="11" t="s">
        <v>729</v>
      </c>
      <c r="V34" s="12" t="s">
        <v>729</v>
      </c>
    </row>
    <row r="35" ht="15.5" customHeight="1" spans="1:22">
      <c r="A35" s="16"/>
      <c r="B35" s="17" t="s">
        <v>695</v>
      </c>
      <c r="C35" s="6" t="s">
        <v>729</v>
      </c>
      <c r="D35" s="6" t="s">
        <v>729</v>
      </c>
      <c r="E35" s="6" t="s">
        <v>729</v>
      </c>
      <c r="F35" s="6" t="s">
        <v>729</v>
      </c>
      <c r="G35" s="6" t="s">
        <v>729</v>
      </c>
      <c r="H35" s="6" t="s">
        <v>729</v>
      </c>
      <c r="I35" s="6" t="s">
        <v>729</v>
      </c>
      <c r="J35" s="6" t="s">
        <v>729</v>
      </c>
      <c r="K35" s="6" t="s">
        <v>729</v>
      </c>
      <c r="L35" s="6" t="s">
        <v>729</v>
      </c>
      <c r="M35" s="6" t="s">
        <v>729</v>
      </c>
      <c r="N35" s="6" t="s">
        <v>729</v>
      </c>
      <c r="O35" s="6" t="s">
        <v>729</v>
      </c>
      <c r="P35" s="6" t="s">
        <v>729</v>
      </c>
      <c r="Q35" s="6" t="s">
        <v>729</v>
      </c>
      <c r="R35" s="6" t="s">
        <v>729</v>
      </c>
      <c r="S35" s="6" t="s">
        <v>729</v>
      </c>
      <c r="T35" s="6" t="s">
        <v>729</v>
      </c>
      <c r="U35" s="6" t="s">
        <v>729</v>
      </c>
      <c r="V35" s="8" t="s">
        <v>729</v>
      </c>
    </row>
    <row r="36" ht="28" customHeight="1" spans="1:22">
      <c r="A36" s="16"/>
      <c r="B36" s="6" t="s">
        <v>729</v>
      </c>
      <c r="C36" s="6" t="s">
        <v>729</v>
      </c>
      <c r="D36" s="18" t="s">
        <v>1433</v>
      </c>
      <c r="E36" s="6" t="s">
        <v>729</v>
      </c>
      <c r="F36" s="11" t="s">
        <v>752</v>
      </c>
      <c r="G36" s="11" t="s">
        <v>756</v>
      </c>
      <c r="H36" s="11" t="s">
        <v>756</v>
      </c>
      <c r="I36" s="11" t="s">
        <v>756</v>
      </c>
      <c r="J36" s="11" t="s">
        <v>756</v>
      </c>
      <c r="K36" s="11" t="s">
        <v>756</v>
      </c>
      <c r="L36" s="11" t="s">
        <v>756</v>
      </c>
      <c r="M36" s="11" t="s">
        <v>729</v>
      </c>
      <c r="N36" s="11" t="s">
        <v>729</v>
      </c>
      <c r="O36" s="11" t="s">
        <v>729</v>
      </c>
      <c r="P36" s="11" t="s">
        <v>729</v>
      </c>
      <c r="Q36" s="11" t="s">
        <v>729</v>
      </c>
      <c r="R36" s="11" t="s">
        <v>729</v>
      </c>
      <c r="S36" s="11" t="s">
        <v>729</v>
      </c>
      <c r="T36" s="11" t="s">
        <v>729</v>
      </c>
      <c r="U36" s="11" t="s">
        <v>729</v>
      </c>
      <c r="V36" s="12" t="s">
        <v>729</v>
      </c>
    </row>
    <row r="37" ht="18" customHeight="1" spans="1:22">
      <c r="A37" s="19" t="s">
        <v>696</v>
      </c>
      <c r="B37" s="20" t="s">
        <v>765</v>
      </c>
      <c r="C37" s="20"/>
      <c r="D37" s="20"/>
      <c r="E37" s="6" t="s">
        <v>729</v>
      </c>
      <c r="F37" s="11" t="s">
        <v>670</v>
      </c>
      <c r="G37" s="11" t="s">
        <v>63</v>
      </c>
      <c r="H37" s="11" t="s">
        <v>63</v>
      </c>
      <c r="I37" s="11" t="s">
        <v>63</v>
      </c>
      <c r="J37" s="11" t="s">
        <v>63</v>
      </c>
      <c r="K37" s="11" t="s">
        <v>63</v>
      </c>
      <c r="L37" s="11" t="s">
        <v>63</v>
      </c>
      <c r="M37" s="11" t="s">
        <v>729</v>
      </c>
      <c r="N37" s="11" t="s">
        <v>729</v>
      </c>
      <c r="O37" s="11" t="s">
        <v>729</v>
      </c>
      <c r="P37" s="11" t="s">
        <v>729</v>
      </c>
      <c r="Q37" s="11" t="s">
        <v>729</v>
      </c>
      <c r="R37" s="11" t="s">
        <v>729</v>
      </c>
      <c r="S37" s="11" t="s">
        <v>729</v>
      </c>
      <c r="T37" s="11" t="s">
        <v>729</v>
      </c>
      <c r="U37" s="11" t="s">
        <v>729</v>
      </c>
      <c r="V37" s="12" t="s">
        <v>729</v>
      </c>
    </row>
    <row r="38" ht="18" customHeight="1" spans="1:22">
      <c r="A38" s="19"/>
      <c r="B38" s="20" t="s">
        <v>698</v>
      </c>
      <c r="C38" s="20"/>
      <c r="D38" s="20"/>
      <c r="E38" s="6" t="s">
        <v>729</v>
      </c>
      <c r="F38" s="11" t="s">
        <v>766</v>
      </c>
      <c r="G38" s="11" t="s">
        <v>766</v>
      </c>
      <c r="H38" s="11" t="s">
        <v>766</v>
      </c>
      <c r="I38" s="11" t="s">
        <v>766</v>
      </c>
      <c r="J38" s="11" t="s">
        <v>766</v>
      </c>
      <c r="K38" s="11" t="s">
        <v>766</v>
      </c>
      <c r="L38" s="11" t="s">
        <v>766</v>
      </c>
      <c r="M38" s="11" t="s">
        <v>729</v>
      </c>
      <c r="N38" s="11" t="s">
        <v>729</v>
      </c>
      <c r="O38" s="11" t="s">
        <v>729</v>
      </c>
      <c r="P38" s="11" t="s">
        <v>729</v>
      </c>
      <c r="Q38" s="11" t="s">
        <v>729</v>
      </c>
      <c r="R38" s="11" t="s">
        <v>729</v>
      </c>
      <c r="S38" s="11" t="s">
        <v>729</v>
      </c>
      <c r="T38" s="11" t="s">
        <v>729</v>
      </c>
      <c r="U38" s="11" t="s">
        <v>729</v>
      </c>
      <c r="V38" s="12" t="s">
        <v>729</v>
      </c>
    </row>
    <row r="39" ht="18" customHeight="1" spans="1:22">
      <c r="A39" s="19"/>
      <c r="B39" s="20" t="s">
        <v>699</v>
      </c>
      <c r="C39" s="20"/>
      <c r="D39" s="20"/>
      <c r="E39" s="6" t="s">
        <v>729</v>
      </c>
      <c r="F39" s="6" t="s">
        <v>729</v>
      </c>
      <c r="G39" s="6" t="s">
        <v>729</v>
      </c>
      <c r="H39" s="6" t="s">
        <v>729</v>
      </c>
      <c r="I39" s="6" t="s">
        <v>729</v>
      </c>
      <c r="J39" s="6" t="s">
        <v>729</v>
      </c>
      <c r="K39" s="6" t="s">
        <v>729</v>
      </c>
      <c r="L39" s="6" t="s">
        <v>729</v>
      </c>
      <c r="M39" s="6" t="s">
        <v>729</v>
      </c>
      <c r="N39" s="6" t="s">
        <v>729</v>
      </c>
      <c r="O39" s="6" t="s">
        <v>729</v>
      </c>
      <c r="P39" s="6" t="s">
        <v>729</v>
      </c>
      <c r="Q39" s="6" t="s">
        <v>729</v>
      </c>
      <c r="R39" s="6" t="s">
        <v>729</v>
      </c>
      <c r="S39" s="6" t="s">
        <v>729</v>
      </c>
      <c r="T39" s="6" t="s">
        <v>729</v>
      </c>
      <c r="U39" s="6" t="s">
        <v>729</v>
      </c>
      <c r="V39" s="8" t="s">
        <v>729</v>
      </c>
    </row>
    <row r="40" ht="18" customHeight="1" spans="1:22">
      <c r="A40" s="19"/>
      <c r="B40" s="21" t="s">
        <v>700</v>
      </c>
      <c r="C40" s="21"/>
      <c r="D40" s="21"/>
      <c r="E40" s="22" t="s">
        <v>729</v>
      </c>
      <c r="F40" s="22" t="s">
        <v>729</v>
      </c>
      <c r="G40" s="22" t="s">
        <v>729</v>
      </c>
      <c r="H40" s="22" t="s">
        <v>729</v>
      </c>
      <c r="I40" s="22" t="s">
        <v>729</v>
      </c>
      <c r="J40" s="22" t="s">
        <v>729</v>
      </c>
      <c r="K40" s="22" t="s">
        <v>729</v>
      </c>
      <c r="L40" s="22" t="s">
        <v>729</v>
      </c>
      <c r="M40" s="22" t="s">
        <v>729</v>
      </c>
      <c r="N40" s="22" t="s">
        <v>729</v>
      </c>
      <c r="O40" s="22" t="s">
        <v>729</v>
      </c>
      <c r="P40" s="22" t="s">
        <v>729</v>
      </c>
      <c r="Q40" s="22" t="s">
        <v>729</v>
      </c>
      <c r="R40" s="22" t="s">
        <v>729</v>
      </c>
      <c r="S40" s="22" t="s">
        <v>729</v>
      </c>
      <c r="T40" s="22" t="s">
        <v>729</v>
      </c>
      <c r="U40" s="22" t="s">
        <v>729</v>
      </c>
      <c r="V40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37:D37"/>
    <mergeCell ref="B38:D38"/>
    <mergeCell ref="B39:D39"/>
    <mergeCell ref="B40:D40"/>
    <mergeCell ref="A7:A24"/>
    <mergeCell ref="A25:A36"/>
    <mergeCell ref="A37:A40"/>
  </mergeCells>
  <dataValidations count="3">
    <dataValidation type="list" allowBlank="1" sqref="F8:V8 F36:V36 F10:V11 F16:V17 F26:V27 F13:V14 F19:V20 F22:V24 F29:V34">
      <formula1>"O,-"</formula1>
    </dataValidation>
    <dataValidation type="list" allowBlank="1" sqref="F37:V37">
      <formula1>"N,A,B"</formula1>
    </dataValidation>
    <dataValidation type="list" allowBlank="1" sqref="F38:V38">
      <formula1>"P,F"</formula1>
    </dataValidation>
  </dataValidations>
  <pageMargins left="0.7" right="0.7" top="0.75" bottom="0.75" header="0.3" footer="0.3"/>
  <pageSetup paperSize="1" orientation="portrait"/>
  <headerFooter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0"/>
  <sheetViews>
    <sheetView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524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530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1434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7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2</v>
      </c>
      <c r="M5" s="11">
        <v>5</v>
      </c>
      <c r="N5" s="11">
        <v>0</v>
      </c>
      <c r="O5" s="12">
        <v>7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687</v>
      </c>
      <c r="H6" s="14" t="s">
        <v>688</v>
      </c>
      <c r="I6" s="14" t="s">
        <v>689</v>
      </c>
      <c r="J6" s="14" t="s">
        <v>863</v>
      </c>
      <c r="K6" s="14" t="s">
        <v>864</v>
      </c>
      <c r="L6" s="14" t="s">
        <v>1412</v>
      </c>
      <c r="M6" s="14" t="s">
        <v>729</v>
      </c>
      <c r="N6" s="14" t="s">
        <v>729</v>
      </c>
      <c r="O6" s="14" t="s">
        <v>729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15.5" customHeight="1" spans="1:22">
      <c r="A7" s="16" t="s">
        <v>690</v>
      </c>
      <c r="B7" s="17" t="s">
        <v>750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28" customHeight="1" spans="1:22">
      <c r="A8" s="16"/>
      <c r="B8" s="6" t="s">
        <v>729</v>
      </c>
      <c r="C8" s="6" t="s">
        <v>729</v>
      </c>
      <c r="D8" s="18" t="s">
        <v>529</v>
      </c>
      <c r="E8" s="6" t="s">
        <v>729</v>
      </c>
      <c r="F8" s="11" t="s">
        <v>752</v>
      </c>
      <c r="G8" s="11" t="s">
        <v>752</v>
      </c>
      <c r="H8" s="11" t="s">
        <v>752</v>
      </c>
      <c r="I8" s="11" t="s">
        <v>752</v>
      </c>
      <c r="J8" s="11" t="s">
        <v>752</v>
      </c>
      <c r="K8" s="11" t="s">
        <v>752</v>
      </c>
      <c r="L8" s="11" t="s">
        <v>752</v>
      </c>
      <c r="M8" s="11" t="s">
        <v>729</v>
      </c>
      <c r="N8" s="11" t="s">
        <v>729</v>
      </c>
      <c r="O8" s="11" t="s">
        <v>729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15.5" customHeight="1" spans="1:22">
      <c r="A9" s="16"/>
      <c r="B9" s="17" t="s">
        <v>1237</v>
      </c>
      <c r="C9" s="6" t="s">
        <v>729</v>
      </c>
      <c r="D9" s="6" t="s">
        <v>729</v>
      </c>
      <c r="E9" s="6" t="s">
        <v>729</v>
      </c>
      <c r="F9" s="6" t="s">
        <v>729</v>
      </c>
      <c r="G9" s="6" t="s">
        <v>729</v>
      </c>
      <c r="H9" s="6" t="s">
        <v>729</v>
      </c>
      <c r="I9" s="6" t="s">
        <v>729</v>
      </c>
      <c r="J9" s="6" t="s">
        <v>729</v>
      </c>
      <c r="K9" s="6" t="s">
        <v>729</v>
      </c>
      <c r="L9" s="6" t="s">
        <v>729</v>
      </c>
      <c r="M9" s="6" t="s">
        <v>729</v>
      </c>
      <c r="N9" s="6" t="s">
        <v>729</v>
      </c>
      <c r="O9" s="6" t="s">
        <v>729</v>
      </c>
      <c r="P9" s="6" t="s">
        <v>729</v>
      </c>
      <c r="Q9" s="6" t="s">
        <v>729</v>
      </c>
      <c r="R9" s="6" t="s">
        <v>729</v>
      </c>
      <c r="S9" s="6" t="s">
        <v>729</v>
      </c>
      <c r="T9" s="6" t="s">
        <v>729</v>
      </c>
      <c r="U9" s="6" t="s">
        <v>729</v>
      </c>
      <c r="V9" s="8" t="s">
        <v>729</v>
      </c>
    </row>
    <row r="10" ht="28" customHeight="1" spans="1:22">
      <c r="A10" s="16"/>
      <c r="B10" s="6" t="s">
        <v>729</v>
      </c>
      <c r="C10" s="6" t="s">
        <v>729</v>
      </c>
      <c r="D10" s="18" t="s">
        <v>1435</v>
      </c>
      <c r="E10" s="6" t="s">
        <v>729</v>
      </c>
      <c r="F10" s="11" t="s">
        <v>752</v>
      </c>
      <c r="G10" s="11" t="s">
        <v>756</v>
      </c>
      <c r="H10" s="11" t="s">
        <v>756</v>
      </c>
      <c r="I10" s="11" t="s">
        <v>756</v>
      </c>
      <c r="J10" s="11" t="s">
        <v>756</v>
      </c>
      <c r="K10" s="11" t="s">
        <v>756</v>
      </c>
      <c r="L10" s="11" t="s">
        <v>756</v>
      </c>
      <c r="M10" s="11" t="s">
        <v>729</v>
      </c>
      <c r="N10" s="11" t="s">
        <v>729</v>
      </c>
      <c r="O10" s="11" t="s">
        <v>729</v>
      </c>
      <c r="P10" s="11" t="s">
        <v>729</v>
      </c>
      <c r="Q10" s="11" t="s">
        <v>729</v>
      </c>
      <c r="R10" s="11" t="s">
        <v>729</v>
      </c>
      <c r="S10" s="11" t="s">
        <v>729</v>
      </c>
      <c r="T10" s="11" t="s">
        <v>729</v>
      </c>
      <c r="U10" s="11" t="s">
        <v>729</v>
      </c>
      <c r="V10" s="12" t="s">
        <v>729</v>
      </c>
    </row>
    <row r="11" ht="53" customHeight="1" spans="1:22">
      <c r="A11" s="16"/>
      <c r="B11" s="6" t="s">
        <v>729</v>
      </c>
      <c r="C11" s="6" t="s">
        <v>729</v>
      </c>
      <c r="D11" s="18" t="s">
        <v>1436</v>
      </c>
      <c r="E11" s="6" t="s">
        <v>729</v>
      </c>
      <c r="F11" s="11" t="s">
        <v>756</v>
      </c>
      <c r="G11" s="11" t="s">
        <v>752</v>
      </c>
      <c r="H11" s="11" t="s">
        <v>756</v>
      </c>
      <c r="I11" s="11" t="s">
        <v>756</v>
      </c>
      <c r="J11" s="11" t="s">
        <v>756</v>
      </c>
      <c r="K11" s="11" t="s">
        <v>756</v>
      </c>
      <c r="L11" s="11" t="s">
        <v>756</v>
      </c>
      <c r="M11" s="11" t="s">
        <v>729</v>
      </c>
      <c r="N11" s="11" t="s">
        <v>729</v>
      </c>
      <c r="O11" s="11" t="s">
        <v>729</v>
      </c>
      <c r="P11" s="11" t="s">
        <v>729</v>
      </c>
      <c r="Q11" s="11" t="s">
        <v>729</v>
      </c>
      <c r="R11" s="11" t="s">
        <v>729</v>
      </c>
      <c r="S11" s="11" t="s">
        <v>729</v>
      </c>
      <c r="T11" s="11" t="s">
        <v>729</v>
      </c>
      <c r="U11" s="11" t="s">
        <v>729</v>
      </c>
      <c r="V11" s="12" t="s">
        <v>729</v>
      </c>
    </row>
    <row r="12" ht="28" customHeight="1" spans="1:22">
      <c r="A12" s="16"/>
      <c r="B12" s="6" t="s">
        <v>729</v>
      </c>
      <c r="C12" s="6" t="s">
        <v>729</v>
      </c>
      <c r="D12" s="18" t="s">
        <v>1437</v>
      </c>
      <c r="E12" s="6" t="s">
        <v>729</v>
      </c>
      <c r="F12" s="11" t="s">
        <v>756</v>
      </c>
      <c r="G12" s="11" t="s">
        <v>756</v>
      </c>
      <c r="H12" s="11" t="s">
        <v>752</v>
      </c>
      <c r="I12" s="11" t="s">
        <v>756</v>
      </c>
      <c r="J12" s="11" t="s">
        <v>756</v>
      </c>
      <c r="K12" s="11" t="s">
        <v>756</v>
      </c>
      <c r="L12" s="11" t="s">
        <v>756</v>
      </c>
      <c r="M12" s="11" t="s">
        <v>729</v>
      </c>
      <c r="N12" s="11" t="s">
        <v>729</v>
      </c>
      <c r="O12" s="11" t="s">
        <v>729</v>
      </c>
      <c r="P12" s="11" t="s">
        <v>729</v>
      </c>
      <c r="Q12" s="11" t="s">
        <v>729</v>
      </c>
      <c r="R12" s="11" t="s">
        <v>729</v>
      </c>
      <c r="S12" s="11" t="s">
        <v>729</v>
      </c>
      <c r="T12" s="11" t="s">
        <v>729</v>
      </c>
      <c r="U12" s="11" t="s">
        <v>729</v>
      </c>
      <c r="V12" s="12" t="s">
        <v>729</v>
      </c>
    </row>
    <row r="13" ht="28" customHeight="1" spans="1:22">
      <c r="A13" s="16"/>
      <c r="B13" s="6" t="s">
        <v>729</v>
      </c>
      <c r="C13" s="6" t="s">
        <v>729</v>
      </c>
      <c r="D13" s="18" t="s">
        <v>1438</v>
      </c>
      <c r="E13" s="6" t="s">
        <v>729</v>
      </c>
      <c r="F13" s="11" t="s">
        <v>756</v>
      </c>
      <c r="G13" s="11" t="s">
        <v>756</v>
      </c>
      <c r="H13" s="11" t="s">
        <v>756</v>
      </c>
      <c r="I13" s="11" t="s">
        <v>752</v>
      </c>
      <c r="J13" s="11" t="s">
        <v>756</v>
      </c>
      <c r="K13" s="11" t="s">
        <v>756</v>
      </c>
      <c r="L13" s="11" t="s">
        <v>756</v>
      </c>
      <c r="M13" s="11" t="s">
        <v>729</v>
      </c>
      <c r="N13" s="11" t="s">
        <v>729</v>
      </c>
      <c r="O13" s="11" t="s">
        <v>729</v>
      </c>
      <c r="P13" s="11" t="s">
        <v>729</v>
      </c>
      <c r="Q13" s="11" t="s">
        <v>729</v>
      </c>
      <c r="R13" s="11" t="s">
        <v>729</v>
      </c>
      <c r="S13" s="11" t="s">
        <v>729</v>
      </c>
      <c r="T13" s="11" t="s">
        <v>729</v>
      </c>
      <c r="U13" s="11" t="s">
        <v>729</v>
      </c>
      <c r="V13" s="12" t="s">
        <v>729</v>
      </c>
    </row>
    <row r="14" ht="40.5" customHeight="1" spans="1:22">
      <c r="A14" s="16"/>
      <c r="B14" s="6" t="s">
        <v>729</v>
      </c>
      <c r="C14" s="6" t="s">
        <v>729</v>
      </c>
      <c r="D14" s="18" t="s">
        <v>1439</v>
      </c>
      <c r="E14" s="6" t="s">
        <v>729</v>
      </c>
      <c r="F14" s="11" t="s">
        <v>756</v>
      </c>
      <c r="G14" s="11" t="s">
        <v>756</v>
      </c>
      <c r="H14" s="11" t="s">
        <v>756</v>
      </c>
      <c r="I14" s="11" t="s">
        <v>756</v>
      </c>
      <c r="J14" s="11" t="s">
        <v>752</v>
      </c>
      <c r="K14" s="11" t="s">
        <v>756</v>
      </c>
      <c r="L14" s="11" t="s">
        <v>756</v>
      </c>
      <c r="M14" s="11" t="s">
        <v>729</v>
      </c>
      <c r="N14" s="11" t="s">
        <v>729</v>
      </c>
      <c r="O14" s="11" t="s">
        <v>729</v>
      </c>
      <c r="P14" s="11" t="s">
        <v>729</v>
      </c>
      <c r="Q14" s="11" t="s">
        <v>729</v>
      </c>
      <c r="R14" s="11" t="s">
        <v>729</v>
      </c>
      <c r="S14" s="11" t="s">
        <v>729</v>
      </c>
      <c r="T14" s="11" t="s">
        <v>729</v>
      </c>
      <c r="U14" s="11" t="s">
        <v>729</v>
      </c>
      <c r="V14" s="12" t="s">
        <v>729</v>
      </c>
    </row>
    <row r="15" ht="40.5" customHeight="1" spans="1:22">
      <c r="A15" s="16"/>
      <c r="B15" s="6" t="s">
        <v>729</v>
      </c>
      <c r="C15" s="6" t="s">
        <v>729</v>
      </c>
      <c r="D15" s="18" t="s">
        <v>1440</v>
      </c>
      <c r="E15" s="6" t="s">
        <v>729</v>
      </c>
      <c r="F15" s="11" t="s">
        <v>756</v>
      </c>
      <c r="G15" s="11" t="s">
        <v>756</v>
      </c>
      <c r="H15" s="11" t="s">
        <v>756</v>
      </c>
      <c r="I15" s="11" t="s">
        <v>756</v>
      </c>
      <c r="J15" s="11" t="s">
        <v>756</v>
      </c>
      <c r="K15" s="11" t="s">
        <v>752</v>
      </c>
      <c r="L15" s="11" t="s">
        <v>756</v>
      </c>
      <c r="M15" s="11" t="s">
        <v>729</v>
      </c>
      <c r="N15" s="11" t="s">
        <v>729</v>
      </c>
      <c r="O15" s="11" t="s">
        <v>729</v>
      </c>
      <c r="P15" s="11" t="s">
        <v>729</v>
      </c>
      <c r="Q15" s="11" t="s">
        <v>729</v>
      </c>
      <c r="R15" s="11" t="s">
        <v>729</v>
      </c>
      <c r="S15" s="11" t="s">
        <v>729</v>
      </c>
      <c r="T15" s="11" t="s">
        <v>729</v>
      </c>
      <c r="U15" s="11" t="s">
        <v>729</v>
      </c>
      <c r="V15" s="12" t="s">
        <v>729</v>
      </c>
    </row>
    <row r="16" ht="28" customHeight="1" spans="1:22">
      <c r="A16" s="16"/>
      <c r="B16" s="6" t="s">
        <v>729</v>
      </c>
      <c r="C16" s="6" t="s">
        <v>729</v>
      </c>
      <c r="D16" s="18" t="s">
        <v>1441</v>
      </c>
      <c r="E16" s="6" t="s">
        <v>729</v>
      </c>
      <c r="F16" s="11" t="s">
        <v>756</v>
      </c>
      <c r="G16" s="11" t="s">
        <v>756</v>
      </c>
      <c r="H16" s="11" t="s">
        <v>756</v>
      </c>
      <c r="I16" s="11" t="s">
        <v>756</v>
      </c>
      <c r="J16" s="11" t="s">
        <v>756</v>
      </c>
      <c r="K16" s="11" t="s">
        <v>756</v>
      </c>
      <c r="L16" s="11" t="s">
        <v>752</v>
      </c>
      <c r="M16" s="11" t="s">
        <v>729</v>
      </c>
      <c r="N16" s="11" t="s">
        <v>729</v>
      </c>
      <c r="O16" s="11" t="s">
        <v>729</v>
      </c>
      <c r="P16" s="11" t="s">
        <v>729</v>
      </c>
      <c r="Q16" s="11" t="s">
        <v>729</v>
      </c>
      <c r="R16" s="11" t="s">
        <v>729</v>
      </c>
      <c r="S16" s="11" t="s">
        <v>729</v>
      </c>
      <c r="T16" s="11" t="s">
        <v>729</v>
      </c>
      <c r="U16" s="11" t="s">
        <v>729</v>
      </c>
      <c r="V16" s="12" t="s">
        <v>729</v>
      </c>
    </row>
    <row r="17" ht="15.5" customHeight="1" spans="1:22">
      <c r="A17" s="16" t="s">
        <v>692</v>
      </c>
      <c r="B17" s="17" t="s">
        <v>693</v>
      </c>
      <c r="C17" s="6" t="s">
        <v>729</v>
      </c>
      <c r="D17" s="6" t="s">
        <v>729</v>
      </c>
      <c r="E17" s="6" t="s">
        <v>729</v>
      </c>
      <c r="F17" s="6" t="s">
        <v>729</v>
      </c>
      <c r="G17" s="6" t="s">
        <v>729</v>
      </c>
      <c r="H17" s="6" t="s">
        <v>729</v>
      </c>
      <c r="I17" s="6" t="s">
        <v>729</v>
      </c>
      <c r="J17" s="6" t="s">
        <v>729</v>
      </c>
      <c r="K17" s="6" t="s">
        <v>729</v>
      </c>
      <c r="L17" s="6" t="s">
        <v>729</v>
      </c>
      <c r="M17" s="6" t="s">
        <v>729</v>
      </c>
      <c r="N17" s="6" t="s">
        <v>729</v>
      </c>
      <c r="O17" s="6" t="s">
        <v>729</v>
      </c>
      <c r="P17" s="6" t="s">
        <v>729</v>
      </c>
      <c r="Q17" s="6" t="s">
        <v>729</v>
      </c>
      <c r="R17" s="6" t="s">
        <v>729</v>
      </c>
      <c r="S17" s="6" t="s">
        <v>729</v>
      </c>
      <c r="T17" s="6" t="s">
        <v>729</v>
      </c>
      <c r="U17" s="6" t="s">
        <v>729</v>
      </c>
      <c r="V17" s="8" t="s">
        <v>729</v>
      </c>
    </row>
    <row r="18" ht="28" customHeight="1" spans="1:22">
      <c r="A18" s="16"/>
      <c r="B18" s="6" t="s">
        <v>729</v>
      </c>
      <c r="C18" s="6" t="s">
        <v>729</v>
      </c>
      <c r="D18" s="18" t="s">
        <v>1442</v>
      </c>
      <c r="E18" s="6" t="s">
        <v>729</v>
      </c>
      <c r="F18" s="11" t="s">
        <v>756</v>
      </c>
      <c r="G18" s="11" t="s">
        <v>756</v>
      </c>
      <c r="H18" s="11" t="s">
        <v>752</v>
      </c>
      <c r="I18" s="11" t="s">
        <v>756</v>
      </c>
      <c r="J18" s="11" t="s">
        <v>756</v>
      </c>
      <c r="K18" s="11" t="s">
        <v>756</v>
      </c>
      <c r="L18" s="11" t="s">
        <v>756</v>
      </c>
      <c r="M18" s="11" t="s">
        <v>729</v>
      </c>
      <c r="N18" s="11" t="s">
        <v>729</v>
      </c>
      <c r="O18" s="11" t="s">
        <v>729</v>
      </c>
      <c r="P18" s="11" t="s">
        <v>729</v>
      </c>
      <c r="Q18" s="11" t="s">
        <v>729</v>
      </c>
      <c r="R18" s="11" t="s">
        <v>729</v>
      </c>
      <c r="S18" s="11" t="s">
        <v>729</v>
      </c>
      <c r="T18" s="11" t="s">
        <v>729</v>
      </c>
      <c r="U18" s="11" t="s">
        <v>729</v>
      </c>
      <c r="V18" s="12" t="s">
        <v>729</v>
      </c>
    </row>
    <row r="19" ht="28" customHeight="1" spans="1:22">
      <c r="A19" s="16"/>
      <c r="B19" s="6" t="s">
        <v>729</v>
      </c>
      <c r="C19" s="6" t="s">
        <v>729</v>
      </c>
      <c r="D19" s="18" t="s">
        <v>1443</v>
      </c>
      <c r="E19" s="6" t="s">
        <v>729</v>
      </c>
      <c r="F19" s="11" t="s">
        <v>756</v>
      </c>
      <c r="G19" s="11" t="s">
        <v>756</v>
      </c>
      <c r="H19" s="11" t="s">
        <v>756</v>
      </c>
      <c r="I19" s="11" t="s">
        <v>756</v>
      </c>
      <c r="J19" s="11" t="s">
        <v>756</v>
      </c>
      <c r="K19" s="11" t="s">
        <v>756</v>
      </c>
      <c r="L19" s="11" t="s">
        <v>752</v>
      </c>
      <c r="M19" s="11" t="s">
        <v>729</v>
      </c>
      <c r="N19" s="11" t="s">
        <v>729</v>
      </c>
      <c r="O19" s="11" t="s">
        <v>729</v>
      </c>
      <c r="P19" s="11" t="s">
        <v>729</v>
      </c>
      <c r="Q19" s="11" t="s">
        <v>729</v>
      </c>
      <c r="R19" s="11" t="s">
        <v>729</v>
      </c>
      <c r="S19" s="11" t="s">
        <v>729</v>
      </c>
      <c r="T19" s="11" t="s">
        <v>729</v>
      </c>
      <c r="U19" s="11" t="s">
        <v>729</v>
      </c>
      <c r="V19" s="12" t="s">
        <v>729</v>
      </c>
    </row>
    <row r="20" ht="28" customHeight="1" spans="1:22">
      <c r="A20" s="16"/>
      <c r="B20" s="6" t="s">
        <v>729</v>
      </c>
      <c r="C20" s="6" t="s">
        <v>729</v>
      </c>
      <c r="D20" s="18" t="s">
        <v>1444</v>
      </c>
      <c r="E20" s="6" t="s">
        <v>729</v>
      </c>
      <c r="F20" s="11" t="s">
        <v>752</v>
      </c>
      <c r="G20" s="11" t="s">
        <v>752</v>
      </c>
      <c r="H20" s="11" t="s">
        <v>756</v>
      </c>
      <c r="I20" s="11" t="s">
        <v>752</v>
      </c>
      <c r="J20" s="11" t="s">
        <v>752</v>
      </c>
      <c r="K20" s="11" t="s">
        <v>752</v>
      </c>
      <c r="L20" s="11" t="s">
        <v>756</v>
      </c>
      <c r="M20" s="11" t="s">
        <v>729</v>
      </c>
      <c r="N20" s="11" t="s">
        <v>729</v>
      </c>
      <c r="O20" s="11" t="s">
        <v>729</v>
      </c>
      <c r="P20" s="11" t="s">
        <v>729</v>
      </c>
      <c r="Q20" s="11" t="s">
        <v>729</v>
      </c>
      <c r="R20" s="11" t="s">
        <v>729</v>
      </c>
      <c r="S20" s="11" t="s">
        <v>729</v>
      </c>
      <c r="T20" s="11" t="s">
        <v>729</v>
      </c>
      <c r="U20" s="11" t="s">
        <v>729</v>
      </c>
      <c r="V20" s="12" t="s">
        <v>729</v>
      </c>
    </row>
    <row r="21" ht="15.5" customHeight="1" spans="1:22">
      <c r="A21" s="16"/>
      <c r="B21" s="17" t="s">
        <v>694</v>
      </c>
      <c r="C21" s="6" t="s">
        <v>729</v>
      </c>
      <c r="D21" s="6" t="s">
        <v>729</v>
      </c>
      <c r="E21" s="6" t="s">
        <v>729</v>
      </c>
      <c r="F21" s="6" t="s">
        <v>729</v>
      </c>
      <c r="G21" s="6" t="s">
        <v>729</v>
      </c>
      <c r="H21" s="6" t="s">
        <v>729</v>
      </c>
      <c r="I21" s="6" t="s">
        <v>729</v>
      </c>
      <c r="J21" s="6" t="s">
        <v>729</v>
      </c>
      <c r="K21" s="6" t="s">
        <v>729</v>
      </c>
      <c r="L21" s="6" t="s">
        <v>729</v>
      </c>
      <c r="M21" s="6" t="s">
        <v>729</v>
      </c>
      <c r="N21" s="6" t="s">
        <v>729</v>
      </c>
      <c r="O21" s="6" t="s">
        <v>729</v>
      </c>
      <c r="P21" s="6" t="s">
        <v>729</v>
      </c>
      <c r="Q21" s="6" t="s">
        <v>729</v>
      </c>
      <c r="R21" s="6" t="s">
        <v>729</v>
      </c>
      <c r="S21" s="6" t="s">
        <v>729</v>
      </c>
      <c r="T21" s="6" t="s">
        <v>729</v>
      </c>
      <c r="U21" s="6" t="s">
        <v>729</v>
      </c>
      <c r="V21" s="8" t="s">
        <v>729</v>
      </c>
    </row>
    <row r="22" ht="28" customHeight="1" spans="1:22">
      <c r="A22" s="16"/>
      <c r="B22" s="6" t="s">
        <v>729</v>
      </c>
      <c r="C22" s="6" t="s">
        <v>729</v>
      </c>
      <c r="D22" s="18" t="s">
        <v>1445</v>
      </c>
      <c r="E22" s="6" t="s">
        <v>729</v>
      </c>
      <c r="F22" s="11" t="s">
        <v>752</v>
      </c>
      <c r="G22" s="11" t="s">
        <v>756</v>
      </c>
      <c r="H22" s="11" t="s">
        <v>756</v>
      </c>
      <c r="I22" s="11" t="s">
        <v>756</v>
      </c>
      <c r="J22" s="11" t="s">
        <v>756</v>
      </c>
      <c r="K22" s="11" t="s">
        <v>756</v>
      </c>
      <c r="L22" s="11" t="s">
        <v>756</v>
      </c>
      <c r="M22" s="11" t="s">
        <v>729</v>
      </c>
      <c r="N22" s="11" t="s">
        <v>729</v>
      </c>
      <c r="O22" s="11" t="s">
        <v>729</v>
      </c>
      <c r="P22" s="11" t="s">
        <v>729</v>
      </c>
      <c r="Q22" s="11" t="s">
        <v>729</v>
      </c>
      <c r="R22" s="11" t="s">
        <v>729</v>
      </c>
      <c r="S22" s="11" t="s">
        <v>729</v>
      </c>
      <c r="T22" s="11" t="s">
        <v>729</v>
      </c>
      <c r="U22" s="11" t="s">
        <v>729</v>
      </c>
      <c r="V22" s="12" t="s">
        <v>729</v>
      </c>
    </row>
    <row r="23" ht="28" customHeight="1" spans="1:22">
      <c r="A23" s="16"/>
      <c r="B23" s="6" t="s">
        <v>729</v>
      </c>
      <c r="C23" s="6" t="s">
        <v>729</v>
      </c>
      <c r="D23" s="18" t="s">
        <v>1430</v>
      </c>
      <c r="E23" s="6" t="s">
        <v>729</v>
      </c>
      <c r="F23" s="11" t="s">
        <v>756</v>
      </c>
      <c r="G23" s="11" t="s">
        <v>752</v>
      </c>
      <c r="H23" s="11" t="s">
        <v>756</v>
      </c>
      <c r="I23" s="11" t="s">
        <v>756</v>
      </c>
      <c r="J23" s="11" t="s">
        <v>756</v>
      </c>
      <c r="K23" s="11" t="s">
        <v>756</v>
      </c>
      <c r="L23" s="11" t="s">
        <v>756</v>
      </c>
      <c r="M23" s="11" t="s">
        <v>729</v>
      </c>
      <c r="N23" s="11" t="s">
        <v>729</v>
      </c>
      <c r="O23" s="11" t="s">
        <v>729</v>
      </c>
      <c r="P23" s="11" t="s">
        <v>729</v>
      </c>
      <c r="Q23" s="11" t="s">
        <v>729</v>
      </c>
      <c r="R23" s="11" t="s">
        <v>729</v>
      </c>
      <c r="S23" s="11" t="s">
        <v>729</v>
      </c>
      <c r="T23" s="11" t="s">
        <v>729</v>
      </c>
      <c r="U23" s="11" t="s">
        <v>729</v>
      </c>
      <c r="V23" s="12" t="s">
        <v>729</v>
      </c>
    </row>
    <row r="24" ht="53" customHeight="1" spans="1:22">
      <c r="A24" s="16"/>
      <c r="B24" s="6" t="s">
        <v>729</v>
      </c>
      <c r="C24" s="6" t="s">
        <v>729</v>
      </c>
      <c r="D24" s="18" t="s">
        <v>1446</v>
      </c>
      <c r="E24" s="6" t="s">
        <v>729</v>
      </c>
      <c r="F24" s="11" t="s">
        <v>756</v>
      </c>
      <c r="G24" s="11" t="s">
        <v>756</v>
      </c>
      <c r="H24" s="11" t="s">
        <v>756</v>
      </c>
      <c r="I24" s="11" t="s">
        <v>752</v>
      </c>
      <c r="J24" s="11" t="s">
        <v>756</v>
      </c>
      <c r="K24" s="11" t="s">
        <v>756</v>
      </c>
      <c r="L24" s="11" t="s">
        <v>756</v>
      </c>
      <c r="M24" s="11" t="s">
        <v>729</v>
      </c>
      <c r="N24" s="11" t="s">
        <v>729</v>
      </c>
      <c r="O24" s="11" t="s">
        <v>729</v>
      </c>
      <c r="P24" s="11" t="s">
        <v>729</v>
      </c>
      <c r="Q24" s="11" t="s">
        <v>729</v>
      </c>
      <c r="R24" s="11" t="s">
        <v>729</v>
      </c>
      <c r="S24" s="11" t="s">
        <v>729</v>
      </c>
      <c r="T24" s="11" t="s">
        <v>729</v>
      </c>
      <c r="U24" s="11" t="s">
        <v>729</v>
      </c>
      <c r="V24" s="12" t="s">
        <v>729</v>
      </c>
    </row>
    <row r="25" ht="65.5" customHeight="1" spans="1:22">
      <c r="A25" s="16"/>
      <c r="B25" s="6" t="s">
        <v>729</v>
      </c>
      <c r="C25" s="6" t="s">
        <v>729</v>
      </c>
      <c r="D25" s="18" t="s">
        <v>1447</v>
      </c>
      <c r="E25" s="6" t="s">
        <v>729</v>
      </c>
      <c r="F25" s="11" t="s">
        <v>756</v>
      </c>
      <c r="G25" s="11" t="s">
        <v>756</v>
      </c>
      <c r="H25" s="11" t="s">
        <v>756</v>
      </c>
      <c r="I25" s="11" t="s">
        <v>756</v>
      </c>
      <c r="J25" s="11" t="s">
        <v>752</v>
      </c>
      <c r="K25" s="11" t="s">
        <v>756</v>
      </c>
      <c r="L25" s="11" t="s">
        <v>756</v>
      </c>
      <c r="M25" s="11" t="s">
        <v>729</v>
      </c>
      <c r="N25" s="11" t="s">
        <v>729</v>
      </c>
      <c r="O25" s="11" t="s">
        <v>729</v>
      </c>
      <c r="P25" s="11" t="s">
        <v>729</v>
      </c>
      <c r="Q25" s="11" t="s">
        <v>729</v>
      </c>
      <c r="R25" s="11" t="s">
        <v>729</v>
      </c>
      <c r="S25" s="11" t="s">
        <v>729</v>
      </c>
      <c r="T25" s="11" t="s">
        <v>729</v>
      </c>
      <c r="U25" s="11" t="s">
        <v>729</v>
      </c>
      <c r="V25" s="12" t="s">
        <v>729</v>
      </c>
    </row>
    <row r="26" ht="65.5" customHeight="1" spans="1:22">
      <c r="A26" s="16"/>
      <c r="B26" s="6" t="s">
        <v>729</v>
      </c>
      <c r="C26" s="6" t="s">
        <v>729</v>
      </c>
      <c r="D26" s="18" t="s">
        <v>1448</v>
      </c>
      <c r="E26" s="6" t="s">
        <v>729</v>
      </c>
      <c r="F26" s="11" t="s">
        <v>756</v>
      </c>
      <c r="G26" s="11" t="s">
        <v>756</v>
      </c>
      <c r="H26" s="11" t="s">
        <v>756</v>
      </c>
      <c r="I26" s="11" t="s">
        <v>756</v>
      </c>
      <c r="J26" s="11" t="s">
        <v>756</v>
      </c>
      <c r="K26" s="11" t="s">
        <v>752</v>
      </c>
      <c r="L26" s="11" t="s">
        <v>756</v>
      </c>
      <c r="M26" s="11" t="s">
        <v>729</v>
      </c>
      <c r="N26" s="11" t="s">
        <v>729</v>
      </c>
      <c r="O26" s="11" t="s">
        <v>729</v>
      </c>
      <c r="P26" s="11" t="s">
        <v>729</v>
      </c>
      <c r="Q26" s="11" t="s">
        <v>729</v>
      </c>
      <c r="R26" s="11" t="s">
        <v>729</v>
      </c>
      <c r="S26" s="11" t="s">
        <v>729</v>
      </c>
      <c r="T26" s="11" t="s">
        <v>729</v>
      </c>
      <c r="U26" s="11" t="s">
        <v>729</v>
      </c>
      <c r="V26" s="12" t="s">
        <v>729</v>
      </c>
    </row>
    <row r="27" ht="18" customHeight="1" spans="1:22">
      <c r="A27" s="19" t="s">
        <v>696</v>
      </c>
      <c r="B27" s="20" t="s">
        <v>765</v>
      </c>
      <c r="C27" s="20"/>
      <c r="D27" s="20"/>
      <c r="E27" s="6" t="s">
        <v>729</v>
      </c>
      <c r="F27" s="11" t="s">
        <v>63</v>
      </c>
      <c r="G27" s="11" t="s">
        <v>63</v>
      </c>
      <c r="H27" s="11" t="s">
        <v>670</v>
      </c>
      <c r="I27" s="11" t="s">
        <v>63</v>
      </c>
      <c r="J27" s="11" t="s">
        <v>63</v>
      </c>
      <c r="K27" s="11" t="s">
        <v>63</v>
      </c>
      <c r="L27" s="11" t="s">
        <v>670</v>
      </c>
      <c r="M27" s="11" t="s">
        <v>729</v>
      </c>
      <c r="N27" s="11" t="s">
        <v>729</v>
      </c>
      <c r="O27" s="11" t="s">
        <v>729</v>
      </c>
      <c r="P27" s="11" t="s">
        <v>729</v>
      </c>
      <c r="Q27" s="11" t="s">
        <v>729</v>
      </c>
      <c r="R27" s="11" t="s">
        <v>729</v>
      </c>
      <c r="S27" s="11" t="s">
        <v>729</v>
      </c>
      <c r="T27" s="11" t="s">
        <v>729</v>
      </c>
      <c r="U27" s="11" t="s">
        <v>729</v>
      </c>
      <c r="V27" s="12" t="s">
        <v>729</v>
      </c>
    </row>
    <row r="28" ht="18" customHeight="1" spans="1:22">
      <c r="A28" s="19"/>
      <c r="B28" s="20" t="s">
        <v>698</v>
      </c>
      <c r="C28" s="20"/>
      <c r="D28" s="20"/>
      <c r="E28" s="6" t="s">
        <v>729</v>
      </c>
      <c r="F28" s="11" t="s">
        <v>766</v>
      </c>
      <c r="G28" s="11" t="s">
        <v>766</v>
      </c>
      <c r="H28" s="11" t="s">
        <v>766</v>
      </c>
      <c r="I28" s="11" t="s">
        <v>766</v>
      </c>
      <c r="J28" s="11" t="s">
        <v>766</v>
      </c>
      <c r="K28" s="11" t="s">
        <v>766</v>
      </c>
      <c r="L28" s="11" t="s">
        <v>766</v>
      </c>
      <c r="M28" s="11" t="s">
        <v>729</v>
      </c>
      <c r="N28" s="11" t="s">
        <v>729</v>
      </c>
      <c r="O28" s="11" t="s">
        <v>729</v>
      </c>
      <c r="P28" s="11" t="s">
        <v>729</v>
      </c>
      <c r="Q28" s="11" t="s">
        <v>729</v>
      </c>
      <c r="R28" s="11" t="s">
        <v>729</v>
      </c>
      <c r="S28" s="11" t="s">
        <v>729</v>
      </c>
      <c r="T28" s="11" t="s">
        <v>729</v>
      </c>
      <c r="U28" s="11" t="s">
        <v>729</v>
      </c>
      <c r="V28" s="12" t="s">
        <v>729</v>
      </c>
    </row>
    <row r="29" ht="18" customHeight="1" spans="1:22">
      <c r="A29" s="19"/>
      <c r="B29" s="20" t="s">
        <v>699</v>
      </c>
      <c r="C29" s="20"/>
      <c r="D29" s="20"/>
      <c r="E29" s="6" t="s">
        <v>729</v>
      </c>
      <c r="F29" s="6" t="s">
        <v>729</v>
      </c>
      <c r="G29" s="6" t="s">
        <v>729</v>
      </c>
      <c r="H29" s="6" t="s">
        <v>729</v>
      </c>
      <c r="I29" s="6" t="s">
        <v>729</v>
      </c>
      <c r="J29" s="6" t="s">
        <v>729</v>
      </c>
      <c r="K29" s="6" t="s">
        <v>729</v>
      </c>
      <c r="L29" s="6" t="s">
        <v>729</v>
      </c>
      <c r="M29" s="6" t="s">
        <v>729</v>
      </c>
      <c r="N29" s="6" t="s">
        <v>729</v>
      </c>
      <c r="O29" s="6" t="s">
        <v>729</v>
      </c>
      <c r="P29" s="6" t="s">
        <v>729</v>
      </c>
      <c r="Q29" s="6" t="s">
        <v>729</v>
      </c>
      <c r="R29" s="6" t="s">
        <v>729</v>
      </c>
      <c r="S29" s="6" t="s">
        <v>729</v>
      </c>
      <c r="T29" s="6" t="s">
        <v>729</v>
      </c>
      <c r="U29" s="6" t="s">
        <v>729</v>
      </c>
      <c r="V29" s="8" t="s">
        <v>729</v>
      </c>
    </row>
    <row r="30" ht="18" customHeight="1" spans="1:22">
      <c r="A30" s="19"/>
      <c r="B30" s="21" t="s">
        <v>700</v>
      </c>
      <c r="C30" s="21"/>
      <c r="D30" s="21"/>
      <c r="E30" s="22" t="s">
        <v>729</v>
      </c>
      <c r="F30" s="22" t="s">
        <v>729</v>
      </c>
      <c r="G30" s="22" t="s">
        <v>729</v>
      </c>
      <c r="H30" s="22" t="s">
        <v>729</v>
      </c>
      <c r="I30" s="22" t="s">
        <v>729</v>
      </c>
      <c r="J30" s="22" t="s">
        <v>729</v>
      </c>
      <c r="K30" s="22" t="s">
        <v>729</v>
      </c>
      <c r="L30" s="22" t="s">
        <v>729</v>
      </c>
      <c r="M30" s="22" t="s">
        <v>729</v>
      </c>
      <c r="N30" s="22" t="s">
        <v>729</v>
      </c>
      <c r="O30" s="22" t="s">
        <v>729</v>
      </c>
      <c r="P30" s="22" t="s">
        <v>729</v>
      </c>
      <c r="Q30" s="22" t="s">
        <v>729</v>
      </c>
      <c r="R30" s="22" t="s">
        <v>729</v>
      </c>
      <c r="S30" s="22" t="s">
        <v>729</v>
      </c>
      <c r="T30" s="22" t="s">
        <v>729</v>
      </c>
      <c r="U30" s="22" t="s">
        <v>729</v>
      </c>
      <c r="V30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27:D27"/>
    <mergeCell ref="B28:D28"/>
    <mergeCell ref="B29:D29"/>
    <mergeCell ref="B30:D30"/>
    <mergeCell ref="A7:A16"/>
    <mergeCell ref="A17:A26"/>
    <mergeCell ref="A27:A30"/>
  </mergeCells>
  <dataValidations count="3">
    <dataValidation type="list" allowBlank="1" sqref="F8:V8 F10:V16 F18:V20 F22:V26">
      <formula1>"O,-"</formula1>
    </dataValidation>
    <dataValidation type="list" allowBlank="1" sqref="F27:V27">
      <formula1>"N,A,B"</formula1>
    </dataValidation>
    <dataValidation type="list" allowBlank="1" sqref="F28:V28">
      <formula1>"P,F"</formula1>
    </dataValidation>
  </dataValidations>
  <pageMargins left="0.7" right="0.7" top="0.75" bottom="0.75" header="0.3" footer="0.3"/>
  <pageSetup paperSize="1" orientation="portrait"/>
  <headerFooter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8"/>
  <sheetViews>
    <sheetView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524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534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1449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7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1</v>
      </c>
      <c r="M5" s="11">
        <v>6</v>
      </c>
      <c r="N5" s="11">
        <v>0</v>
      </c>
      <c r="O5" s="12">
        <v>7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687</v>
      </c>
      <c r="H6" s="14" t="s">
        <v>688</v>
      </c>
      <c r="I6" s="14" t="s">
        <v>689</v>
      </c>
      <c r="J6" s="14" t="s">
        <v>863</v>
      </c>
      <c r="K6" s="14" t="s">
        <v>864</v>
      </c>
      <c r="L6" s="14" t="s">
        <v>1412</v>
      </c>
      <c r="M6" s="14" t="s">
        <v>729</v>
      </c>
      <c r="N6" s="14" t="s">
        <v>729</v>
      </c>
      <c r="O6" s="14" t="s">
        <v>729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15.5" customHeight="1" spans="1:22">
      <c r="A7" s="16" t="s">
        <v>690</v>
      </c>
      <c r="B7" s="17" t="s">
        <v>750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28" customHeight="1" spans="1:22">
      <c r="A8" s="16"/>
      <c r="B8" s="6" t="s">
        <v>729</v>
      </c>
      <c r="C8" s="6" t="s">
        <v>729</v>
      </c>
      <c r="D8" s="18" t="s">
        <v>529</v>
      </c>
      <c r="E8" s="6" t="s">
        <v>729</v>
      </c>
      <c r="F8" s="11" t="s">
        <v>752</v>
      </c>
      <c r="G8" s="11" t="s">
        <v>752</v>
      </c>
      <c r="H8" s="11" t="s">
        <v>752</v>
      </c>
      <c r="I8" s="11" t="s">
        <v>752</v>
      </c>
      <c r="J8" s="11" t="s">
        <v>752</v>
      </c>
      <c r="K8" s="11" t="s">
        <v>752</v>
      </c>
      <c r="L8" s="11" t="s">
        <v>752</v>
      </c>
      <c r="M8" s="11" t="s">
        <v>729</v>
      </c>
      <c r="N8" s="11" t="s">
        <v>729</v>
      </c>
      <c r="O8" s="11" t="s">
        <v>729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15.5" customHeight="1" spans="1:22">
      <c r="A9" s="16"/>
      <c r="B9" s="17" t="s">
        <v>1416</v>
      </c>
      <c r="C9" s="6" t="s">
        <v>729</v>
      </c>
      <c r="D9" s="6" t="s">
        <v>729</v>
      </c>
      <c r="E9" s="6" t="s">
        <v>729</v>
      </c>
      <c r="F9" s="6" t="s">
        <v>729</v>
      </c>
      <c r="G9" s="6" t="s">
        <v>729</v>
      </c>
      <c r="H9" s="6" t="s">
        <v>729</v>
      </c>
      <c r="I9" s="6" t="s">
        <v>729</v>
      </c>
      <c r="J9" s="6" t="s">
        <v>729</v>
      </c>
      <c r="K9" s="6" t="s">
        <v>729</v>
      </c>
      <c r="L9" s="6" t="s">
        <v>729</v>
      </c>
      <c r="M9" s="6" t="s">
        <v>729</v>
      </c>
      <c r="N9" s="6" t="s">
        <v>729</v>
      </c>
      <c r="O9" s="6" t="s">
        <v>729</v>
      </c>
      <c r="P9" s="6" t="s">
        <v>729</v>
      </c>
      <c r="Q9" s="6" t="s">
        <v>729</v>
      </c>
      <c r="R9" s="6" t="s">
        <v>729</v>
      </c>
      <c r="S9" s="6" t="s">
        <v>729</v>
      </c>
      <c r="T9" s="6" t="s">
        <v>729</v>
      </c>
      <c r="U9" s="6" t="s">
        <v>729</v>
      </c>
      <c r="V9" s="8" t="s">
        <v>729</v>
      </c>
    </row>
    <row r="10" ht="15.5" customHeight="1" spans="1:22">
      <c r="A10" s="16"/>
      <c r="B10" s="6" t="s">
        <v>729</v>
      </c>
      <c r="C10" s="6" t="s">
        <v>729</v>
      </c>
      <c r="D10" s="18" t="s">
        <v>1450</v>
      </c>
      <c r="E10" s="6" t="s">
        <v>729</v>
      </c>
      <c r="F10" s="11" t="s">
        <v>752</v>
      </c>
      <c r="G10" s="11" t="s">
        <v>756</v>
      </c>
      <c r="H10" s="11" t="s">
        <v>752</v>
      </c>
      <c r="I10" s="11" t="s">
        <v>752</v>
      </c>
      <c r="J10" s="11" t="s">
        <v>752</v>
      </c>
      <c r="K10" s="11" t="s">
        <v>752</v>
      </c>
      <c r="L10" s="11" t="s">
        <v>752</v>
      </c>
      <c r="M10" s="11" t="s">
        <v>729</v>
      </c>
      <c r="N10" s="11" t="s">
        <v>729</v>
      </c>
      <c r="O10" s="11" t="s">
        <v>729</v>
      </c>
      <c r="P10" s="11" t="s">
        <v>729</v>
      </c>
      <c r="Q10" s="11" t="s">
        <v>729</v>
      </c>
      <c r="R10" s="11" t="s">
        <v>729</v>
      </c>
      <c r="S10" s="11" t="s">
        <v>729</v>
      </c>
      <c r="T10" s="11" t="s">
        <v>729</v>
      </c>
      <c r="U10" s="11" t="s">
        <v>729</v>
      </c>
      <c r="V10" s="12" t="s">
        <v>729</v>
      </c>
    </row>
    <row r="11" ht="15.5" customHeight="1" spans="1:22">
      <c r="A11" s="16"/>
      <c r="B11" s="6" t="s">
        <v>729</v>
      </c>
      <c r="C11" s="6" t="s">
        <v>729</v>
      </c>
      <c r="D11" s="18" t="s">
        <v>1415</v>
      </c>
      <c r="E11" s="6" t="s">
        <v>729</v>
      </c>
      <c r="F11" s="11" t="s">
        <v>756</v>
      </c>
      <c r="G11" s="11" t="s">
        <v>752</v>
      </c>
      <c r="H11" s="11" t="s">
        <v>756</v>
      </c>
      <c r="I11" s="11" t="s">
        <v>756</v>
      </c>
      <c r="J11" s="11" t="s">
        <v>756</v>
      </c>
      <c r="K11" s="11" t="s">
        <v>756</v>
      </c>
      <c r="L11" s="11" t="s">
        <v>756</v>
      </c>
      <c r="M11" s="11" t="s">
        <v>729</v>
      </c>
      <c r="N11" s="11" t="s">
        <v>729</v>
      </c>
      <c r="O11" s="11" t="s">
        <v>729</v>
      </c>
      <c r="P11" s="11" t="s">
        <v>729</v>
      </c>
      <c r="Q11" s="11" t="s">
        <v>729</v>
      </c>
      <c r="R11" s="11" t="s">
        <v>729</v>
      </c>
      <c r="S11" s="11" t="s">
        <v>729</v>
      </c>
      <c r="T11" s="11" t="s">
        <v>729</v>
      </c>
      <c r="U11" s="11" t="s">
        <v>729</v>
      </c>
      <c r="V11" s="12" t="s">
        <v>729</v>
      </c>
    </row>
    <row r="12" ht="15.5" customHeight="1" spans="1:22">
      <c r="A12" s="16"/>
      <c r="B12" s="17" t="s">
        <v>1451</v>
      </c>
      <c r="C12" s="6" t="s">
        <v>729</v>
      </c>
      <c r="D12" s="6" t="s">
        <v>729</v>
      </c>
      <c r="E12" s="6" t="s">
        <v>729</v>
      </c>
      <c r="F12" s="6" t="s">
        <v>729</v>
      </c>
      <c r="G12" s="6" t="s">
        <v>729</v>
      </c>
      <c r="H12" s="6" t="s">
        <v>729</v>
      </c>
      <c r="I12" s="6" t="s">
        <v>729</v>
      </c>
      <c r="J12" s="6" t="s">
        <v>729</v>
      </c>
      <c r="K12" s="6" t="s">
        <v>729</v>
      </c>
      <c r="L12" s="6" t="s">
        <v>729</v>
      </c>
      <c r="M12" s="6" t="s">
        <v>729</v>
      </c>
      <c r="N12" s="6" t="s">
        <v>729</v>
      </c>
      <c r="O12" s="6" t="s">
        <v>729</v>
      </c>
      <c r="P12" s="6" t="s">
        <v>729</v>
      </c>
      <c r="Q12" s="6" t="s">
        <v>729</v>
      </c>
      <c r="R12" s="6" t="s">
        <v>729</v>
      </c>
      <c r="S12" s="6" t="s">
        <v>729</v>
      </c>
      <c r="T12" s="6" t="s">
        <v>729</v>
      </c>
      <c r="U12" s="6" t="s">
        <v>729</v>
      </c>
      <c r="V12" s="8" t="s">
        <v>729</v>
      </c>
    </row>
    <row r="13" ht="15.5" customHeight="1" spans="1:22">
      <c r="A13" s="16"/>
      <c r="B13" s="6" t="s">
        <v>729</v>
      </c>
      <c r="C13" s="6" t="s">
        <v>729</v>
      </c>
      <c r="D13" s="18" t="s">
        <v>1452</v>
      </c>
      <c r="E13" s="6" t="s">
        <v>729</v>
      </c>
      <c r="F13" s="11" t="s">
        <v>752</v>
      </c>
      <c r="G13" s="11" t="s">
        <v>752</v>
      </c>
      <c r="H13" s="11" t="s">
        <v>756</v>
      </c>
      <c r="I13" s="11" t="s">
        <v>752</v>
      </c>
      <c r="J13" s="11" t="s">
        <v>752</v>
      </c>
      <c r="K13" s="11" t="s">
        <v>752</v>
      </c>
      <c r="L13" s="11" t="s">
        <v>752</v>
      </c>
      <c r="M13" s="11" t="s">
        <v>729</v>
      </c>
      <c r="N13" s="11" t="s">
        <v>729</v>
      </c>
      <c r="O13" s="11" t="s">
        <v>729</v>
      </c>
      <c r="P13" s="11" t="s">
        <v>729</v>
      </c>
      <c r="Q13" s="11" t="s">
        <v>729</v>
      </c>
      <c r="R13" s="11" t="s">
        <v>729</v>
      </c>
      <c r="S13" s="11" t="s">
        <v>729</v>
      </c>
      <c r="T13" s="11" t="s">
        <v>729</v>
      </c>
      <c r="U13" s="11" t="s">
        <v>729</v>
      </c>
      <c r="V13" s="12" t="s">
        <v>729</v>
      </c>
    </row>
    <row r="14" ht="15.5" customHeight="1" spans="1:22">
      <c r="A14" s="16"/>
      <c r="B14" s="6" t="s">
        <v>729</v>
      </c>
      <c r="C14" s="6" t="s">
        <v>729</v>
      </c>
      <c r="D14" s="18" t="s">
        <v>1453</v>
      </c>
      <c r="E14" s="6" t="s">
        <v>729</v>
      </c>
      <c r="F14" s="11" t="s">
        <v>756</v>
      </c>
      <c r="G14" s="11" t="s">
        <v>756</v>
      </c>
      <c r="H14" s="11" t="s">
        <v>752</v>
      </c>
      <c r="I14" s="11" t="s">
        <v>756</v>
      </c>
      <c r="J14" s="11" t="s">
        <v>756</v>
      </c>
      <c r="K14" s="11" t="s">
        <v>756</v>
      </c>
      <c r="L14" s="11" t="s">
        <v>756</v>
      </c>
      <c r="M14" s="11" t="s">
        <v>729</v>
      </c>
      <c r="N14" s="11" t="s">
        <v>729</v>
      </c>
      <c r="O14" s="11" t="s">
        <v>729</v>
      </c>
      <c r="P14" s="11" t="s">
        <v>729</v>
      </c>
      <c r="Q14" s="11" t="s">
        <v>729</v>
      </c>
      <c r="R14" s="11" t="s">
        <v>729</v>
      </c>
      <c r="S14" s="11" t="s">
        <v>729</v>
      </c>
      <c r="T14" s="11" t="s">
        <v>729</v>
      </c>
      <c r="U14" s="11" t="s">
        <v>729</v>
      </c>
      <c r="V14" s="12" t="s">
        <v>729</v>
      </c>
    </row>
    <row r="15" ht="15.5" customHeight="1" spans="1:22">
      <c r="A15" s="16"/>
      <c r="B15" s="17" t="s">
        <v>1420</v>
      </c>
      <c r="C15" s="6" t="s">
        <v>729</v>
      </c>
      <c r="D15" s="6" t="s">
        <v>729</v>
      </c>
      <c r="E15" s="6" t="s">
        <v>729</v>
      </c>
      <c r="F15" s="6" t="s">
        <v>729</v>
      </c>
      <c r="G15" s="6" t="s">
        <v>729</v>
      </c>
      <c r="H15" s="6" t="s">
        <v>729</v>
      </c>
      <c r="I15" s="6" t="s">
        <v>729</v>
      </c>
      <c r="J15" s="6" t="s">
        <v>729</v>
      </c>
      <c r="K15" s="6" t="s">
        <v>729</v>
      </c>
      <c r="L15" s="6" t="s">
        <v>729</v>
      </c>
      <c r="M15" s="6" t="s">
        <v>729</v>
      </c>
      <c r="N15" s="6" t="s">
        <v>729</v>
      </c>
      <c r="O15" s="6" t="s">
        <v>729</v>
      </c>
      <c r="P15" s="6" t="s">
        <v>729</v>
      </c>
      <c r="Q15" s="6" t="s">
        <v>729</v>
      </c>
      <c r="R15" s="6" t="s">
        <v>729</v>
      </c>
      <c r="S15" s="6" t="s">
        <v>729</v>
      </c>
      <c r="T15" s="6" t="s">
        <v>729</v>
      </c>
      <c r="U15" s="6" t="s">
        <v>729</v>
      </c>
      <c r="V15" s="8" t="s">
        <v>729</v>
      </c>
    </row>
    <row r="16" ht="53" customHeight="1" spans="1:22">
      <c r="A16" s="16"/>
      <c r="B16" s="6" t="s">
        <v>729</v>
      </c>
      <c r="C16" s="6" t="s">
        <v>729</v>
      </c>
      <c r="D16" s="18" t="s">
        <v>1454</v>
      </c>
      <c r="E16" s="6" t="s">
        <v>729</v>
      </c>
      <c r="F16" s="11" t="s">
        <v>752</v>
      </c>
      <c r="G16" s="11" t="s">
        <v>752</v>
      </c>
      <c r="H16" s="11" t="s">
        <v>752</v>
      </c>
      <c r="I16" s="11" t="s">
        <v>756</v>
      </c>
      <c r="J16" s="11" t="s">
        <v>756</v>
      </c>
      <c r="K16" s="11" t="s">
        <v>752</v>
      </c>
      <c r="L16" s="11" t="s">
        <v>752</v>
      </c>
      <c r="M16" s="11" t="s">
        <v>729</v>
      </c>
      <c r="N16" s="11" t="s">
        <v>729</v>
      </c>
      <c r="O16" s="11" t="s">
        <v>729</v>
      </c>
      <c r="P16" s="11" t="s">
        <v>729</v>
      </c>
      <c r="Q16" s="11" t="s">
        <v>729</v>
      </c>
      <c r="R16" s="11" t="s">
        <v>729</v>
      </c>
      <c r="S16" s="11" t="s">
        <v>729</v>
      </c>
      <c r="T16" s="11" t="s">
        <v>729</v>
      </c>
      <c r="U16" s="11" t="s">
        <v>729</v>
      </c>
      <c r="V16" s="12" t="s">
        <v>729</v>
      </c>
    </row>
    <row r="17" ht="28" customHeight="1" spans="1:22">
      <c r="A17" s="16"/>
      <c r="B17" s="6" t="s">
        <v>729</v>
      </c>
      <c r="C17" s="6" t="s">
        <v>729</v>
      </c>
      <c r="D17" s="18" t="s">
        <v>1455</v>
      </c>
      <c r="E17" s="6" t="s">
        <v>729</v>
      </c>
      <c r="F17" s="11" t="s">
        <v>756</v>
      </c>
      <c r="G17" s="11" t="s">
        <v>756</v>
      </c>
      <c r="H17" s="11" t="s">
        <v>756</v>
      </c>
      <c r="I17" s="11" t="s">
        <v>752</v>
      </c>
      <c r="J17" s="11" t="s">
        <v>756</v>
      </c>
      <c r="K17" s="11" t="s">
        <v>756</v>
      </c>
      <c r="L17" s="11" t="s">
        <v>756</v>
      </c>
      <c r="M17" s="11" t="s">
        <v>729</v>
      </c>
      <c r="N17" s="11" t="s">
        <v>729</v>
      </c>
      <c r="O17" s="11" t="s">
        <v>729</v>
      </c>
      <c r="P17" s="11" t="s">
        <v>729</v>
      </c>
      <c r="Q17" s="11" t="s">
        <v>729</v>
      </c>
      <c r="R17" s="11" t="s">
        <v>729</v>
      </c>
      <c r="S17" s="11" t="s">
        <v>729</v>
      </c>
      <c r="T17" s="11" t="s">
        <v>729</v>
      </c>
      <c r="U17" s="11" t="s">
        <v>729</v>
      </c>
      <c r="V17" s="12" t="s">
        <v>729</v>
      </c>
    </row>
    <row r="18" ht="53" customHeight="1" spans="1:22">
      <c r="A18" s="16"/>
      <c r="B18" s="6" t="s">
        <v>729</v>
      </c>
      <c r="C18" s="6" t="s">
        <v>729</v>
      </c>
      <c r="D18" s="18" t="s">
        <v>1456</v>
      </c>
      <c r="E18" s="6" t="s">
        <v>729</v>
      </c>
      <c r="F18" s="11" t="s">
        <v>756</v>
      </c>
      <c r="G18" s="11" t="s">
        <v>756</v>
      </c>
      <c r="H18" s="11" t="s">
        <v>756</v>
      </c>
      <c r="I18" s="11" t="s">
        <v>756</v>
      </c>
      <c r="J18" s="11" t="s">
        <v>752</v>
      </c>
      <c r="K18" s="11" t="s">
        <v>756</v>
      </c>
      <c r="L18" s="11" t="s">
        <v>756</v>
      </c>
      <c r="M18" s="11" t="s">
        <v>729</v>
      </c>
      <c r="N18" s="11" t="s">
        <v>729</v>
      </c>
      <c r="O18" s="11" t="s">
        <v>729</v>
      </c>
      <c r="P18" s="11" t="s">
        <v>729</v>
      </c>
      <c r="Q18" s="11" t="s">
        <v>729</v>
      </c>
      <c r="R18" s="11" t="s">
        <v>729</v>
      </c>
      <c r="S18" s="11" t="s">
        <v>729</v>
      </c>
      <c r="T18" s="11" t="s">
        <v>729</v>
      </c>
      <c r="U18" s="11" t="s">
        <v>729</v>
      </c>
      <c r="V18" s="12" t="s">
        <v>729</v>
      </c>
    </row>
    <row r="19" ht="15.5" customHeight="1" spans="1:22">
      <c r="A19" s="16"/>
      <c r="B19" s="17" t="s">
        <v>1422</v>
      </c>
      <c r="C19" s="6" t="s">
        <v>729</v>
      </c>
      <c r="D19" s="6" t="s">
        <v>729</v>
      </c>
      <c r="E19" s="6" t="s">
        <v>729</v>
      </c>
      <c r="F19" s="6" t="s">
        <v>729</v>
      </c>
      <c r="G19" s="6" t="s">
        <v>729</v>
      </c>
      <c r="H19" s="6" t="s">
        <v>729</v>
      </c>
      <c r="I19" s="6" t="s">
        <v>729</v>
      </c>
      <c r="J19" s="6" t="s">
        <v>729</v>
      </c>
      <c r="K19" s="6" t="s">
        <v>729</v>
      </c>
      <c r="L19" s="6" t="s">
        <v>729</v>
      </c>
      <c r="M19" s="6" t="s">
        <v>729</v>
      </c>
      <c r="N19" s="6" t="s">
        <v>729</v>
      </c>
      <c r="O19" s="6" t="s">
        <v>729</v>
      </c>
      <c r="P19" s="6" t="s">
        <v>729</v>
      </c>
      <c r="Q19" s="6" t="s">
        <v>729</v>
      </c>
      <c r="R19" s="6" t="s">
        <v>729</v>
      </c>
      <c r="S19" s="6" t="s">
        <v>729</v>
      </c>
      <c r="T19" s="6" t="s">
        <v>729</v>
      </c>
      <c r="U19" s="6" t="s">
        <v>729</v>
      </c>
      <c r="V19" s="8" t="s">
        <v>729</v>
      </c>
    </row>
    <row r="20" ht="28" customHeight="1" spans="1:22">
      <c r="A20" s="16"/>
      <c r="B20" s="6" t="s">
        <v>729</v>
      </c>
      <c r="C20" s="6" t="s">
        <v>729</v>
      </c>
      <c r="D20" s="18" t="s">
        <v>1457</v>
      </c>
      <c r="E20" s="6" t="s">
        <v>729</v>
      </c>
      <c r="F20" s="11" t="s">
        <v>752</v>
      </c>
      <c r="G20" s="11" t="s">
        <v>752</v>
      </c>
      <c r="H20" s="11" t="s">
        <v>752</v>
      </c>
      <c r="I20" s="11" t="s">
        <v>752</v>
      </c>
      <c r="J20" s="11" t="s">
        <v>752</v>
      </c>
      <c r="K20" s="11" t="s">
        <v>756</v>
      </c>
      <c r="L20" s="11" t="s">
        <v>752</v>
      </c>
      <c r="M20" s="11" t="s">
        <v>729</v>
      </c>
      <c r="N20" s="11" t="s">
        <v>729</v>
      </c>
      <c r="O20" s="11" t="s">
        <v>729</v>
      </c>
      <c r="P20" s="11" t="s">
        <v>729</v>
      </c>
      <c r="Q20" s="11" t="s">
        <v>729</v>
      </c>
      <c r="R20" s="11" t="s">
        <v>729</v>
      </c>
      <c r="S20" s="11" t="s">
        <v>729</v>
      </c>
      <c r="T20" s="11" t="s">
        <v>729</v>
      </c>
      <c r="U20" s="11" t="s">
        <v>729</v>
      </c>
      <c r="V20" s="12" t="s">
        <v>729</v>
      </c>
    </row>
    <row r="21" ht="15.5" customHeight="1" spans="1:22">
      <c r="A21" s="16"/>
      <c r="B21" s="6" t="s">
        <v>729</v>
      </c>
      <c r="C21" s="6" t="s">
        <v>729</v>
      </c>
      <c r="D21" s="18" t="s">
        <v>1458</v>
      </c>
      <c r="E21" s="6" t="s">
        <v>729</v>
      </c>
      <c r="F21" s="11" t="s">
        <v>756</v>
      </c>
      <c r="G21" s="11" t="s">
        <v>756</v>
      </c>
      <c r="H21" s="11" t="s">
        <v>756</v>
      </c>
      <c r="I21" s="11" t="s">
        <v>756</v>
      </c>
      <c r="J21" s="11" t="s">
        <v>756</v>
      </c>
      <c r="K21" s="11" t="s">
        <v>752</v>
      </c>
      <c r="L21" s="11" t="s">
        <v>756</v>
      </c>
      <c r="M21" s="11" t="s">
        <v>729</v>
      </c>
      <c r="N21" s="11" t="s">
        <v>729</v>
      </c>
      <c r="O21" s="11" t="s">
        <v>729</v>
      </c>
      <c r="P21" s="11" t="s">
        <v>729</v>
      </c>
      <c r="Q21" s="11" t="s">
        <v>729</v>
      </c>
      <c r="R21" s="11" t="s">
        <v>729</v>
      </c>
      <c r="S21" s="11" t="s">
        <v>729</v>
      </c>
      <c r="T21" s="11" t="s">
        <v>729</v>
      </c>
      <c r="U21" s="11" t="s">
        <v>729</v>
      </c>
      <c r="V21" s="12" t="s">
        <v>729</v>
      </c>
    </row>
    <row r="22" ht="15.5" customHeight="1" spans="1:22">
      <c r="A22" s="16"/>
      <c r="B22" s="17" t="s">
        <v>1459</v>
      </c>
      <c r="C22" s="6" t="s">
        <v>729</v>
      </c>
      <c r="D22" s="6" t="s">
        <v>729</v>
      </c>
      <c r="E22" s="6" t="s">
        <v>729</v>
      </c>
      <c r="F22" s="6" t="s">
        <v>729</v>
      </c>
      <c r="G22" s="6" t="s">
        <v>729</v>
      </c>
      <c r="H22" s="6" t="s">
        <v>729</v>
      </c>
      <c r="I22" s="6" t="s">
        <v>729</v>
      </c>
      <c r="J22" s="6" t="s">
        <v>729</v>
      </c>
      <c r="K22" s="6" t="s">
        <v>729</v>
      </c>
      <c r="L22" s="6" t="s">
        <v>729</v>
      </c>
      <c r="M22" s="6" t="s">
        <v>729</v>
      </c>
      <c r="N22" s="6" t="s">
        <v>729</v>
      </c>
      <c r="O22" s="6" t="s">
        <v>729</v>
      </c>
      <c r="P22" s="6" t="s">
        <v>729</v>
      </c>
      <c r="Q22" s="6" t="s">
        <v>729</v>
      </c>
      <c r="R22" s="6" t="s">
        <v>729</v>
      </c>
      <c r="S22" s="6" t="s">
        <v>729</v>
      </c>
      <c r="T22" s="6" t="s">
        <v>729</v>
      </c>
      <c r="U22" s="6" t="s">
        <v>729</v>
      </c>
      <c r="V22" s="8" t="s">
        <v>729</v>
      </c>
    </row>
    <row r="23" ht="40.5" customHeight="1" spans="1:22">
      <c r="A23" s="16"/>
      <c r="B23" s="6" t="s">
        <v>729</v>
      </c>
      <c r="C23" s="6" t="s">
        <v>729</v>
      </c>
      <c r="D23" s="18" t="s">
        <v>1460</v>
      </c>
      <c r="E23" s="6" t="s">
        <v>729</v>
      </c>
      <c r="F23" s="11" t="s">
        <v>756</v>
      </c>
      <c r="G23" s="11" t="s">
        <v>756</v>
      </c>
      <c r="H23" s="11" t="s">
        <v>756</v>
      </c>
      <c r="I23" s="11" t="s">
        <v>756</v>
      </c>
      <c r="J23" s="11" t="s">
        <v>756</v>
      </c>
      <c r="K23" s="11" t="s">
        <v>756</v>
      </c>
      <c r="L23" s="11" t="s">
        <v>752</v>
      </c>
      <c r="M23" s="11" t="s">
        <v>729</v>
      </c>
      <c r="N23" s="11" t="s">
        <v>729</v>
      </c>
      <c r="O23" s="11" t="s">
        <v>729</v>
      </c>
      <c r="P23" s="11" t="s">
        <v>729</v>
      </c>
      <c r="Q23" s="11" t="s">
        <v>729</v>
      </c>
      <c r="R23" s="11" t="s">
        <v>729</v>
      </c>
      <c r="S23" s="11" t="s">
        <v>729</v>
      </c>
      <c r="T23" s="11" t="s">
        <v>729</v>
      </c>
      <c r="U23" s="11" t="s">
        <v>729</v>
      </c>
      <c r="V23" s="12" t="s">
        <v>729</v>
      </c>
    </row>
    <row r="24" ht="15.5" customHeight="1" spans="1:22">
      <c r="A24" s="16" t="s">
        <v>692</v>
      </c>
      <c r="B24" s="17" t="s">
        <v>693</v>
      </c>
      <c r="C24" s="6" t="s">
        <v>729</v>
      </c>
      <c r="D24" s="6" t="s">
        <v>729</v>
      </c>
      <c r="E24" s="6" t="s">
        <v>729</v>
      </c>
      <c r="F24" s="6" t="s">
        <v>729</v>
      </c>
      <c r="G24" s="6" t="s">
        <v>729</v>
      </c>
      <c r="H24" s="6" t="s">
        <v>729</v>
      </c>
      <c r="I24" s="6" t="s">
        <v>729</v>
      </c>
      <c r="J24" s="6" t="s">
        <v>729</v>
      </c>
      <c r="K24" s="6" t="s">
        <v>729</v>
      </c>
      <c r="L24" s="6" t="s">
        <v>729</v>
      </c>
      <c r="M24" s="6" t="s">
        <v>729</v>
      </c>
      <c r="N24" s="6" t="s">
        <v>729</v>
      </c>
      <c r="O24" s="6" t="s">
        <v>729</v>
      </c>
      <c r="P24" s="6" t="s">
        <v>729</v>
      </c>
      <c r="Q24" s="6" t="s">
        <v>729</v>
      </c>
      <c r="R24" s="6" t="s">
        <v>729</v>
      </c>
      <c r="S24" s="6" t="s">
        <v>729</v>
      </c>
      <c r="T24" s="6" t="s">
        <v>729</v>
      </c>
      <c r="U24" s="6" t="s">
        <v>729</v>
      </c>
      <c r="V24" s="8" t="s">
        <v>729</v>
      </c>
    </row>
    <row r="25" ht="65.5" customHeight="1" spans="1:22">
      <c r="A25" s="16"/>
      <c r="B25" s="6" t="s">
        <v>729</v>
      </c>
      <c r="C25" s="6" t="s">
        <v>729</v>
      </c>
      <c r="D25" s="18" t="s">
        <v>1461</v>
      </c>
      <c r="E25" s="6" t="s">
        <v>729</v>
      </c>
      <c r="F25" s="11" t="s">
        <v>752</v>
      </c>
      <c r="G25" s="11" t="s">
        <v>756</v>
      </c>
      <c r="H25" s="11" t="s">
        <v>756</v>
      </c>
      <c r="I25" s="11" t="s">
        <v>756</v>
      </c>
      <c r="J25" s="11" t="s">
        <v>756</v>
      </c>
      <c r="K25" s="11" t="s">
        <v>756</v>
      </c>
      <c r="L25" s="11" t="s">
        <v>756</v>
      </c>
      <c r="M25" s="11" t="s">
        <v>729</v>
      </c>
      <c r="N25" s="11" t="s">
        <v>729</v>
      </c>
      <c r="O25" s="11" t="s">
        <v>729</v>
      </c>
      <c r="P25" s="11" t="s">
        <v>729</v>
      </c>
      <c r="Q25" s="11" t="s">
        <v>729</v>
      </c>
      <c r="R25" s="11" t="s">
        <v>729</v>
      </c>
      <c r="S25" s="11" t="s">
        <v>729</v>
      </c>
      <c r="T25" s="11" t="s">
        <v>729</v>
      </c>
      <c r="U25" s="11" t="s">
        <v>729</v>
      </c>
      <c r="V25" s="12" t="s">
        <v>729</v>
      </c>
    </row>
    <row r="26" ht="40.5" customHeight="1" spans="1:22">
      <c r="A26" s="16"/>
      <c r="B26" s="6" t="s">
        <v>729</v>
      </c>
      <c r="C26" s="6" t="s">
        <v>729</v>
      </c>
      <c r="D26" s="18" t="s">
        <v>1462</v>
      </c>
      <c r="E26" s="6" t="s">
        <v>729</v>
      </c>
      <c r="F26" s="11" t="s">
        <v>756</v>
      </c>
      <c r="G26" s="11" t="s">
        <v>752</v>
      </c>
      <c r="H26" s="11" t="s">
        <v>752</v>
      </c>
      <c r="I26" s="11" t="s">
        <v>752</v>
      </c>
      <c r="J26" s="11" t="s">
        <v>752</v>
      </c>
      <c r="K26" s="11" t="s">
        <v>752</v>
      </c>
      <c r="L26" s="11" t="s">
        <v>756</v>
      </c>
      <c r="M26" s="11" t="s">
        <v>729</v>
      </c>
      <c r="N26" s="11" t="s">
        <v>729</v>
      </c>
      <c r="O26" s="11" t="s">
        <v>729</v>
      </c>
      <c r="P26" s="11" t="s">
        <v>729</v>
      </c>
      <c r="Q26" s="11" t="s">
        <v>729</v>
      </c>
      <c r="R26" s="11" t="s">
        <v>729</v>
      </c>
      <c r="S26" s="11" t="s">
        <v>729</v>
      </c>
      <c r="T26" s="11" t="s">
        <v>729</v>
      </c>
      <c r="U26" s="11" t="s">
        <v>729</v>
      </c>
      <c r="V26" s="12" t="s">
        <v>729</v>
      </c>
    </row>
    <row r="27" ht="65.5" customHeight="1" spans="1:22">
      <c r="A27" s="16"/>
      <c r="B27" s="6" t="s">
        <v>729</v>
      </c>
      <c r="C27" s="6" t="s">
        <v>729</v>
      </c>
      <c r="D27" s="18" t="s">
        <v>1463</v>
      </c>
      <c r="E27" s="6" t="s">
        <v>729</v>
      </c>
      <c r="F27" s="11" t="s">
        <v>756</v>
      </c>
      <c r="G27" s="11" t="s">
        <v>756</v>
      </c>
      <c r="H27" s="11" t="s">
        <v>756</v>
      </c>
      <c r="I27" s="11" t="s">
        <v>756</v>
      </c>
      <c r="J27" s="11" t="s">
        <v>756</v>
      </c>
      <c r="K27" s="11" t="s">
        <v>756</v>
      </c>
      <c r="L27" s="11" t="s">
        <v>752</v>
      </c>
      <c r="M27" s="11" t="s">
        <v>729</v>
      </c>
      <c r="N27" s="11" t="s">
        <v>729</v>
      </c>
      <c r="O27" s="11" t="s">
        <v>729</v>
      </c>
      <c r="P27" s="11" t="s">
        <v>729</v>
      </c>
      <c r="Q27" s="11" t="s">
        <v>729</v>
      </c>
      <c r="R27" s="11" t="s">
        <v>729</v>
      </c>
      <c r="S27" s="11" t="s">
        <v>729</v>
      </c>
      <c r="T27" s="11" t="s">
        <v>729</v>
      </c>
      <c r="U27" s="11" t="s">
        <v>729</v>
      </c>
      <c r="V27" s="12" t="s">
        <v>729</v>
      </c>
    </row>
    <row r="28" ht="15.5" customHeight="1" spans="1:22">
      <c r="A28" s="16"/>
      <c r="B28" s="17" t="s">
        <v>694</v>
      </c>
      <c r="C28" s="6" t="s">
        <v>729</v>
      </c>
      <c r="D28" s="6" t="s">
        <v>729</v>
      </c>
      <c r="E28" s="6" t="s">
        <v>729</v>
      </c>
      <c r="F28" s="6" t="s">
        <v>729</v>
      </c>
      <c r="G28" s="6" t="s">
        <v>729</v>
      </c>
      <c r="H28" s="6" t="s">
        <v>729</v>
      </c>
      <c r="I28" s="6" t="s">
        <v>729</v>
      </c>
      <c r="J28" s="6" t="s">
        <v>729</v>
      </c>
      <c r="K28" s="6" t="s">
        <v>729</v>
      </c>
      <c r="L28" s="6" t="s">
        <v>729</v>
      </c>
      <c r="M28" s="6" t="s">
        <v>729</v>
      </c>
      <c r="N28" s="6" t="s">
        <v>729</v>
      </c>
      <c r="O28" s="6" t="s">
        <v>729</v>
      </c>
      <c r="P28" s="6" t="s">
        <v>729</v>
      </c>
      <c r="Q28" s="6" t="s">
        <v>729</v>
      </c>
      <c r="R28" s="6" t="s">
        <v>729</v>
      </c>
      <c r="S28" s="6" t="s">
        <v>729</v>
      </c>
      <c r="T28" s="6" t="s">
        <v>729</v>
      </c>
      <c r="U28" s="6" t="s">
        <v>729</v>
      </c>
      <c r="V28" s="8" t="s">
        <v>729</v>
      </c>
    </row>
    <row r="29" ht="40.5" customHeight="1" spans="1:22">
      <c r="A29" s="16"/>
      <c r="B29" s="6" t="s">
        <v>729</v>
      </c>
      <c r="C29" s="6" t="s">
        <v>729</v>
      </c>
      <c r="D29" s="18" t="s">
        <v>1464</v>
      </c>
      <c r="E29" s="6" t="s">
        <v>729</v>
      </c>
      <c r="F29" s="11" t="s">
        <v>756</v>
      </c>
      <c r="G29" s="11" t="s">
        <v>752</v>
      </c>
      <c r="H29" s="11" t="s">
        <v>756</v>
      </c>
      <c r="I29" s="11" t="s">
        <v>756</v>
      </c>
      <c r="J29" s="11" t="s">
        <v>756</v>
      </c>
      <c r="K29" s="11" t="s">
        <v>756</v>
      </c>
      <c r="L29" s="11" t="s">
        <v>756</v>
      </c>
      <c r="M29" s="11" t="s">
        <v>729</v>
      </c>
      <c r="N29" s="11" t="s">
        <v>729</v>
      </c>
      <c r="O29" s="11" t="s">
        <v>729</v>
      </c>
      <c r="P29" s="11" t="s">
        <v>729</v>
      </c>
      <c r="Q29" s="11" t="s">
        <v>729</v>
      </c>
      <c r="R29" s="11" t="s">
        <v>729</v>
      </c>
      <c r="S29" s="11" t="s">
        <v>729</v>
      </c>
      <c r="T29" s="11" t="s">
        <v>729</v>
      </c>
      <c r="U29" s="11" t="s">
        <v>729</v>
      </c>
      <c r="V29" s="12" t="s">
        <v>729</v>
      </c>
    </row>
    <row r="30" ht="53" customHeight="1" spans="1:22">
      <c r="A30" s="16"/>
      <c r="B30" s="6" t="s">
        <v>729</v>
      </c>
      <c r="C30" s="6" t="s">
        <v>729</v>
      </c>
      <c r="D30" s="18" t="s">
        <v>1465</v>
      </c>
      <c r="E30" s="6" t="s">
        <v>729</v>
      </c>
      <c r="F30" s="11" t="s">
        <v>756</v>
      </c>
      <c r="G30" s="11" t="s">
        <v>756</v>
      </c>
      <c r="H30" s="11" t="s">
        <v>752</v>
      </c>
      <c r="I30" s="11" t="s">
        <v>756</v>
      </c>
      <c r="J30" s="11" t="s">
        <v>756</v>
      </c>
      <c r="K30" s="11" t="s">
        <v>756</v>
      </c>
      <c r="L30" s="11" t="s">
        <v>756</v>
      </c>
      <c r="M30" s="11" t="s">
        <v>729</v>
      </c>
      <c r="N30" s="11" t="s">
        <v>729</v>
      </c>
      <c r="O30" s="11" t="s">
        <v>729</v>
      </c>
      <c r="P30" s="11" t="s">
        <v>729</v>
      </c>
      <c r="Q30" s="11" t="s">
        <v>729</v>
      </c>
      <c r="R30" s="11" t="s">
        <v>729</v>
      </c>
      <c r="S30" s="11" t="s">
        <v>729</v>
      </c>
      <c r="T30" s="11" t="s">
        <v>729</v>
      </c>
      <c r="U30" s="11" t="s">
        <v>729</v>
      </c>
      <c r="V30" s="12" t="s">
        <v>729</v>
      </c>
    </row>
    <row r="31" ht="40.5" customHeight="1" spans="1:22">
      <c r="A31" s="16"/>
      <c r="B31" s="6" t="s">
        <v>729</v>
      </c>
      <c r="C31" s="6" t="s">
        <v>729</v>
      </c>
      <c r="D31" s="18" t="s">
        <v>1466</v>
      </c>
      <c r="E31" s="6" t="s">
        <v>729</v>
      </c>
      <c r="F31" s="11" t="s">
        <v>756</v>
      </c>
      <c r="G31" s="11" t="s">
        <v>756</v>
      </c>
      <c r="H31" s="11" t="s">
        <v>756</v>
      </c>
      <c r="I31" s="11" t="s">
        <v>752</v>
      </c>
      <c r="J31" s="11" t="s">
        <v>756</v>
      </c>
      <c r="K31" s="11" t="s">
        <v>756</v>
      </c>
      <c r="L31" s="11" t="s">
        <v>756</v>
      </c>
      <c r="M31" s="11" t="s">
        <v>729</v>
      </c>
      <c r="N31" s="11" t="s">
        <v>729</v>
      </c>
      <c r="O31" s="11" t="s">
        <v>729</v>
      </c>
      <c r="P31" s="11" t="s">
        <v>729</v>
      </c>
      <c r="Q31" s="11" t="s">
        <v>729</v>
      </c>
      <c r="R31" s="11" t="s">
        <v>729</v>
      </c>
      <c r="S31" s="11" t="s">
        <v>729</v>
      </c>
      <c r="T31" s="11" t="s">
        <v>729</v>
      </c>
      <c r="U31" s="11" t="s">
        <v>729</v>
      </c>
      <c r="V31" s="12" t="s">
        <v>729</v>
      </c>
    </row>
    <row r="32" ht="78" customHeight="1" spans="1:22">
      <c r="A32" s="16"/>
      <c r="B32" s="6" t="s">
        <v>729</v>
      </c>
      <c r="C32" s="6" t="s">
        <v>729</v>
      </c>
      <c r="D32" s="18" t="s">
        <v>1467</v>
      </c>
      <c r="E32" s="6" t="s">
        <v>729</v>
      </c>
      <c r="F32" s="11" t="s">
        <v>756</v>
      </c>
      <c r="G32" s="11" t="s">
        <v>756</v>
      </c>
      <c r="H32" s="11" t="s">
        <v>756</v>
      </c>
      <c r="I32" s="11" t="s">
        <v>756</v>
      </c>
      <c r="J32" s="11" t="s">
        <v>752</v>
      </c>
      <c r="K32" s="11" t="s">
        <v>756</v>
      </c>
      <c r="L32" s="11" t="s">
        <v>756</v>
      </c>
      <c r="M32" s="11" t="s">
        <v>729</v>
      </c>
      <c r="N32" s="11" t="s">
        <v>729</v>
      </c>
      <c r="O32" s="11" t="s">
        <v>729</v>
      </c>
      <c r="P32" s="11" t="s">
        <v>729</v>
      </c>
      <c r="Q32" s="11" t="s">
        <v>729</v>
      </c>
      <c r="R32" s="11" t="s">
        <v>729</v>
      </c>
      <c r="S32" s="11" t="s">
        <v>729</v>
      </c>
      <c r="T32" s="11" t="s">
        <v>729</v>
      </c>
      <c r="U32" s="11" t="s">
        <v>729</v>
      </c>
      <c r="V32" s="12" t="s">
        <v>729</v>
      </c>
    </row>
    <row r="33" ht="28" customHeight="1" spans="1:22">
      <c r="A33" s="16"/>
      <c r="B33" s="6" t="s">
        <v>729</v>
      </c>
      <c r="C33" s="6" t="s">
        <v>729</v>
      </c>
      <c r="D33" s="18" t="s">
        <v>1432</v>
      </c>
      <c r="E33" s="6" t="s">
        <v>729</v>
      </c>
      <c r="F33" s="11" t="s">
        <v>756</v>
      </c>
      <c r="G33" s="11" t="s">
        <v>756</v>
      </c>
      <c r="H33" s="11" t="s">
        <v>756</v>
      </c>
      <c r="I33" s="11" t="s">
        <v>756</v>
      </c>
      <c r="J33" s="11" t="s">
        <v>756</v>
      </c>
      <c r="K33" s="11" t="s">
        <v>752</v>
      </c>
      <c r="L33" s="11" t="s">
        <v>756</v>
      </c>
      <c r="M33" s="11" t="s">
        <v>729</v>
      </c>
      <c r="N33" s="11" t="s">
        <v>729</v>
      </c>
      <c r="O33" s="11" t="s">
        <v>729</v>
      </c>
      <c r="P33" s="11" t="s">
        <v>729</v>
      </c>
      <c r="Q33" s="11" t="s">
        <v>729</v>
      </c>
      <c r="R33" s="11" t="s">
        <v>729</v>
      </c>
      <c r="S33" s="11" t="s">
        <v>729</v>
      </c>
      <c r="T33" s="11" t="s">
        <v>729</v>
      </c>
      <c r="U33" s="11" t="s">
        <v>729</v>
      </c>
      <c r="V33" s="12" t="s">
        <v>729</v>
      </c>
    </row>
    <row r="34" ht="40.5" customHeight="1" spans="1:22">
      <c r="A34" s="16"/>
      <c r="B34" s="6" t="s">
        <v>729</v>
      </c>
      <c r="C34" s="6" t="s">
        <v>729</v>
      </c>
      <c r="D34" s="18" t="s">
        <v>1468</v>
      </c>
      <c r="E34" s="6" t="s">
        <v>729</v>
      </c>
      <c r="F34" s="11" t="s">
        <v>756</v>
      </c>
      <c r="G34" s="11" t="s">
        <v>756</v>
      </c>
      <c r="H34" s="11" t="s">
        <v>756</v>
      </c>
      <c r="I34" s="11" t="s">
        <v>756</v>
      </c>
      <c r="J34" s="11" t="s">
        <v>756</v>
      </c>
      <c r="K34" s="11" t="s">
        <v>756</v>
      </c>
      <c r="L34" s="11" t="s">
        <v>752</v>
      </c>
      <c r="M34" s="11" t="s">
        <v>729</v>
      </c>
      <c r="N34" s="11" t="s">
        <v>729</v>
      </c>
      <c r="O34" s="11" t="s">
        <v>729</v>
      </c>
      <c r="P34" s="11" t="s">
        <v>729</v>
      </c>
      <c r="Q34" s="11" t="s">
        <v>729</v>
      </c>
      <c r="R34" s="11" t="s">
        <v>729</v>
      </c>
      <c r="S34" s="11" t="s">
        <v>729</v>
      </c>
      <c r="T34" s="11" t="s">
        <v>729</v>
      </c>
      <c r="U34" s="11" t="s">
        <v>729</v>
      </c>
      <c r="V34" s="12" t="s">
        <v>729</v>
      </c>
    </row>
    <row r="35" ht="18" customHeight="1" spans="1:22">
      <c r="A35" s="19" t="s">
        <v>696</v>
      </c>
      <c r="B35" s="20" t="s">
        <v>765</v>
      </c>
      <c r="C35" s="20"/>
      <c r="D35" s="20"/>
      <c r="E35" s="6" t="s">
        <v>729</v>
      </c>
      <c r="F35" s="11" t="s">
        <v>670</v>
      </c>
      <c r="G35" s="11" t="s">
        <v>63</v>
      </c>
      <c r="H35" s="11" t="s">
        <v>63</v>
      </c>
      <c r="I35" s="11" t="s">
        <v>63</v>
      </c>
      <c r="J35" s="11" t="s">
        <v>63</v>
      </c>
      <c r="K35" s="11" t="s">
        <v>63</v>
      </c>
      <c r="L35" s="11" t="s">
        <v>63</v>
      </c>
      <c r="M35" s="11" t="s">
        <v>729</v>
      </c>
      <c r="N35" s="11" t="s">
        <v>729</v>
      </c>
      <c r="O35" s="11" t="s">
        <v>729</v>
      </c>
      <c r="P35" s="11" t="s">
        <v>729</v>
      </c>
      <c r="Q35" s="11" t="s">
        <v>729</v>
      </c>
      <c r="R35" s="11" t="s">
        <v>729</v>
      </c>
      <c r="S35" s="11" t="s">
        <v>729</v>
      </c>
      <c r="T35" s="11" t="s">
        <v>729</v>
      </c>
      <c r="U35" s="11" t="s">
        <v>729</v>
      </c>
      <c r="V35" s="12" t="s">
        <v>729</v>
      </c>
    </row>
    <row r="36" ht="18" customHeight="1" spans="1:22">
      <c r="A36" s="19"/>
      <c r="B36" s="20" t="s">
        <v>698</v>
      </c>
      <c r="C36" s="20"/>
      <c r="D36" s="20"/>
      <c r="E36" s="6" t="s">
        <v>729</v>
      </c>
      <c r="F36" s="11" t="s">
        <v>766</v>
      </c>
      <c r="G36" s="11" t="s">
        <v>766</v>
      </c>
      <c r="H36" s="11" t="s">
        <v>766</v>
      </c>
      <c r="I36" s="11" t="s">
        <v>766</v>
      </c>
      <c r="J36" s="11" t="s">
        <v>766</v>
      </c>
      <c r="K36" s="11" t="s">
        <v>766</v>
      </c>
      <c r="L36" s="11" t="s">
        <v>766</v>
      </c>
      <c r="M36" s="11" t="s">
        <v>729</v>
      </c>
      <c r="N36" s="11" t="s">
        <v>729</v>
      </c>
      <c r="O36" s="11" t="s">
        <v>729</v>
      </c>
      <c r="P36" s="11" t="s">
        <v>729</v>
      </c>
      <c r="Q36" s="11" t="s">
        <v>729</v>
      </c>
      <c r="R36" s="11" t="s">
        <v>729</v>
      </c>
      <c r="S36" s="11" t="s">
        <v>729</v>
      </c>
      <c r="T36" s="11" t="s">
        <v>729</v>
      </c>
      <c r="U36" s="11" t="s">
        <v>729</v>
      </c>
      <c r="V36" s="12" t="s">
        <v>729</v>
      </c>
    </row>
    <row r="37" ht="18" customHeight="1" spans="1:22">
      <c r="A37" s="19"/>
      <c r="B37" s="20" t="s">
        <v>699</v>
      </c>
      <c r="C37" s="20"/>
      <c r="D37" s="20"/>
      <c r="E37" s="6" t="s">
        <v>729</v>
      </c>
      <c r="F37" s="6" t="s">
        <v>729</v>
      </c>
      <c r="G37" s="6" t="s">
        <v>729</v>
      </c>
      <c r="H37" s="6" t="s">
        <v>729</v>
      </c>
      <c r="I37" s="6" t="s">
        <v>729</v>
      </c>
      <c r="J37" s="6" t="s">
        <v>729</v>
      </c>
      <c r="K37" s="6" t="s">
        <v>729</v>
      </c>
      <c r="L37" s="6" t="s">
        <v>729</v>
      </c>
      <c r="M37" s="6" t="s">
        <v>729</v>
      </c>
      <c r="N37" s="6" t="s">
        <v>729</v>
      </c>
      <c r="O37" s="6" t="s">
        <v>729</v>
      </c>
      <c r="P37" s="6" t="s">
        <v>729</v>
      </c>
      <c r="Q37" s="6" t="s">
        <v>729</v>
      </c>
      <c r="R37" s="6" t="s">
        <v>729</v>
      </c>
      <c r="S37" s="6" t="s">
        <v>729</v>
      </c>
      <c r="T37" s="6" t="s">
        <v>729</v>
      </c>
      <c r="U37" s="6" t="s">
        <v>729</v>
      </c>
      <c r="V37" s="8" t="s">
        <v>729</v>
      </c>
    </row>
    <row r="38" ht="18" customHeight="1" spans="1:22">
      <c r="A38" s="19"/>
      <c r="B38" s="21" t="s">
        <v>700</v>
      </c>
      <c r="C38" s="21"/>
      <c r="D38" s="21"/>
      <c r="E38" s="22" t="s">
        <v>729</v>
      </c>
      <c r="F38" s="22" t="s">
        <v>729</v>
      </c>
      <c r="G38" s="22" t="s">
        <v>729</v>
      </c>
      <c r="H38" s="22" t="s">
        <v>729</v>
      </c>
      <c r="I38" s="22" t="s">
        <v>729</v>
      </c>
      <c r="J38" s="22" t="s">
        <v>729</v>
      </c>
      <c r="K38" s="22" t="s">
        <v>729</v>
      </c>
      <c r="L38" s="22" t="s">
        <v>729</v>
      </c>
      <c r="M38" s="22" t="s">
        <v>729</v>
      </c>
      <c r="N38" s="22" t="s">
        <v>729</v>
      </c>
      <c r="O38" s="22" t="s">
        <v>729</v>
      </c>
      <c r="P38" s="22" t="s">
        <v>729</v>
      </c>
      <c r="Q38" s="22" t="s">
        <v>729</v>
      </c>
      <c r="R38" s="22" t="s">
        <v>729</v>
      </c>
      <c r="S38" s="22" t="s">
        <v>729</v>
      </c>
      <c r="T38" s="22" t="s">
        <v>729</v>
      </c>
      <c r="U38" s="22" t="s">
        <v>729</v>
      </c>
      <c r="V38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35:D35"/>
    <mergeCell ref="B36:D36"/>
    <mergeCell ref="B37:D37"/>
    <mergeCell ref="B38:D38"/>
    <mergeCell ref="A7:A23"/>
    <mergeCell ref="A24:A34"/>
    <mergeCell ref="A35:A38"/>
  </mergeCells>
  <dataValidations count="3">
    <dataValidation type="list" allowBlank="1" sqref="F8:V8 F23:V23 F10:V11 F20:V21 F13:V14 F16:V18 F25:V27 F29:V34">
      <formula1>"O,-"</formula1>
    </dataValidation>
    <dataValidation type="list" allowBlank="1" sqref="F35:V35">
      <formula1>"N,A,B"</formula1>
    </dataValidation>
    <dataValidation type="list" allowBlank="1" sqref="F36:V36">
      <formula1>"P,F"</formula1>
    </dataValidation>
  </dataValidations>
  <pageMargins left="0.7" right="0.7" top="0.75" bottom="0.75" header="0.3" footer="0.3"/>
  <pageSetup paperSize="1" orientation="portrait"/>
  <headerFooter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6"/>
  <sheetViews>
    <sheetView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524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538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1469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6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5</v>
      </c>
      <c r="M5" s="11">
        <v>1</v>
      </c>
      <c r="N5" s="11">
        <v>0</v>
      </c>
      <c r="O5" s="12">
        <v>6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687</v>
      </c>
      <c r="H6" s="14" t="s">
        <v>688</v>
      </c>
      <c r="I6" s="14" t="s">
        <v>689</v>
      </c>
      <c r="J6" s="14" t="s">
        <v>863</v>
      </c>
      <c r="K6" s="14" t="s">
        <v>864</v>
      </c>
      <c r="L6" s="14" t="s">
        <v>729</v>
      </c>
      <c r="M6" s="14" t="s">
        <v>729</v>
      </c>
      <c r="N6" s="14" t="s">
        <v>729</v>
      </c>
      <c r="O6" s="14" t="s">
        <v>729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15.5" customHeight="1" spans="1:22">
      <c r="A7" s="16" t="s">
        <v>690</v>
      </c>
      <c r="B7" s="17" t="s">
        <v>1023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40.5" customHeight="1" spans="1:22">
      <c r="A8" s="16"/>
      <c r="B8" s="6" t="s">
        <v>729</v>
      </c>
      <c r="C8" s="6" t="s">
        <v>729</v>
      </c>
      <c r="D8" s="18" t="s">
        <v>1470</v>
      </c>
      <c r="E8" s="6" t="s">
        <v>729</v>
      </c>
      <c r="F8" s="11" t="s">
        <v>752</v>
      </c>
      <c r="G8" s="11" t="s">
        <v>756</v>
      </c>
      <c r="H8" s="11" t="s">
        <v>756</v>
      </c>
      <c r="I8" s="11" t="s">
        <v>756</v>
      </c>
      <c r="J8" s="11" t="s">
        <v>756</v>
      </c>
      <c r="K8" s="11" t="s">
        <v>756</v>
      </c>
      <c r="L8" s="11" t="s">
        <v>729</v>
      </c>
      <c r="M8" s="11" t="s">
        <v>729</v>
      </c>
      <c r="N8" s="11" t="s">
        <v>729</v>
      </c>
      <c r="O8" s="11" t="s">
        <v>729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28" customHeight="1" spans="1:22">
      <c r="A9" s="16"/>
      <c r="B9" s="6" t="s">
        <v>729</v>
      </c>
      <c r="C9" s="6" t="s">
        <v>729</v>
      </c>
      <c r="D9" s="18" t="s">
        <v>1471</v>
      </c>
      <c r="E9" s="6" t="s">
        <v>729</v>
      </c>
      <c r="F9" s="11" t="s">
        <v>756</v>
      </c>
      <c r="G9" s="11" t="s">
        <v>752</v>
      </c>
      <c r="H9" s="11" t="s">
        <v>756</v>
      </c>
      <c r="I9" s="11" t="s">
        <v>756</v>
      </c>
      <c r="J9" s="11" t="s">
        <v>756</v>
      </c>
      <c r="K9" s="11" t="s">
        <v>756</v>
      </c>
      <c r="L9" s="11" t="s">
        <v>729</v>
      </c>
      <c r="M9" s="11" t="s">
        <v>729</v>
      </c>
      <c r="N9" s="11" t="s">
        <v>729</v>
      </c>
      <c r="O9" s="11" t="s">
        <v>729</v>
      </c>
      <c r="P9" s="11" t="s">
        <v>729</v>
      </c>
      <c r="Q9" s="11" t="s">
        <v>729</v>
      </c>
      <c r="R9" s="11" t="s">
        <v>729</v>
      </c>
      <c r="S9" s="11" t="s">
        <v>729</v>
      </c>
      <c r="T9" s="11" t="s">
        <v>729</v>
      </c>
      <c r="U9" s="11" t="s">
        <v>729</v>
      </c>
      <c r="V9" s="12" t="s">
        <v>729</v>
      </c>
    </row>
    <row r="10" ht="28" customHeight="1" spans="1:22">
      <c r="A10" s="16"/>
      <c r="B10" s="6" t="s">
        <v>729</v>
      </c>
      <c r="C10" s="6" t="s">
        <v>729</v>
      </c>
      <c r="D10" s="18" t="s">
        <v>1472</v>
      </c>
      <c r="E10" s="6" t="s">
        <v>729</v>
      </c>
      <c r="F10" s="11" t="s">
        <v>756</v>
      </c>
      <c r="G10" s="11" t="s">
        <v>756</v>
      </c>
      <c r="H10" s="11" t="s">
        <v>752</v>
      </c>
      <c r="I10" s="11" t="s">
        <v>756</v>
      </c>
      <c r="J10" s="11" t="s">
        <v>756</v>
      </c>
      <c r="K10" s="11" t="s">
        <v>756</v>
      </c>
      <c r="L10" s="11" t="s">
        <v>729</v>
      </c>
      <c r="M10" s="11" t="s">
        <v>729</v>
      </c>
      <c r="N10" s="11" t="s">
        <v>729</v>
      </c>
      <c r="O10" s="11" t="s">
        <v>729</v>
      </c>
      <c r="P10" s="11" t="s">
        <v>729</v>
      </c>
      <c r="Q10" s="11" t="s">
        <v>729</v>
      </c>
      <c r="R10" s="11" t="s">
        <v>729</v>
      </c>
      <c r="S10" s="11" t="s">
        <v>729</v>
      </c>
      <c r="T10" s="11" t="s">
        <v>729</v>
      </c>
      <c r="U10" s="11" t="s">
        <v>729</v>
      </c>
      <c r="V10" s="12" t="s">
        <v>729</v>
      </c>
    </row>
    <row r="11" ht="53" customHeight="1" spans="1:22">
      <c r="A11" s="16"/>
      <c r="B11" s="6" t="s">
        <v>729</v>
      </c>
      <c r="C11" s="6" t="s">
        <v>729</v>
      </c>
      <c r="D11" s="18" t="s">
        <v>1473</v>
      </c>
      <c r="E11" s="6" t="s">
        <v>729</v>
      </c>
      <c r="F11" s="11" t="s">
        <v>756</v>
      </c>
      <c r="G11" s="11" t="s">
        <v>756</v>
      </c>
      <c r="H11" s="11" t="s">
        <v>756</v>
      </c>
      <c r="I11" s="11" t="s">
        <v>752</v>
      </c>
      <c r="J11" s="11" t="s">
        <v>756</v>
      </c>
      <c r="K11" s="11" t="s">
        <v>756</v>
      </c>
      <c r="L11" s="11" t="s">
        <v>729</v>
      </c>
      <c r="M11" s="11" t="s">
        <v>729</v>
      </c>
      <c r="N11" s="11" t="s">
        <v>729</v>
      </c>
      <c r="O11" s="11" t="s">
        <v>729</v>
      </c>
      <c r="P11" s="11" t="s">
        <v>729</v>
      </c>
      <c r="Q11" s="11" t="s">
        <v>729</v>
      </c>
      <c r="R11" s="11" t="s">
        <v>729</v>
      </c>
      <c r="S11" s="11" t="s">
        <v>729</v>
      </c>
      <c r="T11" s="11" t="s">
        <v>729</v>
      </c>
      <c r="U11" s="11" t="s">
        <v>729</v>
      </c>
      <c r="V11" s="12" t="s">
        <v>729</v>
      </c>
    </row>
    <row r="12" ht="40.5" customHeight="1" spans="1:22">
      <c r="A12" s="16"/>
      <c r="B12" s="6" t="s">
        <v>729</v>
      </c>
      <c r="C12" s="6" t="s">
        <v>729</v>
      </c>
      <c r="D12" s="18" t="s">
        <v>1474</v>
      </c>
      <c r="E12" s="6" t="s">
        <v>729</v>
      </c>
      <c r="F12" s="11" t="s">
        <v>756</v>
      </c>
      <c r="G12" s="11" t="s">
        <v>756</v>
      </c>
      <c r="H12" s="11" t="s">
        <v>756</v>
      </c>
      <c r="I12" s="11" t="s">
        <v>756</v>
      </c>
      <c r="J12" s="11" t="s">
        <v>752</v>
      </c>
      <c r="K12" s="11" t="s">
        <v>756</v>
      </c>
      <c r="L12" s="11" t="s">
        <v>729</v>
      </c>
      <c r="M12" s="11" t="s">
        <v>729</v>
      </c>
      <c r="N12" s="11" t="s">
        <v>729</v>
      </c>
      <c r="O12" s="11" t="s">
        <v>729</v>
      </c>
      <c r="P12" s="11" t="s">
        <v>729</v>
      </c>
      <c r="Q12" s="11" t="s">
        <v>729</v>
      </c>
      <c r="R12" s="11" t="s">
        <v>729</v>
      </c>
      <c r="S12" s="11" t="s">
        <v>729</v>
      </c>
      <c r="T12" s="11" t="s">
        <v>729</v>
      </c>
      <c r="U12" s="11" t="s">
        <v>729</v>
      </c>
      <c r="V12" s="12" t="s">
        <v>729</v>
      </c>
    </row>
    <row r="13" ht="40.5" customHeight="1" spans="1:22">
      <c r="A13" s="16"/>
      <c r="B13" s="6" t="s">
        <v>729</v>
      </c>
      <c r="C13" s="6" t="s">
        <v>729</v>
      </c>
      <c r="D13" s="18" t="s">
        <v>1475</v>
      </c>
      <c r="E13" s="6" t="s">
        <v>729</v>
      </c>
      <c r="F13" s="11" t="s">
        <v>756</v>
      </c>
      <c r="G13" s="11" t="s">
        <v>756</v>
      </c>
      <c r="H13" s="11" t="s">
        <v>756</v>
      </c>
      <c r="I13" s="11" t="s">
        <v>756</v>
      </c>
      <c r="J13" s="11" t="s">
        <v>756</v>
      </c>
      <c r="K13" s="11" t="s">
        <v>752</v>
      </c>
      <c r="L13" s="11" t="s">
        <v>729</v>
      </c>
      <c r="M13" s="11" t="s">
        <v>729</v>
      </c>
      <c r="N13" s="11" t="s">
        <v>729</v>
      </c>
      <c r="O13" s="11" t="s">
        <v>729</v>
      </c>
      <c r="P13" s="11" t="s">
        <v>729</v>
      </c>
      <c r="Q13" s="11" t="s">
        <v>729</v>
      </c>
      <c r="R13" s="11" t="s">
        <v>729</v>
      </c>
      <c r="S13" s="11" t="s">
        <v>729</v>
      </c>
      <c r="T13" s="11" t="s">
        <v>729</v>
      </c>
      <c r="U13" s="11" t="s">
        <v>729</v>
      </c>
      <c r="V13" s="12" t="s">
        <v>729</v>
      </c>
    </row>
    <row r="14" ht="15.5" customHeight="1" spans="1:22">
      <c r="A14" s="16" t="s">
        <v>692</v>
      </c>
      <c r="B14" s="17" t="s">
        <v>693</v>
      </c>
      <c r="C14" s="6" t="s">
        <v>729</v>
      </c>
      <c r="D14" s="6" t="s">
        <v>729</v>
      </c>
      <c r="E14" s="6" t="s">
        <v>729</v>
      </c>
      <c r="F14" s="6" t="s">
        <v>729</v>
      </c>
      <c r="G14" s="6" t="s">
        <v>729</v>
      </c>
      <c r="H14" s="6" t="s">
        <v>729</v>
      </c>
      <c r="I14" s="6" t="s">
        <v>729</v>
      </c>
      <c r="J14" s="6" t="s">
        <v>729</v>
      </c>
      <c r="K14" s="6" t="s">
        <v>729</v>
      </c>
      <c r="L14" s="6" t="s">
        <v>729</v>
      </c>
      <c r="M14" s="6" t="s">
        <v>729</v>
      </c>
      <c r="N14" s="6" t="s">
        <v>729</v>
      </c>
      <c r="O14" s="6" t="s">
        <v>729</v>
      </c>
      <c r="P14" s="6" t="s">
        <v>729</v>
      </c>
      <c r="Q14" s="6" t="s">
        <v>729</v>
      </c>
      <c r="R14" s="6" t="s">
        <v>729</v>
      </c>
      <c r="S14" s="6" t="s">
        <v>729</v>
      </c>
      <c r="T14" s="6" t="s">
        <v>729</v>
      </c>
      <c r="U14" s="6" t="s">
        <v>729</v>
      </c>
      <c r="V14" s="8" t="s">
        <v>729</v>
      </c>
    </row>
    <row r="15" ht="65.5" customHeight="1" spans="1:22">
      <c r="A15" s="16"/>
      <c r="B15" s="6" t="s">
        <v>729</v>
      </c>
      <c r="C15" s="6" t="s">
        <v>729</v>
      </c>
      <c r="D15" s="18" t="s">
        <v>1476</v>
      </c>
      <c r="E15" s="6" t="s">
        <v>729</v>
      </c>
      <c r="F15" s="11" t="s">
        <v>752</v>
      </c>
      <c r="G15" s="11" t="s">
        <v>756</v>
      </c>
      <c r="H15" s="11" t="s">
        <v>756</v>
      </c>
      <c r="I15" s="11" t="s">
        <v>756</v>
      </c>
      <c r="J15" s="11" t="s">
        <v>756</v>
      </c>
      <c r="K15" s="11" t="s">
        <v>756</v>
      </c>
      <c r="L15" s="11" t="s">
        <v>729</v>
      </c>
      <c r="M15" s="11" t="s">
        <v>729</v>
      </c>
      <c r="N15" s="11" t="s">
        <v>729</v>
      </c>
      <c r="O15" s="11" t="s">
        <v>729</v>
      </c>
      <c r="P15" s="11" t="s">
        <v>729</v>
      </c>
      <c r="Q15" s="11" t="s">
        <v>729</v>
      </c>
      <c r="R15" s="11" t="s">
        <v>729</v>
      </c>
      <c r="S15" s="11" t="s">
        <v>729</v>
      </c>
      <c r="T15" s="11" t="s">
        <v>729</v>
      </c>
      <c r="U15" s="11" t="s">
        <v>729</v>
      </c>
      <c r="V15" s="12" t="s">
        <v>729</v>
      </c>
    </row>
    <row r="16" ht="65.5" customHeight="1" spans="1:22">
      <c r="A16" s="16"/>
      <c r="B16" s="6" t="s">
        <v>729</v>
      </c>
      <c r="C16" s="6" t="s">
        <v>729</v>
      </c>
      <c r="D16" s="18" t="s">
        <v>1477</v>
      </c>
      <c r="E16" s="6" t="s">
        <v>729</v>
      </c>
      <c r="F16" s="11" t="s">
        <v>756</v>
      </c>
      <c r="G16" s="11" t="s">
        <v>752</v>
      </c>
      <c r="H16" s="11" t="s">
        <v>756</v>
      </c>
      <c r="I16" s="11" t="s">
        <v>756</v>
      </c>
      <c r="J16" s="11" t="s">
        <v>756</v>
      </c>
      <c r="K16" s="11" t="s">
        <v>756</v>
      </c>
      <c r="L16" s="11" t="s">
        <v>729</v>
      </c>
      <c r="M16" s="11" t="s">
        <v>729</v>
      </c>
      <c r="N16" s="11" t="s">
        <v>729</v>
      </c>
      <c r="O16" s="11" t="s">
        <v>729</v>
      </c>
      <c r="P16" s="11" t="s">
        <v>729</v>
      </c>
      <c r="Q16" s="11" t="s">
        <v>729</v>
      </c>
      <c r="R16" s="11" t="s">
        <v>729</v>
      </c>
      <c r="S16" s="11" t="s">
        <v>729</v>
      </c>
      <c r="T16" s="11" t="s">
        <v>729</v>
      </c>
      <c r="U16" s="11" t="s">
        <v>729</v>
      </c>
      <c r="V16" s="12" t="s">
        <v>729</v>
      </c>
    </row>
    <row r="17" ht="28" customHeight="1" spans="1:22">
      <c r="A17" s="16"/>
      <c r="B17" s="6" t="s">
        <v>729</v>
      </c>
      <c r="C17" s="6" t="s">
        <v>729</v>
      </c>
      <c r="D17" s="18" t="s">
        <v>1478</v>
      </c>
      <c r="E17" s="6" t="s">
        <v>729</v>
      </c>
      <c r="F17" s="11" t="s">
        <v>756</v>
      </c>
      <c r="G17" s="11" t="s">
        <v>756</v>
      </c>
      <c r="H17" s="11" t="s">
        <v>752</v>
      </c>
      <c r="I17" s="11" t="s">
        <v>756</v>
      </c>
      <c r="J17" s="11" t="s">
        <v>756</v>
      </c>
      <c r="K17" s="11" t="s">
        <v>756</v>
      </c>
      <c r="L17" s="11" t="s">
        <v>729</v>
      </c>
      <c r="M17" s="11" t="s">
        <v>729</v>
      </c>
      <c r="N17" s="11" t="s">
        <v>729</v>
      </c>
      <c r="O17" s="11" t="s">
        <v>729</v>
      </c>
      <c r="P17" s="11" t="s">
        <v>729</v>
      </c>
      <c r="Q17" s="11" t="s">
        <v>729</v>
      </c>
      <c r="R17" s="11" t="s">
        <v>729</v>
      </c>
      <c r="S17" s="11" t="s">
        <v>729</v>
      </c>
      <c r="T17" s="11" t="s">
        <v>729</v>
      </c>
      <c r="U17" s="11" t="s">
        <v>729</v>
      </c>
      <c r="V17" s="12" t="s">
        <v>729</v>
      </c>
    </row>
    <row r="18" ht="65.5" customHeight="1" spans="1:22">
      <c r="A18" s="16"/>
      <c r="B18" s="6" t="s">
        <v>729</v>
      </c>
      <c r="C18" s="6" t="s">
        <v>729</v>
      </c>
      <c r="D18" s="18" t="s">
        <v>1479</v>
      </c>
      <c r="E18" s="6" t="s">
        <v>729</v>
      </c>
      <c r="F18" s="11" t="s">
        <v>756</v>
      </c>
      <c r="G18" s="11" t="s">
        <v>756</v>
      </c>
      <c r="H18" s="11" t="s">
        <v>756</v>
      </c>
      <c r="I18" s="11" t="s">
        <v>752</v>
      </c>
      <c r="J18" s="11" t="s">
        <v>756</v>
      </c>
      <c r="K18" s="11" t="s">
        <v>756</v>
      </c>
      <c r="L18" s="11" t="s">
        <v>729</v>
      </c>
      <c r="M18" s="11" t="s">
        <v>729</v>
      </c>
      <c r="N18" s="11" t="s">
        <v>729</v>
      </c>
      <c r="O18" s="11" t="s">
        <v>729</v>
      </c>
      <c r="P18" s="11" t="s">
        <v>729</v>
      </c>
      <c r="Q18" s="11" t="s">
        <v>729</v>
      </c>
      <c r="R18" s="11" t="s">
        <v>729</v>
      </c>
      <c r="S18" s="11" t="s">
        <v>729</v>
      </c>
      <c r="T18" s="11" t="s">
        <v>729</v>
      </c>
      <c r="U18" s="11" t="s">
        <v>729</v>
      </c>
      <c r="V18" s="12" t="s">
        <v>729</v>
      </c>
    </row>
    <row r="19" ht="90.5" customHeight="1" spans="1:22">
      <c r="A19" s="16"/>
      <c r="B19" s="6" t="s">
        <v>729</v>
      </c>
      <c r="C19" s="6" t="s">
        <v>729</v>
      </c>
      <c r="D19" s="18" t="s">
        <v>1480</v>
      </c>
      <c r="E19" s="6" t="s">
        <v>729</v>
      </c>
      <c r="F19" s="11" t="s">
        <v>756</v>
      </c>
      <c r="G19" s="11" t="s">
        <v>756</v>
      </c>
      <c r="H19" s="11" t="s">
        <v>756</v>
      </c>
      <c r="I19" s="11" t="s">
        <v>756</v>
      </c>
      <c r="J19" s="11" t="s">
        <v>752</v>
      </c>
      <c r="K19" s="11" t="s">
        <v>756</v>
      </c>
      <c r="L19" s="11" t="s">
        <v>729</v>
      </c>
      <c r="M19" s="11" t="s">
        <v>729</v>
      </c>
      <c r="N19" s="11" t="s">
        <v>729</v>
      </c>
      <c r="O19" s="11" t="s">
        <v>729</v>
      </c>
      <c r="P19" s="11" t="s">
        <v>729</v>
      </c>
      <c r="Q19" s="11" t="s">
        <v>729</v>
      </c>
      <c r="R19" s="11" t="s">
        <v>729</v>
      </c>
      <c r="S19" s="11" t="s">
        <v>729</v>
      </c>
      <c r="T19" s="11" t="s">
        <v>729</v>
      </c>
      <c r="U19" s="11" t="s">
        <v>729</v>
      </c>
      <c r="V19" s="12" t="s">
        <v>729</v>
      </c>
    </row>
    <row r="20" ht="53" customHeight="1" spans="1:22">
      <c r="A20" s="16"/>
      <c r="B20" s="6" t="s">
        <v>729</v>
      </c>
      <c r="C20" s="6" t="s">
        <v>729</v>
      </c>
      <c r="D20" s="18" t="s">
        <v>1481</v>
      </c>
      <c r="E20" s="6" t="s">
        <v>729</v>
      </c>
      <c r="F20" s="11" t="s">
        <v>756</v>
      </c>
      <c r="G20" s="11" t="s">
        <v>756</v>
      </c>
      <c r="H20" s="11" t="s">
        <v>756</v>
      </c>
      <c r="I20" s="11" t="s">
        <v>756</v>
      </c>
      <c r="J20" s="11" t="s">
        <v>756</v>
      </c>
      <c r="K20" s="11" t="s">
        <v>752</v>
      </c>
      <c r="L20" s="11" t="s">
        <v>729</v>
      </c>
      <c r="M20" s="11" t="s">
        <v>729</v>
      </c>
      <c r="N20" s="11" t="s">
        <v>729</v>
      </c>
      <c r="O20" s="11" t="s">
        <v>729</v>
      </c>
      <c r="P20" s="11" t="s">
        <v>729</v>
      </c>
      <c r="Q20" s="11" t="s">
        <v>729</v>
      </c>
      <c r="R20" s="11" t="s">
        <v>729</v>
      </c>
      <c r="S20" s="11" t="s">
        <v>729</v>
      </c>
      <c r="T20" s="11" t="s">
        <v>729</v>
      </c>
      <c r="U20" s="11" t="s">
        <v>729</v>
      </c>
      <c r="V20" s="12" t="s">
        <v>729</v>
      </c>
    </row>
    <row r="21" ht="15.5" customHeight="1" spans="1:22">
      <c r="A21" s="16"/>
      <c r="B21" s="17" t="s">
        <v>694</v>
      </c>
      <c r="C21" s="6" t="s">
        <v>729</v>
      </c>
      <c r="D21" s="6" t="s">
        <v>729</v>
      </c>
      <c r="E21" s="6" t="s">
        <v>729</v>
      </c>
      <c r="F21" s="6" t="s">
        <v>729</v>
      </c>
      <c r="G21" s="6" t="s">
        <v>729</v>
      </c>
      <c r="H21" s="6" t="s">
        <v>729</v>
      </c>
      <c r="I21" s="6" t="s">
        <v>729</v>
      </c>
      <c r="J21" s="6" t="s">
        <v>729</v>
      </c>
      <c r="K21" s="6" t="s">
        <v>729</v>
      </c>
      <c r="L21" s="6" t="s">
        <v>729</v>
      </c>
      <c r="M21" s="6" t="s">
        <v>729</v>
      </c>
      <c r="N21" s="6" t="s">
        <v>729</v>
      </c>
      <c r="O21" s="6" t="s">
        <v>729</v>
      </c>
      <c r="P21" s="6" t="s">
        <v>729</v>
      </c>
      <c r="Q21" s="6" t="s">
        <v>729</v>
      </c>
      <c r="R21" s="6" t="s">
        <v>729</v>
      </c>
      <c r="S21" s="6" t="s">
        <v>729</v>
      </c>
      <c r="T21" s="6" t="s">
        <v>729</v>
      </c>
      <c r="U21" s="6" t="s">
        <v>729</v>
      </c>
      <c r="V21" s="8" t="s">
        <v>729</v>
      </c>
    </row>
    <row r="22" ht="65.5" customHeight="1" spans="1:22">
      <c r="A22" s="16"/>
      <c r="B22" s="6" t="s">
        <v>729</v>
      </c>
      <c r="C22" s="6" t="s">
        <v>729</v>
      </c>
      <c r="D22" s="18" t="s">
        <v>1482</v>
      </c>
      <c r="E22" s="6" t="s">
        <v>729</v>
      </c>
      <c r="F22" s="11" t="s">
        <v>756</v>
      </c>
      <c r="G22" s="11" t="s">
        <v>756</v>
      </c>
      <c r="H22" s="11" t="s">
        <v>752</v>
      </c>
      <c r="I22" s="11" t="s">
        <v>756</v>
      </c>
      <c r="J22" s="11" t="s">
        <v>756</v>
      </c>
      <c r="K22" s="11" t="s">
        <v>756</v>
      </c>
      <c r="L22" s="11" t="s">
        <v>729</v>
      </c>
      <c r="M22" s="11" t="s">
        <v>729</v>
      </c>
      <c r="N22" s="11" t="s">
        <v>729</v>
      </c>
      <c r="O22" s="11" t="s">
        <v>729</v>
      </c>
      <c r="P22" s="11" t="s">
        <v>729</v>
      </c>
      <c r="Q22" s="11" t="s">
        <v>729</v>
      </c>
      <c r="R22" s="11" t="s">
        <v>729</v>
      </c>
      <c r="S22" s="11" t="s">
        <v>729</v>
      </c>
      <c r="T22" s="11" t="s">
        <v>729</v>
      </c>
      <c r="U22" s="11" t="s">
        <v>729</v>
      </c>
      <c r="V22" s="12" t="s">
        <v>729</v>
      </c>
    </row>
    <row r="23" ht="18" customHeight="1" spans="1:22">
      <c r="A23" s="19" t="s">
        <v>696</v>
      </c>
      <c r="B23" s="20" t="s">
        <v>765</v>
      </c>
      <c r="C23" s="20"/>
      <c r="D23" s="20"/>
      <c r="E23" s="6" t="s">
        <v>729</v>
      </c>
      <c r="F23" s="11" t="s">
        <v>670</v>
      </c>
      <c r="G23" s="11" t="s">
        <v>670</v>
      </c>
      <c r="H23" s="11" t="s">
        <v>63</v>
      </c>
      <c r="I23" s="11" t="s">
        <v>670</v>
      </c>
      <c r="J23" s="11" t="s">
        <v>670</v>
      </c>
      <c r="K23" s="11" t="s">
        <v>670</v>
      </c>
      <c r="L23" s="11" t="s">
        <v>729</v>
      </c>
      <c r="M23" s="11" t="s">
        <v>729</v>
      </c>
      <c r="N23" s="11" t="s">
        <v>729</v>
      </c>
      <c r="O23" s="11" t="s">
        <v>729</v>
      </c>
      <c r="P23" s="11" t="s">
        <v>729</v>
      </c>
      <c r="Q23" s="11" t="s">
        <v>729</v>
      </c>
      <c r="R23" s="11" t="s">
        <v>729</v>
      </c>
      <c r="S23" s="11" t="s">
        <v>729</v>
      </c>
      <c r="T23" s="11" t="s">
        <v>729</v>
      </c>
      <c r="U23" s="11" t="s">
        <v>729</v>
      </c>
      <c r="V23" s="12" t="s">
        <v>729</v>
      </c>
    </row>
    <row r="24" ht="18" customHeight="1" spans="1:22">
      <c r="A24" s="19"/>
      <c r="B24" s="20" t="s">
        <v>698</v>
      </c>
      <c r="C24" s="20"/>
      <c r="D24" s="20"/>
      <c r="E24" s="6" t="s">
        <v>729</v>
      </c>
      <c r="F24" s="11" t="s">
        <v>766</v>
      </c>
      <c r="G24" s="11" t="s">
        <v>766</v>
      </c>
      <c r="H24" s="11" t="s">
        <v>766</v>
      </c>
      <c r="I24" s="11" t="s">
        <v>766</v>
      </c>
      <c r="J24" s="11" t="s">
        <v>766</v>
      </c>
      <c r="K24" s="11" t="s">
        <v>766</v>
      </c>
      <c r="L24" s="11" t="s">
        <v>729</v>
      </c>
      <c r="M24" s="11" t="s">
        <v>729</v>
      </c>
      <c r="N24" s="11" t="s">
        <v>729</v>
      </c>
      <c r="O24" s="11" t="s">
        <v>729</v>
      </c>
      <c r="P24" s="11" t="s">
        <v>729</v>
      </c>
      <c r="Q24" s="11" t="s">
        <v>729</v>
      </c>
      <c r="R24" s="11" t="s">
        <v>729</v>
      </c>
      <c r="S24" s="11" t="s">
        <v>729</v>
      </c>
      <c r="T24" s="11" t="s">
        <v>729</v>
      </c>
      <c r="U24" s="11" t="s">
        <v>729</v>
      </c>
      <c r="V24" s="12" t="s">
        <v>729</v>
      </c>
    </row>
    <row r="25" ht="18" customHeight="1" spans="1:22">
      <c r="A25" s="19"/>
      <c r="B25" s="20" t="s">
        <v>699</v>
      </c>
      <c r="C25" s="20"/>
      <c r="D25" s="20"/>
      <c r="E25" s="6" t="s">
        <v>729</v>
      </c>
      <c r="F25" s="6" t="s">
        <v>729</v>
      </c>
      <c r="G25" s="6" t="s">
        <v>729</v>
      </c>
      <c r="H25" s="6" t="s">
        <v>729</v>
      </c>
      <c r="I25" s="6" t="s">
        <v>729</v>
      </c>
      <c r="J25" s="6" t="s">
        <v>729</v>
      </c>
      <c r="K25" s="6" t="s">
        <v>729</v>
      </c>
      <c r="L25" s="6" t="s">
        <v>729</v>
      </c>
      <c r="M25" s="6" t="s">
        <v>729</v>
      </c>
      <c r="N25" s="6" t="s">
        <v>729</v>
      </c>
      <c r="O25" s="6" t="s">
        <v>729</v>
      </c>
      <c r="P25" s="6" t="s">
        <v>729</v>
      </c>
      <c r="Q25" s="6" t="s">
        <v>729</v>
      </c>
      <c r="R25" s="6" t="s">
        <v>729</v>
      </c>
      <c r="S25" s="6" t="s">
        <v>729</v>
      </c>
      <c r="T25" s="6" t="s">
        <v>729</v>
      </c>
      <c r="U25" s="6" t="s">
        <v>729</v>
      </c>
      <c r="V25" s="8" t="s">
        <v>729</v>
      </c>
    </row>
    <row r="26" ht="18" customHeight="1" spans="1:22">
      <c r="A26" s="19"/>
      <c r="B26" s="21" t="s">
        <v>700</v>
      </c>
      <c r="C26" s="21"/>
      <c r="D26" s="21"/>
      <c r="E26" s="22" t="s">
        <v>729</v>
      </c>
      <c r="F26" s="22" t="s">
        <v>729</v>
      </c>
      <c r="G26" s="22" t="s">
        <v>729</v>
      </c>
      <c r="H26" s="22" t="s">
        <v>729</v>
      </c>
      <c r="I26" s="22" t="s">
        <v>729</v>
      </c>
      <c r="J26" s="22" t="s">
        <v>729</v>
      </c>
      <c r="K26" s="22" t="s">
        <v>729</v>
      </c>
      <c r="L26" s="22" t="s">
        <v>729</v>
      </c>
      <c r="M26" s="22" t="s">
        <v>729</v>
      </c>
      <c r="N26" s="22" t="s">
        <v>729</v>
      </c>
      <c r="O26" s="22" t="s">
        <v>729</v>
      </c>
      <c r="P26" s="22" t="s">
        <v>729</v>
      </c>
      <c r="Q26" s="22" t="s">
        <v>729</v>
      </c>
      <c r="R26" s="22" t="s">
        <v>729</v>
      </c>
      <c r="S26" s="22" t="s">
        <v>729</v>
      </c>
      <c r="T26" s="22" t="s">
        <v>729</v>
      </c>
      <c r="U26" s="22" t="s">
        <v>729</v>
      </c>
      <c r="V26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23:D23"/>
    <mergeCell ref="B24:D24"/>
    <mergeCell ref="B25:D25"/>
    <mergeCell ref="B26:D26"/>
    <mergeCell ref="A7:A13"/>
    <mergeCell ref="A14:A22"/>
    <mergeCell ref="A23:A26"/>
  </mergeCells>
  <dataValidations count="3">
    <dataValidation type="list" allowBlank="1" sqref="F22:V22 F10:V13 F15:V20 F8:V9">
      <formula1>"O,-"</formula1>
    </dataValidation>
    <dataValidation type="list" allowBlank="1" sqref="F23:V23">
      <formula1>"N,A,B"</formula1>
    </dataValidation>
    <dataValidation type="list" allowBlank="1" sqref="F24:V24">
      <formula1>"P,F"</formula1>
    </dataValidation>
  </dataValidations>
  <pageMargins left="0.7" right="0.7" top="0.75" bottom="0.75" header="0.3" footer="0.3"/>
  <pageSetup paperSize="1" orientation="portrait"/>
  <headerFooter/>
</worksheet>
</file>

<file path=xl/worksheets/sheet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8"/>
  <sheetViews>
    <sheetView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524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543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1483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8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2</v>
      </c>
      <c r="M5" s="11">
        <v>6</v>
      </c>
      <c r="N5" s="11">
        <v>0</v>
      </c>
      <c r="O5" s="12">
        <v>8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687</v>
      </c>
      <c r="H6" s="14" t="s">
        <v>688</v>
      </c>
      <c r="I6" s="14" t="s">
        <v>689</v>
      </c>
      <c r="J6" s="14" t="s">
        <v>863</v>
      </c>
      <c r="K6" s="14" t="s">
        <v>864</v>
      </c>
      <c r="L6" s="14" t="s">
        <v>1412</v>
      </c>
      <c r="M6" s="14" t="s">
        <v>1484</v>
      </c>
      <c r="N6" s="14" t="s">
        <v>729</v>
      </c>
      <c r="O6" s="14" t="s">
        <v>729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28" customHeight="1" spans="1:22">
      <c r="A7" s="16" t="s">
        <v>690</v>
      </c>
      <c r="B7" s="17" t="s">
        <v>1485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28" customHeight="1" spans="1:22">
      <c r="A8" s="16"/>
      <c r="B8" s="6" t="s">
        <v>729</v>
      </c>
      <c r="C8" s="6" t="s">
        <v>729</v>
      </c>
      <c r="D8" s="18" t="s">
        <v>1435</v>
      </c>
      <c r="E8" s="6" t="s">
        <v>729</v>
      </c>
      <c r="F8" s="11" t="s">
        <v>752</v>
      </c>
      <c r="G8" s="11" t="s">
        <v>756</v>
      </c>
      <c r="H8" s="11" t="s">
        <v>756</v>
      </c>
      <c r="I8" s="11" t="s">
        <v>756</v>
      </c>
      <c r="J8" s="11" t="s">
        <v>756</v>
      </c>
      <c r="K8" s="11" t="s">
        <v>756</v>
      </c>
      <c r="L8" s="11" t="s">
        <v>756</v>
      </c>
      <c r="M8" s="11" t="s">
        <v>756</v>
      </c>
      <c r="N8" s="11" t="s">
        <v>729</v>
      </c>
      <c r="O8" s="11" t="s">
        <v>729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28" customHeight="1" spans="1:22">
      <c r="A9" s="16"/>
      <c r="B9" s="6" t="s">
        <v>729</v>
      </c>
      <c r="C9" s="6" t="s">
        <v>729</v>
      </c>
      <c r="D9" s="18" t="s">
        <v>1486</v>
      </c>
      <c r="E9" s="6" t="s">
        <v>729</v>
      </c>
      <c r="F9" s="11" t="s">
        <v>756</v>
      </c>
      <c r="G9" s="11" t="s">
        <v>752</v>
      </c>
      <c r="H9" s="11" t="s">
        <v>756</v>
      </c>
      <c r="I9" s="11" t="s">
        <v>756</v>
      </c>
      <c r="J9" s="11" t="s">
        <v>756</v>
      </c>
      <c r="K9" s="11" t="s">
        <v>756</v>
      </c>
      <c r="L9" s="11" t="s">
        <v>756</v>
      </c>
      <c r="M9" s="11" t="s">
        <v>756</v>
      </c>
      <c r="N9" s="11" t="s">
        <v>729</v>
      </c>
      <c r="O9" s="11" t="s">
        <v>729</v>
      </c>
      <c r="P9" s="11" t="s">
        <v>729</v>
      </c>
      <c r="Q9" s="11" t="s">
        <v>729</v>
      </c>
      <c r="R9" s="11" t="s">
        <v>729</v>
      </c>
      <c r="S9" s="11" t="s">
        <v>729</v>
      </c>
      <c r="T9" s="11" t="s">
        <v>729</v>
      </c>
      <c r="U9" s="11" t="s">
        <v>729</v>
      </c>
      <c r="V9" s="12" t="s">
        <v>729</v>
      </c>
    </row>
    <row r="10" ht="28" customHeight="1" spans="1:22">
      <c r="A10" s="16"/>
      <c r="B10" s="6" t="s">
        <v>729</v>
      </c>
      <c r="C10" s="6" t="s">
        <v>729</v>
      </c>
      <c r="D10" s="18" t="s">
        <v>1487</v>
      </c>
      <c r="E10" s="6" t="s">
        <v>729</v>
      </c>
      <c r="F10" s="11" t="s">
        <v>756</v>
      </c>
      <c r="G10" s="11" t="s">
        <v>756</v>
      </c>
      <c r="H10" s="11" t="s">
        <v>752</v>
      </c>
      <c r="I10" s="11" t="s">
        <v>756</v>
      </c>
      <c r="J10" s="11" t="s">
        <v>756</v>
      </c>
      <c r="K10" s="11" t="s">
        <v>756</v>
      </c>
      <c r="L10" s="11" t="s">
        <v>756</v>
      </c>
      <c r="M10" s="11" t="s">
        <v>756</v>
      </c>
      <c r="N10" s="11" t="s">
        <v>729</v>
      </c>
      <c r="O10" s="11" t="s">
        <v>729</v>
      </c>
      <c r="P10" s="11" t="s">
        <v>729</v>
      </c>
      <c r="Q10" s="11" t="s">
        <v>729</v>
      </c>
      <c r="R10" s="11" t="s">
        <v>729</v>
      </c>
      <c r="S10" s="11" t="s">
        <v>729</v>
      </c>
      <c r="T10" s="11" t="s">
        <v>729</v>
      </c>
      <c r="U10" s="11" t="s">
        <v>729</v>
      </c>
      <c r="V10" s="12" t="s">
        <v>729</v>
      </c>
    </row>
    <row r="11" ht="28" customHeight="1" spans="1:22">
      <c r="A11" s="16"/>
      <c r="B11" s="17" t="s">
        <v>1488</v>
      </c>
      <c r="C11" s="6" t="s">
        <v>729</v>
      </c>
      <c r="D11" s="6" t="s">
        <v>729</v>
      </c>
      <c r="E11" s="6" t="s">
        <v>729</v>
      </c>
      <c r="F11" s="6" t="s">
        <v>729</v>
      </c>
      <c r="G11" s="6" t="s">
        <v>729</v>
      </c>
      <c r="H11" s="6" t="s">
        <v>729</v>
      </c>
      <c r="I11" s="6" t="s">
        <v>729</v>
      </c>
      <c r="J11" s="6" t="s">
        <v>729</v>
      </c>
      <c r="K11" s="6" t="s">
        <v>729</v>
      </c>
      <c r="L11" s="6" t="s">
        <v>729</v>
      </c>
      <c r="M11" s="6" t="s">
        <v>729</v>
      </c>
      <c r="N11" s="6" t="s">
        <v>729</v>
      </c>
      <c r="O11" s="6" t="s">
        <v>729</v>
      </c>
      <c r="P11" s="6" t="s">
        <v>729</v>
      </c>
      <c r="Q11" s="6" t="s">
        <v>729</v>
      </c>
      <c r="R11" s="6" t="s">
        <v>729</v>
      </c>
      <c r="S11" s="6" t="s">
        <v>729</v>
      </c>
      <c r="T11" s="6" t="s">
        <v>729</v>
      </c>
      <c r="U11" s="6" t="s">
        <v>729</v>
      </c>
      <c r="V11" s="8" t="s">
        <v>729</v>
      </c>
    </row>
    <row r="12" ht="28" customHeight="1" spans="1:22">
      <c r="A12" s="16"/>
      <c r="B12" s="6" t="s">
        <v>729</v>
      </c>
      <c r="C12" s="6" t="s">
        <v>729</v>
      </c>
      <c r="D12" s="18" t="s">
        <v>1489</v>
      </c>
      <c r="E12" s="6" t="s">
        <v>729</v>
      </c>
      <c r="F12" s="11" t="s">
        <v>756</v>
      </c>
      <c r="G12" s="11" t="s">
        <v>756</v>
      </c>
      <c r="H12" s="11" t="s">
        <v>756</v>
      </c>
      <c r="I12" s="11" t="s">
        <v>752</v>
      </c>
      <c r="J12" s="11" t="s">
        <v>756</v>
      </c>
      <c r="K12" s="11" t="s">
        <v>756</v>
      </c>
      <c r="L12" s="11" t="s">
        <v>756</v>
      </c>
      <c r="M12" s="11" t="s">
        <v>756</v>
      </c>
      <c r="N12" s="11" t="s">
        <v>729</v>
      </c>
      <c r="O12" s="11" t="s">
        <v>729</v>
      </c>
      <c r="P12" s="11" t="s">
        <v>729</v>
      </c>
      <c r="Q12" s="11" t="s">
        <v>729</v>
      </c>
      <c r="R12" s="11" t="s">
        <v>729</v>
      </c>
      <c r="S12" s="11" t="s">
        <v>729</v>
      </c>
      <c r="T12" s="11" t="s">
        <v>729</v>
      </c>
      <c r="U12" s="11" t="s">
        <v>729</v>
      </c>
      <c r="V12" s="12" t="s">
        <v>729</v>
      </c>
    </row>
    <row r="13" ht="40.5" customHeight="1" spans="1:22">
      <c r="A13" s="16"/>
      <c r="B13" s="6" t="s">
        <v>729</v>
      </c>
      <c r="C13" s="6" t="s">
        <v>729</v>
      </c>
      <c r="D13" s="18" t="s">
        <v>1490</v>
      </c>
      <c r="E13" s="6" t="s">
        <v>729</v>
      </c>
      <c r="F13" s="11" t="s">
        <v>756</v>
      </c>
      <c r="G13" s="11" t="s">
        <v>756</v>
      </c>
      <c r="H13" s="11" t="s">
        <v>756</v>
      </c>
      <c r="I13" s="11" t="s">
        <v>756</v>
      </c>
      <c r="J13" s="11" t="s">
        <v>752</v>
      </c>
      <c r="K13" s="11" t="s">
        <v>756</v>
      </c>
      <c r="L13" s="11" t="s">
        <v>756</v>
      </c>
      <c r="M13" s="11" t="s">
        <v>756</v>
      </c>
      <c r="N13" s="11" t="s">
        <v>729</v>
      </c>
      <c r="O13" s="11" t="s">
        <v>729</v>
      </c>
      <c r="P13" s="11" t="s">
        <v>729</v>
      </c>
      <c r="Q13" s="11" t="s">
        <v>729</v>
      </c>
      <c r="R13" s="11" t="s">
        <v>729</v>
      </c>
      <c r="S13" s="11" t="s">
        <v>729</v>
      </c>
      <c r="T13" s="11" t="s">
        <v>729</v>
      </c>
      <c r="U13" s="11" t="s">
        <v>729</v>
      </c>
      <c r="V13" s="12" t="s">
        <v>729</v>
      </c>
    </row>
    <row r="14" ht="40.5" customHeight="1" spans="1:22">
      <c r="A14" s="16"/>
      <c r="B14" s="6" t="s">
        <v>729</v>
      </c>
      <c r="C14" s="6" t="s">
        <v>729</v>
      </c>
      <c r="D14" s="18" t="s">
        <v>1491</v>
      </c>
      <c r="E14" s="6" t="s">
        <v>729</v>
      </c>
      <c r="F14" s="11" t="s">
        <v>756</v>
      </c>
      <c r="G14" s="11" t="s">
        <v>756</v>
      </c>
      <c r="H14" s="11" t="s">
        <v>756</v>
      </c>
      <c r="I14" s="11" t="s">
        <v>756</v>
      </c>
      <c r="J14" s="11" t="s">
        <v>756</v>
      </c>
      <c r="K14" s="11" t="s">
        <v>752</v>
      </c>
      <c r="L14" s="11" t="s">
        <v>756</v>
      </c>
      <c r="M14" s="11" t="s">
        <v>756</v>
      </c>
      <c r="N14" s="11" t="s">
        <v>729</v>
      </c>
      <c r="O14" s="11" t="s">
        <v>729</v>
      </c>
      <c r="P14" s="11" t="s">
        <v>729</v>
      </c>
      <c r="Q14" s="11" t="s">
        <v>729</v>
      </c>
      <c r="R14" s="11" t="s">
        <v>729</v>
      </c>
      <c r="S14" s="11" t="s">
        <v>729</v>
      </c>
      <c r="T14" s="11" t="s">
        <v>729</v>
      </c>
      <c r="U14" s="11" t="s">
        <v>729</v>
      </c>
      <c r="V14" s="12" t="s">
        <v>729</v>
      </c>
    </row>
    <row r="15" ht="53" customHeight="1" spans="1:22">
      <c r="A15" s="16"/>
      <c r="B15" s="6" t="s">
        <v>729</v>
      </c>
      <c r="C15" s="6" t="s">
        <v>729</v>
      </c>
      <c r="D15" s="18" t="s">
        <v>1492</v>
      </c>
      <c r="E15" s="6" t="s">
        <v>729</v>
      </c>
      <c r="F15" s="11" t="s">
        <v>756</v>
      </c>
      <c r="G15" s="11" t="s">
        <v>756</v>
      </c>
      <c r="H15" s="11" t="s">
        <v>756</v>
      </c>
      <c r="I15" s="11" t="s">
        <v>756</v>
      </c>
      <c r="J15" s="11" t="s">
        <v>756</v>
      </c>
      <c r="K15" s="11" t="s">
        <v>756</v>
      </c>
      <c r="L15" s="11" t="s">
        <v>752</v>
      </c>
      <c r="M15" s="11" t="s">
        <v>756</v>
      </c>
      <c r="N15" s="11" t="s">
        <v>729</v>
      </c>
      <c r="O15" s="11" t="s">
        <v>729</v>
      </c>
      <c r="P15" s="11" t="s">
        <v>729</v>
      </c>
      <c r="Q15" s="11" t="s">
        <v>729</v>
      </c>
      <c r="R15" s="11" t="s">
        <v>729</v>
      </c>
      <c r="S15" s="11" t="s">
        <v>729</v>
      </c>
      <c r="T15" s="11" t="s">
        <v>729</v>
      </c>
      <c r="U15" s="11" t="s">
        <v>729</v>
      </c>
      <c r="V15" s="12" t="s">
        <v>729</v>
      </c>
    </row>
    <row r="16" ht="40.5" customHeight="1" spans="1:22">
      <c r="A16" s="16"/>
      <c r="B16" s="6" t="s">
        <v>729</v>
      </c>
      <c r="C16" s="6" t="s">
        <v>729</v>
      </c>
      <c r="D16" s="18" t="s">
        <v>1493</v>
      </c>
      <c r="E16" s="6" t="s">
        <v>729</v>
      </c>
      <c r="F16" s="11" t="s">
        <v>756</v>
      </c>
      <c r="G16" s="11" t="s">
        <v>756</v>
      </c>
      <c r="H16" s="11" t="s">
        <v>756</v>
      </c>
      <c r="I16" s="11" t="s">
        <v>756</v>
      </c>
      <c r="J16" s="11" t="s">
        <v>756</v>
      </c>
      <c r="K16" s="11" t="s">
        <v>756</v>
      </c>
      <c r="L16" s="11" t="s">
        <v>756</v>
      </c>
      <c r="M16" s="11" t="s">
        <v>752</v>
      </c>
      <c r="N16" s="11" t="s">
        <v>729</v>
      </c>
      <c r="O16" s="11" t="s">
        <v>729</v>
      </c>
      <c r="P16" s="11" t="s">
        <v>729</v>
      </c>
      <c r="Q16" s="11" t="s">
        <v>729</v>
      </c>
      <c r="R16" s="11" t="s">
        <v>729</v>
      </c>
      <c r="S16" s="11" t="s">
        <v>729</v>
      </c>
      <c r="T16" s="11" t="s">
        <v>729</v>
      </c>
      <c r="U16" s="11" t="s">
        <v>729</v>
      </c>
      <c r="V16" s="12" t="s">
        <v>729</v>
      </c>
    </row>
    <row r="17" ht="15.5" customHeight="1" spans="1:22">
      <c r="A17" s="16" t="s">
        <v>692</v>
      </c>
      <c r="B17" s="17" t="s">
        <v>693</v>
      </c>
      <c r="C17" s="6" t="s">
        <v>729</v>
      </c>
      <c r="D17" s="6" t="s">
        <v>729</v>
      </c>
      <c r="E17" s="6" t="s">
        <v>729</v>
      </c>
      <c r="F17" s="6" t="s">
        <v>729</v>
      </c>
      <c r="G17" s="6" t="s">
        <v>729</v>
      </c>
      <c r="H17" s="6" t="s">
        <v>729</v>
      </c>
      <c r="I17" s="6" t="s">
        <v>729</v>
      </c>
      <c r="J17" s="6" t="s">
        <v>729</v>
      </c>
      <c r="K17" s="6" t="s">
        <v>729</v>
      </c>
      <c r="L17" s="6" t="s">
        <v>729</v>
      </c>
      <c r="M17" s="6" t="s">
        <v>729</v>
      </c>
      <c r="N17" s="6" t="s">
        <v>729</v>
      </c>
      <c r="O17" s="6" t="s">
        <v>729</v>
      </c>
      <c r="P17" s="6" t="s">
        <v>729</v>
      </c>
      <c r="Q17" s="6" t="s">
        <v>729</v>
      </c>
      <c r="R17" s="6" t="s">
        <v>729</v>
      </c>
      <c r="S17" s="6" t="s">
        <v>729</v>
      </c>
      <c r="T17" s="6" t="s">
        <v>729</v>
      </c>
      <c r="U17" s="6" t="s">
        <v>729</v>
      </c>
      <c r="V17" s="8" t="s">
        <v>729</v>
      </c>
    </row>
    <row r="18" ht="28" customHeight="1" spans="1:22">
      <c r="A18" s="16"/>
      <c r="B18" s="6" t="s">
        <v>729</v>
      </c>
      <c r="C18" s="6" t="s">
        <v>729</v>
      </c>
      <c r="D18" s="18" t="s">
        <v>1494</v>
      </c>
      <c r="E18" s="6" t="s">
        <v>729</v>
      </c>
      <c r="F18" s="11" t="s">
        <v>752</v>
      </c>
      <c r="G18" s="11" t="s">
        <v>756</v>
      </c>
      <c r="H18" s="11" t="s">
        <v>756</v>
      </c>
      <c r="I18" s="11" t="s">
        <v>756</v>
      </c>
      <c r="J18" s="11" t="s">
        <v>756</v>
      </c>
      <c r="K18" s="11" t="s">
        <v>756</v>
      </c>
      <c r="L18" s="11" t="s">
        <v>756</v>
      </c>
      <c r="M18" s="11" t="s">
        <v>756</v>
      </c>
      <c r="N18" s="11" t="s">
        <v>729</v>
      </c>
      <c r="O18" s="11" t="s">
        <v>729</v>
      </c>
      <c r="P18" s="11" t="s">
        <v>729</v>
      </c>
      <c r="Q18" s="11" t="s">
        <v>729</v>
      </c>
      <c r="R18" s="11" t="s">
        <v>729</v>
      </c>
      <c r="S18" s="11" t="s">
        <v>729</v>
      </c>
      <c r="T18" s="11" t="s">
        <v>729</v>
      </c>
      <c r="U18" s="11" t="s">
        <v>729</v>
      </c>
      <c r="V18" s="12" t="s">
        <v>729</v>
      </c>
    </row>
    <row r="19" ht="40.5" customHeight="1" spans="1:22">
      <c r="A19" s="16"/>
      <c r="B19" s="6" t="s">
        <v>729</v>
      </c>
      <c r="C19" s="6" t="s">
        <v>729</v>
      </c>
      <c r="D19" s="18" t="s">
        <v>1495</v>
      </c>
      <c r="E19" s="6" t="s">
        <v>729</v>
      </c>
      <c r="F19" s="11" t="s">
        <v>756</v>
      </c>
      <c r="G19" s="11" t="s">
        <v>752</v>
      </c>
      <c r="H19" s="11" t="s">
        <v>756</v>
      </c>
      <c r="I19" s="11" t="s">
        <v>756</v>
      </c>
      <c r="J19" s="11" t="s">
        <v>756</v>
      </c>
      <c r="K19" s="11" t="s">
        <v>756</v>
      </c>
      <c r="L19" s="11" t="s">
        <v>756</v>
      </c>
      <c r="M19" s="11" t="s">
        <v>756</v>
      </c>
      <c r="N19" s="11" t="s">
        <v>729</v>
      </c>
      <c r="O19" s="11" t="s">
        <v>729</v>
      </c>
      <c r="P19" s="11" t="s">
        <v>729</v>
      </c>
      <c r="Q19" s="11" t="s">
        <v>729</v>
      </c>
      <c r="R19" s="11" t="s">
        <v>729</v>
      </c>
      <c r="S19" s="11" t="s">
        <v>729</v>
      </c>
      <c r="T19" s="11" t="s">
        <v>729</v>
      </c>
      <c r="U19" s="11" t="s">
        <v>729</v>
      </c>
      <c r="V19" s="12" t="s">
        <v>729</v>
      </c>
    </row>
    <row r="20" ht="90.5" customHeight="1" spans="1:22">
      <c r="A20" s="16"/>
      <c r="B20" s="6" t="s">
        <v>729</v>
      </c>
      <c r="C20" s="6" t="s">
        <v>729</v>
      </c>
      <c r="D20" s="18" t="s">
        <v>1496</v>
      </c>
      <c r="E20" s="6" t="s">
        <v>729</v>
      </c>
      <c r="F20" s="11" t="s">
        <v>756</v>
      </c>
      <c r="G20" s="11" t="s">
        <v>756</v>
      </c>
      <c r="H20" s="11" t="s">
        <v>752</v>
      </c>
      <c r="I20" s="11" t="s">
        <v>756</v>
      </c>
      <c r="J20" s="11" t="s">
        <v>756</v>
      </c>
      <c r="K20" s="11" t="s">
        <v>756</v>
      </c>
      <c r="L20" s="11" t="s">
        <v>756</v>
      </c>
      <c r="M20" s="11" t="s">
        <v>756</v>
      </c>
      <c r="N20" s="11" t="s">
        <v>729</v>
      </c>
      <c r="O20" s="11" t="s">
        <v>729</v>
      </c>
      <c r="P20" s="11" t="s">
        <v>729</v>
      </c>
      <c r="Q20" s="11" t="s">
        <v>729</v>
      </c>
      <c r="R20" s="11" t="s">
        <v>729</v>
      </c>
      <c r="S20" s="11" t="s">
        <v>729</v>
      </c>
      <c r="T20" s="11" t="s">
        <v>729</v>
      </c>
      <c r="U20" s="11" t="s">
        <v>729</v>
      </c>
      <c r="V20" s="12" t="s">
        <v>729</v>
      </c>
    </row>
    <row r="21" ht="90.5" customHeight="1" spans="1:22">
      <c r="A21" s="16"/>
      <c r="B21" s="6" t="s">
        <v>729</v>
      </c>
      <c r="C21" s="6" t="s">
        <v>729</v>
      </c>
      <c r="D21" s="18" t="s">
        <v>1497</v>
      </c>
      <c r="E21" s="6" t="s">
        <v>729</v>
      </c>
      <c r="F21" s="11" t="s">
        <v>756</v>
      </c>
      <c r="G21" s="11" t="s">
        <v>756</v>
      </c>
      <c r="H21" s="11" t="s">
        <v>756</v>
      </c>
      <c r="I21" s="11" t="s">
        <v>752</v>
      </c>
      <c r="J21" s="11" t="s">
        <v>752</v>
      </c>
      <c r="K21" s="11" t="s">
        <v>756</v>
      </c>
      <c r="L21" s="11" t="s">
        <v>756</v>
      </c>
      <c r="M21" s="11" t="s">
        <v>756</v>
      </c>
      <c r="N21" s="11" t="s">
        <v>729</v>
      </c>
      <c r="O21" s="11" t="s">
        <v>729</v>
      </c>
      <c r="P21" s="11" t="s">
        <v>729</v>
      </c>
      <c r="Q21" s="11" t="s">
        <v>729</v>
      </c>
      <c r="R21" s="11" t="s">
        <v>729</v>
      </c>
      <c r="S21" s="11" t="s">
        <v>729</v>
      </c>
      <c r="T21" s="11" t="s">
        <v>729</v>
      </c>
      <c r="U21" s="11" t="s">
        <v>729</v>
      </c>
      <c r="V21" s="12" t="s">
        <v>729</v>
      </c>
    </row>
    <row r="22" ht="40.5" customHeight="1" spans="1:22">
      <c r="A22" s="16"/>
      <c r="B22" s="6" t="s">
        <v>729</v>
      </c>
      <c r="C22" s="6" t="s">
        <v>729</v>
      </c>
      <c r="D22" s="18" t="s">
        <v>1498</v>
      </c>
      <c r="E22" s="6" t="s">
        <v>729</v>
      </c>
      <c r="F22" s="11" t="s">
        <v>756</v>
      </c>
      <c r="G22" s="11" t="s">
        <v>756</v>
      </c>
      <c r="H22" s="11" t="s">
        <v>756</v>
      </c>
      <c r="I22" s="11" t="s">
        <v>756</v>
      </c>
      <c r="J22" s="11" t="s">
        <v>756</v>
      </c>
      <c r="K22" s="11" t="s">
        <v>752</v>
      </c>
      <c r="L22" s="11" t="s">
        <v>756</v>
      </c>
      <c r="M22" s="11" t="s">
        <v>756</v>
      </c>
      <c r="N22" s="11" t="s">
        <v>729</v>
      </c>
      <c r="O22" s="11" t="s">
        <v>729</v>
      </c>
      <c r="P22" s="11" t="s">
        <v>729</v>
      </c>
      <c r="Q22" s="11" t="s">
        <v>729</v>
      </c>
      <c r="R22" s="11" t="s">
        <v>729</v>
      </c>
      <c r="S22" s="11" t="s">
        <v>729</v>
      </c>
      <c r="T22" s="11" t="s">
        <v>729</v>
      </c>
      <c r="U22" s="11" t="s">
        <v>729</v>
      </c>
      <c r="V22" s="12" t="s">
        <v>729</v>
      </c>
    </row>
    <row r="23" ht="28" customHeight="1" spans="1:22">
      <c r="A23" s="16"/>
      <c r="B23" s="6" t="s">
        <v>729</v>
      </c>
      <c r="C23" s="6" t="s">
        <v>729</v>
      </c>
      <c r="D23" s="18" t="s">
        <v>1499</v>
      </c>
      <c r="E23" s="6" t="s">
        <v>729</v>
      </c>
      <c r="F23" s="11" t="s">
        <v>756</v>
      </c>
      <c r="G23" s="11" t="s">
        <v>756</v>
      </c>
      <c r="H23" s="11" t="s">
        <v>756</v>
      </c>
      <c r="I23" s="11" t="s">
        <v>756</v>
      </c>
      <c r="J23" s="11" t="s">
        <v>756</v>
      </c>
      <c r="K23" s="11" t="s">
        <v>756</v>
      </c>
      <c r="L23" s="11" t="s">
        <v>752</v>
      </c>
      <c r="M23" s="11" t="s">
        <v>756</v>
      </c>
      <c r="N23" s="11" t="s">
        <v>729</v>
      </c>
      <c r="O23" s="11" t="s">
        <v>729</v>
      </c>
      <c r="P23" s="11" t="s">
        <v>729</v>
      </c>
      <c r="Q23" s="11" t="s">
        <v>729</v>
      </c>
      <c r="R23" s="11" t="s">
        <v>729</v>
      </c>
      <c r="S23" s="11" t="s">
        <v>729</v>
      </c>
      <c r="T23" s="11" t="s">
        <v>729</v>
      </c>
      <c r="U23" s="11" t="s">
        <v>729</v>
      </c>
      <c r="V23" s="12" t="s">
        <v>729</v>
      </c>
    </row>
    <row r="24" ht="90.5" customHeight="1" spans="1:22">
      <c r="A24" s="16"/>
      <c r="B24" s="6" t="s">
        <v>729</v>
      </c>
      <c r="C24" s="6" t="s">
        <v>729</v>
      </c>
      <c r="D24" s="18" t="s">
        <v>1500</v>
      </c>
      <c r="E24" s="6" t="s">
        <v>729</v>
      </c>
      <c r="F24" s="11" t="s">
        <v>756</v>
      </c>
      <c r="G24" s="11" t="s">
        <v>756</v>
      </c>
      <c r="H24" s="11" t="s">
        <v>756</v>
      </c>
      <c r="I24" s="11" t="s">
        <v>756</v>
      </c>
      <c r="J24" s="11" t="s">
        <v>756</v>
      </c>
      <c r="K24" s="11" t="s">
        <v>756</v>
      </c>
      <c r="L24" s="11" t="s">
        <v>756</v>
      </c>
      <c r="M24" s="11" t="s">
        <v>752</v>
      </c>
      <c r="N24" s="11" t="s">
        <v>729</v>
      </c>
      <c r="O24" s="11" t="s">
        <v>729</v>
      </c>
      <c r="P24" s="11" t="s">
        <v>729</v>
      </c>
      <c r="Q24" s="11" t="s">
        <v>729</v>
      </c>
      <c r="R24" s="11" t="s">
        <v>729</v>
      </c>
      <c r="S24" s="11" t="s">
        <v>729</v>
      </c>
      <c r="T24" s="11" t="s">
        <v>729</v>
      </c>
      <c r="U24" s="11" t="s">
        <v>729</v>
      </c>
      <c r="V24" s="12" t="s">
        <v>729</v>
      </c>
    </row>
    <row r="25" ht="18" customHeight="1" spans="1:22">
      <c r="A25" s="19" t="s">
        <v>696</v>
      </c>
      <c r="B25" s="20" t="s">
        <v>765</v>
      </c>
      <c r="C25" s="20"/>
      <c r="D25" s="20"/>
      <c r="E25" s="6" t="s">
        <v>729</v>
      </c>
      <c r="F25" s="11" t="s">
        <v>63</v>
      </c>
      <c r="G25" s="11" t="s">
        <v>63</v>
      </c>
      <c r="H25" s="11" t="s">
        <v>670</v>
      </c>
      <c r="I25" s="11" t="s">
        <v>63</v>
      </c>
      <c r="J25" s="11" t="s">
        <v>63</v>
      </c>
      <c r="K25" s="11" t="s">
        <v>63</v>
      </c>
      <c r="L25" s="11" t="s">
        <v>63</v>
      </c>
      <c r="M25" s="11" t="s">
        <v>670</v>
      </c>
      <c r="N25" s="11" t="s">
        <v>729</v>
      </c>
      <c r="O25" s="11" t="s">
        <v>729</v>
      </c>
      <c r="P25" s="11" t="s">
        <v>729</v>
      </c>
      <c r="Q25" s="11" t="s">
        <v>729</v>
      </c>
      <c r="R25" s="11" t="s">
        <v>729</v>
      </c>
      <c r="S25" s="11" t="s">
        <v>729</v>
      </c>
      <c r="T25" s="11" t="s">
        <v>729</v>
      </c>
      <c r="U25" s="11" t="s">
        <v>729</v>
      </c>
      <c r="V25" s="12" t="s">
        <v>729</v>
      </c>
    </row>
    <row r="26" ht="18" customHeight="1" spans="1:22">
      <c r="A26" s="19"/>
      <c r="B26" s="20" t="s">
        <v>698</v>
      </c>
      <c r="C26" s="20"/>
      <c r="D26" s="20"/>
      <c r="E26" s="6" t="s">
        <v>729</v>
      </c>
      <c r="F26" s="11" t="s">
        <v>766</v>
      </c>
      <c r="G26" s="11" t="s">
        <v>766</v>
      </c>
      <c r="H26" s="11" t="s">
        <v>766</v>
      </c>
      <c r="I26" s="11" t="s">
        <v>766</v>
      </c>
      <c r="J26" s="11" t="s">
        <v>766</v>
      </c>
      <c r="K26" s="11" t="s">
        <v>766</v>
      </c>
      <c r="L26" s="11" t="s">
        <v>766</v>
      </c>
      <c r="M26" s="11" t="s">
        <v>766</v>
      </c>
      <c r="N26" s="11" t="s">
        <v>729</v>
      </c>
      <c r="O26" s="11" t="s">
        <v>729</v>
      </c>
      <c r="P26" s="11" t="s">
        <v>729</v>
      </c>
      <c r="Q26" s="11" t="s">
        <v>729</v>
      </c>
      <c r="R26" s="11" t="s">
        <v>729</v>
      </c>
      <c r="S26" s="11" t="s">
        <v>729</v>
      </c>
      <c r="T26" s="11" t="s">
        <v>729</v>
      </c>
      <c r="U26" s="11" t="s">
        <v>729</v>
      </c>
      <c r="V26" s="12" t="s">
        <v>729</v>
      </c>
    </row>
    <row r="27" ht="18" customHeight="1" spans="1:22">
      <c r="A27" s="19"/>
      <c r="B27" s="20" t="s">
        <v>699</v>
      </c>
      <c r="C27" s="20"/>
      <c r="D27" s="20"/>
      <c r="E27" s="6" t="s">
        <v>729</v>
      </c>
      <c r="F27" s="6" t="s">
        <v>729</v>
      </c>
      <c r="G27" s="6" t="s">
        <v>729</v>
      </c>
      <c r="H27" s="6" t="s">
        <v>729</v>
      </c>
      <c r="I27" s="6" t="s">
        <v>729</v>
      </c>
      <c r="J27" s="6" t="s">
        <v>729</v>
      </c>
      <c r="K27" s="6" t="s">
        <v>729</v>
      </c>
      <c r="L27" s="6" t="s">
        <v>729</v>
      </c>
      <c r="M27" s="6" t="s">
        <v>729</v>
      </c>
      <c r="N27" s="6" t="s">
        <v>729</v>
      </c>
      <c r="O27" s="6" t="s">
        <v>729</v>
      </c>
      <c r="P27" s="6" t="s">
        <v>729</v>
      </c>
      <c r="Q27" s="6" t="s">
        <v>729</v>
      </c>
      <c r="R27" s="6" t="s">
        <v>729</v>
      </c>
      <c r="S27" s="6" t="s">
        <v>729</v>
      </c>
      <c r="T27" s="6" t="s">
        <v>729</v>
      </c>
      <c r="U27" s="6" t="s">
        <v>729</v>
      </c>
      <c r="V27" s="8" t="s">
        <v>729</v>
      </c>
    </row>
    <row r="28" ht="18" customHeight="1" spans="1:22">
      <c r="A28" s="19"/>
      <c r="B28" s="21" t="s">
        <v>700</v>
      </c>
      <c r="C28" s="21"/>
      <c r="D28" s="21"/>
      <c r="E28" s="22" t="s">
        <v>729</v>
      </c>
      <c r="F28" s="22" t="s">
        <v>729</v>
      </c>
      <c r="G28" s="22" t="s">
        <v>729</v>
      </c>
      <c r="H28" s="22" t="s">
        <v>729</v>
      </c>
      <c r="I28" s="22" t="s">
        <v>729</v>
      </c>
      <c r="J28" s="22" t="s">
        <v>729</v>
      </c>
      <c r="K28" s="22" t="s">
        <v>729</v>
      </c>
      <c r="L28" s="22" t="s">
        <v>729</v>
      </c>
      <c r="M28" s="22" t="s">
        <v>729</v>
      </c>
      <c r="N28" s="22" t="s">
        <v>729</v>
      </c>
      <c r="O28" s="22" t="s">
        <v>729</v>
      </c>
      <c r="P28" s="22" t="s">
        <v>729</v>
      </c>
      <c r="Q28" s="22" t="s">
        <v>729</v>
      </c>
      <c r="R28" s="22" t="s">
        <v>729</v>
      </c>
      <c r="S28" s="22" t="s">
        <v>729</v>
      </c>
      <c r="T28" s="22" t="s">
        <v>729</v>
      </c>
      <c r="U28" s="22" t="s">
        <v>729</v>
      </c>
      <c r="V28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25:D25"/>
    <mergeCell ref="B26:D26"/>
    <mergeCell ref="B27:D27"/>
    <mergeCell ref="B28:D28"/>
    <mergeCell ref="A7:A16"/>
    <mergeCell ref="A17:A24"/>
    <mergeCell ref="A25:A28"/>
  </mergeCells>
  <dataValidations count="3">
    <dataValidation type="list" allowBlank="1" sqref="F10:V10 F12:V16 F18:V24 F8:V9">
      <formula1>"O,-"</formula1>
    </dataValidation>
    <dataValidation type="list" allowBlank="1" sqref="F25:V25">
      <formula1>"N,A,B"</formula1>
    </dataValidation>
    <dataValidation type="list" allowBlank="1" sqref="F26:V26">
      <formula1>"P,F"</formula1>
    </dataValidation>
  </dataValidations>
  <pageMargins left="0.7" right="0.7" top="0.75" bottom="0.75" header="0.3" footer="0.3"/>
  <pageSetup paperSize="1" orientation="portrait"/>
  <headerFooter/>
</worksheet>
</file>

<file path=xl/worksheets/sheet1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5"/>
  <sheetViews>
    <sheetView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549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550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1501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6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5</v>
      </c>
      <c r="M5" s="11">
        <v>1</v>
      </c>
      <c r="N5" s="11">
        <v>0</v>
      </c>
      <c r="O5" s="12">
        <v>6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687</v>
      </c>
      <c r="H6" s="14" t="s">
        <v>688</v>
      </c>
      <c r="I6" s="14" t="s">
        <v>689</v>
      </c>
      <c r="J6" s="14" t="s">
        <v>863</v>
      </c>
      <c r="K6" s="14" t="s">
        <v>864</v>
      </c>
      <c r="L6" s="14" t="s">
        <v>729</v>
      </c>
      <c r="M6" s="14" t="s">
        <v>729</v>
      </c>
      <c r="N6" s="14" t="s">
        <v>729</v>
      </c>
      <c r="O6" s="14" t="s">
        <v>729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15.5" customHeight="1" spans="1:22">
      <c r="A7" s="16" t="s">
        <v>690</v>
      </c>
      <c r="B7" s="17" t="s">
        <v>1502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78" customHeight="1" spans="1:22">
      <c r="A8" s="16"/>
      <c r="B8" s="6" t="s">
        <v>729</v>
      </c>
      <c r="C8" s="6" t="s">
        <v>729</v>
      </c>
      <c r="D8" s="18" t="s">
        <v>1503</v>
      </c>
      <c r="E8" s="6" t="s">
        <v>729</v>
      </c>
      <c r="F8" s="11" t="s">
        <v>752</v>
      </c>
      <c r="G8" s="11" t="s">
        <v>756</v>
      </c>
      <c r="H8" s="11" t="s">
        <v>756</v>
      </c>
      <c r="I8" s="11" t="s">
        <v>756</v>
      </c>
      <c r="J8" s="11" t="s">
        <v>756</v>
      </c>
      <c r="K8" s="11" t="s">
        <v>756</v>
      </c>
      <c r="L8" s="11" t="s">
        <v>729</v>
      </c>
      <c r="M8" s="11" t="s">
        <v>729</v>
      </c>
      <c r="N8" s="11" t="s">
        <v>729</v>
      </c>
      <c r="O8" s="11" t="s">
        <v>729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65.5" customHeight="1" spans="1:22">
      <c r="A9" s="16"/>
      <c r="B9" s="6" t="s">
        <v>729</v>
      </c>
      <c r="C9" s="6" t="s">
        <v>729</v>
      </c>
      <c r="D9" s="18" t="s">
        <v>1504</v>
      </c>
      <c r="E9" s="6" t="s">
        <v>729</v>
      </c>
      <c r="F9" s="11" t="s">
        <v>756</v>
      </c>
      <c r="G9" s="11" t="s">
        <v>752</v>
      </c>
      <c r="H9" s="11" t="s">
        <v>756</v>
      </c>
      <c r="I9" s="11" t="s">
        <v>756</v>
      </c>
      <c r="J9" s="11" t="s">
        <v>756</v>
      </c>
      <c r="K9" s="11" t="s">
        <v>756</v>
      </c>
      <c r="L9" s="11" t="s">
        <v>729</v>
      </c>
      <c r="M9" s="11" t="s">
        <v>729</v>
      </c>
      <c r="N9" s="11" t="s">
        <v>729</v>
      </c>
      <c r="O9" s="11" t="s">
        <v>729</v>
      </c>
      <c r="P9" s="11" t="s">
        <v>729</v>
      </c>
      <c r="Q9" s="11" t="s">
        <v>729</v>
      </c>
      <c r="R9" s="11" t="s">
        <v>729</v>
      </c>
      <c r="S9" s="11" t="s">
        <v>729</v>
      </c>
      <c r="T9" s="11" t="s">
        <v>729</v>
      </c>
      <c r="U9" s="11" t="s">
        <v>729</v>
      </c>
      <c r="V9" s="12" t="s">
        <v>729</v>
      </c>
    </row>
    <row r="10" ht="65.5" customHeight="1" spans="1:22">
      <c r="A10" s="16"/>
      <c r="B10" s="6" t="s">
        <v>729</v>
      </c>
      <c r="C10" s="6" t="s">
        <v>729</v>
      </c>
      <c r="D10" s="18" t="s">
        <v>1505</v>
      </c>
      <c r="E10" s="6" t="s">
        <v>729</v>
      </c>
      <c r="F10" s="11" t="s">
        <v>756</v>
      </c>
      <c r="G10" s="11" t="s">
        <v>756</v>
      </c>
      <c r="H10" s="11" t="s">
        <v>752</v>
      </c>
      <c r="I10" s="11" t="s">
        <v>756</v>
      </c>
      <c r="J10" s="11" t="s">
        <v>756</v>
      </c>
      <c r="K10" s="11" t="s">
        <v>756</v>
      </c>
      <c r="L10" s="11" t="s">
        <v>729</v>
      </c>
      <c r="M10" s="11" t="s">
        <v>729</v>
      </c>
      <c r="N10" s="11" t="s">
        <v>729</v>
      </c>
      <c r="O10" s="11" t="s">
        <v>729</v>
      </c>
      <c r="P10" s="11" t="s">
        <v>729</v>
      </c>
      <c r="Q10" s="11" t="s">
        <v>729</v>
      </c>
      <c r="R10" s="11" t="s">
        <v>729</v>
      </c>
      <c r="S10" s="11" t="s">
        <v>729</v>
      </c>
      <c r="T10" s="11" t="s">
        <v>729</v>
      </c>
      <c r="U10" s="11" t="s">
        <v>729</v>
      </c>
      <c r="V10" s="12" t="s">
        <v>729</v>
      </c>
    </row>
    <row r="11" ht="65.5" customHeight="1" spans="1:22">
      <c r="A11" s="16"/>
      <c r="B11" s="6" t="s">
        <v>729</v>
      </c>
      <c r="C11" s="6" t="s">
        <v>729</v>
      </c>
      <c r="D11" s="18" t="s">
        <v>1506</v>
      </c>
      <c r="E11" s="6" t="s">
        <v>729</v>
      </c>
      <c r="F11" s="11" t="s">
        <v>756</v>
      </c>
      <c r="G11" s="11" t="s">
        <v>756</v>
      </c>
      <c r="H11" s="11" t="s">
        <v>756</v>
      </c>
      <c r="I11" s="11" t="s">
        <v>752</v>
      </c>
      <c r="J11" s="11" t="s">
        <v>756</v>
      </c>
      <c r="K11" s="11" t="s">
        <v>756</v>
      </c>
      <c r="L11" s="11" t="s">
        <v>729</v>
      </c>
      <c r="M11" s="11" t="s">
        <v>729</v>
      </c>
      <c r="N11" s="11" t="s">
        <v>729</v>
      </c>
      <c r="O11" s="11" t="s">
        <v>729</v>
      </c>
      <c r="P11" s="11" t="s">
        <v>729</v>
      </c>
      <c r="Q11" s="11" t="s">
        <v>729</v>
      </c>
      <c r="R11" s="11" t="s">
        <v>729</v>
      </c>
      <c r="S11" s="11" t="s">
        <v>729</v>
      </c>
      <c r="T11" s="11" t="s">
        <v>729</v>
      </c>
      <c r="U11" s="11" t="s">
        <v>729</v>
      </c>
      <c r="V11" s="12" t="s">
        <v>729</v>
      </c>
    </row>
    <row r="12" ht="53" customHeight="1" spans="1:22">
      <c r="A12" s="16"/>
      <c r="B12" s="6" t="s">
        <v>729</v>
      </c>
      <c r="C12" s="6" t="s">
        <v>729</v>
      </c>
      <c r="D12" s="18" t="s">
        <v>1507</v>
      </c>
      <c r="E12" s="6" t="s">
        <v>729</v>
      </c>
      <c r="F12" s="11" t="s">
        <v>756</v>
      </c>
      <c r="G12" s="11" t="s">
        <v>756</v>
      </c>
      <c r="H12" s="11" t="s">
        <v>756</v>
      </c>
      <c r="I12" s="11" t="s">
        <v>756</v>
      </c>
      <c r="J12" s="11" t="s">
        <v>752</v>
      </c>
      <c r="K12" s="11" t="s">
        <v>756</v>
      </c>
      <c r="L12" s="11" t="s">
        <v>729</v>
      </c>
      <c r="M12" s="11" t="s">
        <v>729</v>
      </c>
      <c r="N12" s="11" t="s">
        <v>729</v>
      </c>
      <c r="O12" s="11" t="s">
        <v>729</v>
      </c>
      <c r="P12" s="11" t="s">
        <v>729</v>
      </c>
      <c r="Q12" s="11" t="s">
        <v>729</v>
      </c>
      <c r="R12" s="11" t="s">
        <v>729</v>
      </c>
      <c r="S12" s="11" t="s">
        <v>729</v>
      </c>
      <c r="T12" s="11" t="s">
        <v>729</v>
      </c>
      <c r="U12" s="11" t="s">
        <v>729</v>
      </c>
      <c r="V12" s="12" t="s">
        <v>729</v>
      </c>
    </row>
    <row r="13" ht="78" customHeight="1" spans="1:22">
      <c r="A13" s="16"/>
      <c r="B13" s="6" t="s">
        <v>729</v>
      </c>
      <c r="C13" s="6" t="s">
        <v>729</v>
      </c>
      <c r="D13" s="18" t="s">
        <v>1508</v>
      </c>
      <c r="E13" s="6" t="s">
        <v>729</v>
      </c>
      <c r="F13" s="11" t="s">
        <v>756</v>
      </c>
      <c r="G13" s="11" t="s">
        <v>756</v>
      </c>
      <c r="H13" s="11" t="s">
        <v>756</v>
      </c>
      <c r="I13" s="11" t="s">
        <v>756</v>
      </c>
      <c r="J13" s="11" t="s">
        <v>756</v>
      </c>
      <c r="K13" s="11" t="s">
        <v>752</v>
      </c>
      <c r="L13" s="11" t="s">
        <v>729</v>
      </c>
      <c r="M13" s="11" t="s">
        <v>729</v>
      </c>
      <c r="N13" s="11" t="s">
        <v>729</v>
      </c>
      <c r="O13" s="11" t="s">
        <v>729</v>
      </c>
      <c r="P13" s="11" t="s">
        <v>729</v>
      </c>
      <c r="Q13" s="11" t="s">
        <v>729</v>
      </c>
      <c r="R13" s="11" t="s">
        <v>729</v>
      </c>
      <c r="S13" s="11" t="s">
        <v>729</v>
      </c>
      <c r="T13" s="11" t="s">
        <v>729</v>
      </c>
      <c r="U13" s="11" t="s">
        <v>729</v>
      </c>
      <c r="V13" s="12" t="s">
        <v>729</v>
      </c>
    </row>
    <row r="14" ht="15.5" customHeight="1" spans="1:22">
      <c r="A14" s="16" t="s">
        <v>692</v>
      </c>
      <c r="B14" s="17" t="s">
        <v>693</v>
      </c>
      <c r="C14" s="6" t="s">
        <v>729</v>
      </c>
      <c r="D14" s="6" t="s">
        <v>729</v>
      </c>
      <c r="E14" s="6" t="s">
        <v>729</v>
      </c>
      <c r="F14" s="6" t="s">
        <v>729</v>
      </c>
      <c r="G14" s="6" t="s">
        <v>729</v>
      </c>
      <c r="H14" s="6" t="s">
        <v>729</v>
      </c>
      <c r="I14" s="6" t="s">
        <v>729</v>
      </c>
      <c r="J14" s="6" t="s">
        <v>729</v>
      </c>
      <c r="K14" s="6" t="s">
        <v>729</v>
      </c>
      <c r="L14" s="6" t="s">
        <v>729</v>
      </c>
      <c r="M14" s="6" t="s">
        <v>729</v>
      </c>
      <c r="N14" s="6" t="s">
        <v>729</v>
      </c>
      <c r="O14" s="6" t="s">
        <v>729</v>
      </c>
      <c r="P14" s="6" t="s">
        <v>729</v>
      </c>
      <c r="Q14" s="6" t="s">
        <v>729</v>
      </c>
      <c r="R14" s="6" t="s">
        <v>729</v>
      </c>
      <c r="S14" s="6" t="s">
        <v>729</v>
      </c>
      <c r="T14" s="6" t="s">
        <v>729</v>
      </c>
      <c r="U14" s="6" t="s">
        <v>729</v>
      </c>
      <c r="V14" s="8" t="s">
        <v>729</v>
      </c>
    </row>
    <row r="15" ht="40.5" customHeight="1" spans="1:22">
      <c r="A15" s="16"/>
      <c r="B15" s="6" t="s">
        <v>729</v>
      </c>
      <c r="C15" s="6" t="s">
        <v>729</v>
      </c>
      <c r="D15" s="18" t="s">
        <v>1509</v>
      </c>
      <c r="E15" s="6" t="s">
        <v>729</v>
      </c>
      <c r="F15" s="11" t="s">
        <v>752</v>
      </c>
      <c r="G15" s="11" t="s">
        <v>756</v>
      </c>
      <c r="H15" s="11" t="s">
        <v>756</v>
      </c>
      <c r="I15" s="11" t="s">
        <v>756</v>
      </c>
      <c r="J15" s="11" t="s">
        <v>756</v>
      </c>
      <c r="K15" s="11" t="s">
        <v>756</v>
      </c>
      <c r="L15" s="11" t="s">
        <v>729</v>
      </c>
      <c r="M15" s="11" t="s">
        <v>729</v>
      </c>
      <c r="N15" s="11" t="s">
        <v>729</v>
      </c>
      <c r="O15" s="11" t="s">
        <v>729</v>
      </c>
      <c r="P15" s="11" t="s">
        <v>729</v>
      </c>
      <c r="Q15" s="11" t="s">
        <v>729</v>
      </c>
      <c r="R15" s="11" t="s">
        <v>729</v>
      </c>
      <c r="S15" s="11" t="s">
        <v>729</v>
      </c>
      <c r="T15" s="11" t="s">
        <v>729</v>
      </c>
      <c r="U15" s="11" t="s">
        <v>729</v>
      </c>
      <c r="V15" s="12" t="s">
        <v>729</v>
      </c>
    </row>
    <row r="16" ht="78" customHeight="1" spans="1:22">
      <c r="A16" s="16"/>
      <c r="B16" s="6" t="s">
        <v>729</v>
      </c>
      <c r="C16" s="6" t="s">
        <v>729</v>
      </c>
      <c r="D16" s="18" t="s">
        <v>1510</v>
      </c>
      <c r="E16" s="6" t="s">
        <v>729</v>
      </c>
      <c r="F16" s="11" t="s">
        <v>756</v>
      </c>
      <c r="G16" s="11" t="s">
        <v>752</v>
      </c>
      <c r="H16" s="11" t="s">
        <v>756</v>
      </c>
      <c r="I16" s="11" t="s">
        <v>756</v>
      </c>
      <c r="J16" s="11" t="s">
        <v>756</v>
      </c>
      <c r="K16" s="11" t="s">
        <v>756</v>
      </c>
      <c r="L16" s="11" t="s">
        <v>729</v>
      </c>
      <c r="M16" s="11" t="s">
        <v>729</v>
      </c>
      <c r="N16" s="11" t="s">
        <v>729</v>
      </c>
      <c r="O16" s="11" t="s">
        <v>729</v>
      </c>
      <c r="P16" s="11" t="s">
        <v>729</v>
      </c>
      <c r="Q16" s="11" t="s">
        <v>729</v>
      </c>
      <c r="R16" s="11" t="s">
        <v>729</v>
      </c>
      <c r="S16" s="11" t="s">
        <v>729</v>
      </c>
      <c r="T16" s="11" t="s">
        <v>729</v>
      </c>
      <c r="U16" s="11" t="s">
        <v>729</v>
      </c>
      <c r="V16" s="12" t="s">
        <v>729</v>
      </c>
    </row>
    <row r="17" ht="78" customHeight="1" spans="1:22">
      <c r="A17" s="16"/>
      <c r="B17" s="6" t="s">
        <v>729</v>
      </c>
      <c r="C17" s="6" t="s">
        <v>729</v>
      </c>
      <c r="D17" s="18" t="s">
        <v>1511</v>
      </c>
      <c r="E17" s="6" t="s">
        <v>729</v>
      </c>
      <c r="F17" s="11" t="s">
        <v>756</v>
      </c>
      <c r="G17" s="11" t="s">
        <v>756</v>
      </c>
      <c r="H17" s="11" t="s">
        <v>752</v>
      </c>
      <c r="I17" s="11" t="s">
        <v>756</v>
      </c>
      <c r="J17" s="11" t="s">
        <v>756</v>
      </c>
      <c r="K17" s="11" t="s">
        <v>756</v>
      </c>
      <c r="L17" s="11" t="s">
        <v>729</v>
      </c>
      <c r="M17" s="11" t="s">
        <v>729</v>
      </c>
      <c r="N17" s="11" t="s">
        <v>729</v>
      </c>
      <c r="O17" s="11" t="s">
        <v>729</v>
      </c>
      <c r="P17" s="11" t="s">
        <v>729</v>
      </c>
      <c r="Q17" s="11" t="s">
        <v>729</v>
      </c>
      <c r="R17" s="11" t="s">
        <v>729</v>
      </c>
      <c r="S17" s="11" t="s">
        <v>729</v>
      </c>
      <c r="T17" s="11" t="s">
        <v>729</v>
      </c>
      <c r="U17" s="11" t="s">
        <v>729</v>
      </c>
      <c r="V17" s="12" t="s">
        <v>729</v>
      </c>
    </row>
    <row r="18" ht="40.5" customHeight="1" spans="1:22">
      <c r="A18" s="16"/>
      <c r="B18" s="6" t="s">
        <v>729</v>
      </c>
      <c r="C18" s="6" t="s">
        <v>729</v>
      </c>
      <c r="D18" s="18" t="s">
        <v>1512</v>
      </c>
      <c r="E18" s="6" t="s">
        <v>729</v>
      </c>
      <c r="F18" s="11" t="s">
        <v>756</v>
      </c>
      <c r="G18" s="11" t="s">
        <v>756</v>
      </c>
      <c r="H18" s="11" t="s">
        <v>756</v>
      </c>
      <c r="I18" s="11" t="s">
        <v>752</v>
      </c>
      <c r="J18" s="11" t="s">
        <v>756</v>
      </c>
      <c r="K18" s="11" t="s">
        <v>756</v>
      </c>
      <c r="L18" s="11" t="s">
        <v>729</v>
      </c>
      <c r="M18" s="11" t="s">
        <v>729</v>
      </c>
      <c r="N18" s="11" t="s">
        <v>729</v>
      </c>
      <c r="O18" s="11" t="s">
        <v>729</v>
      </c>
      <c r="P18" s="11" t="s">
        <v>729</v>
      </c>
      <c r="Q18" s="11" t="s">
        <v>729</v>
      </c>
      <c r="R18" s="11" t="s">
        <v>729</v>
      </c>
      <c r="S18" s="11" t="s">
        <v>729</v>
      </c>
      <c r="T18" s="11" t="s">
        <v>729</v>
      </c>
      <c r="U18" s="11" t="s">
        <v>729</v>
      </c>
      <c r="V18" s="12" t="s">
        <v>729</v>
      </c>
    </row>
    <row r="19" ht="65.5" customHeight="1" spans="1:22">
      <c r="A19" s="16"/>
      <c r="B19" s="6" t="s">
        <v>729</v>
      </c>
      <c r="C19" s="6" t="s">
        <v>729</v>
      </c>
      <c r="D19" s="18" t="s">
        <v>1513</v>
      </c>
      <c r="E19" s="6" t="s">
        <v>729</v>
      </c>
      <c r="F19" s="11" t="s">
        <v>756</v>
      </c>
      <c r="G19" s="11" t="s">
        <v>756</v>
      </c>
      <c r="H19" s="11" t="s">
        <v>756</v>
      </c>
      <c r="I19" s="11" t="s">
        <v>756</v>
      </c>
      <c r="J19" s="11" t="s">
        <v>752</v>
      </c>
      <c r="K19" s="11" t="s">
        <v>756</v>
      </c>
      <c r="L19" s="11" t="s">
        <v>729</v>
      </c>
      <c r="M19" s="11" t="s">
        <v>729</v>
      </c>
      <c r="N19" s="11" t="s">
        <v>729</v>
      </c>
      <c r="O19" s="11" t="s">
        <v>729</v>
      </c>
      <c r="P19" s="11" t="s">
        <v>729</v>
      </c>
      <c r="Q19" s="11" t="s">
        <v>729</v>
      </c>
      <c r="R19" s="11" t="s">
        <v>729</v>
      </c>
      <c r="S19" s="11" t="s">
        <v>729</v>
      </c>
      <c r="T19" s="11" t="s">
        <v>729</v>
      </c>
      <c r="U19" s="11" t="s">
        <v>729</v>
      </c>
      <c r="V19" s="12" t="s">
        <v>729</v>
      </c>
    </row>
    <row r="20" ht="15.5" customHeight="1" spans="1:22">
      <c r="A20" s="16"/>
      <c r="B20" s="17" t="s">
        <v>694</v>
      </c>
      <c r="C20" s="6" t="s">
        <v>729</v>
      </c>
      <c r="D20" s="6" t="s">
        <v>729</v>
      </c>
      <c r="E20" s="6" t="s">
        <v>729</v>
      </c>
      <c r="F20" s="6" t="s">
        <v>729</v>
      </c>
      <c r="G20" s="6" t="s">
        <v>729</v>
      </c>
      <c r="H20" s="6" t="s">
        <v>729</v>
      </c>
      <c r="I20" s="6" t="s">
        <v>729</v>
      </c>
      <c r="J20" s="6" t="s">
        <v>729</v>
      </c>
      <c r="K20" s="6" t="s">
        <v>729</v>
      </c>
      <c r="L20" s="6" t="s">
        <v>729</v>
      </c>
      <c r="M20" s="6" t="s">
        <v>729</v>
      </c>
      <c r="N20" s="6" t="s">
        <v>729</v>
      </c>
      <c r="O20" s="6" t="s">
        <v>729</v>
      </c>
      <c r="P20" s="6" t="s">
        <v>729</v>
      </c>
      <c r="Q20" s="6" t="s">
        <v>729</v>
      </c>
      <c r="R20" s="6" t="s">
        <v>729</v>
      </c>
      <c r="S20" s="6" t="s">
        <v>729</v>
      </c>
      <c r="T20" s="6" t="s">
        <v>729</v>
      </c>
      <c r="U20" s="6" t="s">
        <v>729</v>
      </c>
      <c r="V20" s="8" t="s">
        <v>729</v>
      </c>
    </row>
    <row r="21" ht="103" customHeight="1" spans="1:22">
      <c r="A21" s="16"/>
      <c r="B21" s="6" t="s">
        <v>729</v>
      </c>
      <c r="C21" s="6" t="s">
        <v>729</v>
      </c>
      <c r="D21" s="18" t="s">
        <v>1514</v>
      </c>
      <c r="E21" s="6" t="s">
        <v>729</v>
      </c>
      <c r="F21" s="11" t="s">
        <v>756</v>
      </c>
      <c r="G21" s="11" t="s">
        <v>756</v>
      </c>
      <c r="H21" s="11" t="s">
        <v>756</v>
      </c>
      <c r="I21" s="11" t="s">
        <v>756</v>
      </c>
      <c r="J21" s="11" t="s">
        <v>756</v>
      </c>
      <c r="K21" s="11" t="s">
        <v>752</v>
      </c>
      <c r="L21" s="11" t="s">
        <v>729</v>
      </c>
      <c r="M21" s="11" t="s">
        <v>729</v>
      </c>
      <c r="N21" s="11" t="s">
        <v>729</v>
      </c>
      <c r="O21" s="11" t="s">
        <v>729</v>
      </c>
      <c r="P21" s="11" t="s">
        <v>729</v>
      </c>
      <c r="Q21" s="11" t="s">
        <v>729</v>
      </c>
      <c r="R21" s="11" t="s">
        <v>729</v>
      </c>
      <c r="S21" s="11" t="s">
        <v>729</v>
      </c>
      <c r="T21" s="11" t="s">
        <v>729</v>
      </c>
      <c r="U21" s="11" t="s">
        <v>729</v>
      </c>
      <c r="V21" s="12" t="s">
        <v>729</v>
      </c>
    </row>
    <row r="22" ht="18" customHeight="1" spans="1:22">
      <c r="A22" s="19" t="s">
        <v>696</v>
      </c>
      <c r="B22" s="20" t="s">
        <v>765</v>
      </c>
      <c r="C22" s="20"/>
      <c r="D22" s="20"/>
      <c r="E22" s="6" t="s">
        <v>729</v>
      </c>
      <c r="F22" s="11" t="s">
        <v>670</v>
      </c>
      <c r="G22" s="11" t="s">
        <v>670</v>
      </c>
      <c r="H22" s="11" t="s">
        <v>670</v>
      </c>
      <c r="I22" s="11" t="s">
        <v>670</v>
      </c>
      <c r="J22" s="11" t="s">
        <v>670</v>
      </c>
      <c r="K22" s="11" t="s">
        <v>63</v>
      </c>
      <c r="L22" s="11" t="s">
        <v>729</v>
      </c>
      <c r="M22" s="11" t="s">
        <v>729</v>
      </c>
      <c r="N22" s="11" t="s">
        <v>729</v>
      </c>
      <c r="O22" s="11" t="s">
        <v>729</v>
      </c>
      <c r="P22" s="11" t="s">
        <v>729</v>
      </c>
      <c r="Q22" s="11" t="s">
        <v>729</v>
      </c>
      <c r="R22" s="11" t="s">
        <v>729</v>
      </c>
      <c r="S22" s="11" t="s">
        <v>729</v>
      </c>
      <c r="T22" s="11" t="s">
        <v>729</v>
      </c>
      <c r="U22" s="11" t="s">
        <v>729</v>
      </c>
      <c r="V22" s="12" t="s">
        <v>729</v>
      </c>
    </row>
    <row r="23" ht="18" customHeight="1" spans="1:22">
      <c r="A23" s="19"/>
      <c r="B23" s="20" t="s">
        <v>698</v>
      </c>
      <c r="C23" s="20"/>
      <c r="D23" s="20"/>
      <c r="E23" s="6" t="s">
        <v>729</v>
      </c>
      <c r="F23" s="11" t="s">
        <v>766</v>
      </c>
      <c r="G23" s="11" t="s">
        <v>766</v>
      </c>
      <c r="H23" s="11" t="s">
        <v>766</v>
      </c>
      <c r="I23" s="11" t="s">
        <v>766</v>
      </c>
      <c r="J23" s="11" t="s">
        <v>766</v>
      </c>
      <c r="K23" s="11" t="s">
        <v>766</v>
      </c>
      <c r="L23" s="11" t="s">
        <v>729</v>
      </c>
      <c r="M23" s="11" t="s">
        <v>729</v>
      </c>
      <c r="N23" s="11" t="s">
        <v>729</v>
      </c>
      <c r="O23" s="11" t="s">
        <v>729</v>
      </c>
      <c r="P23" s="11" t="s">
        <v>729</v>
      </c>
      <c r="Q23" s="11" t="s">
        <v>729</v>
      </c>
      <c r="R23" s="11" t="s">
        <v>729</v>
      </c>
      <c r="S23" s="11" t="s">
        <v>729</v>
      </c>
      <c r="T23" s="11" t="s">
        <v>729</v>
      </c>
      <c r="U23" s="11" t="s">
        <v>729</v>
      </c>
      <c r="V23" s="12" t="s">
        <v>729</v>
      </c>
    </row>
    <row r="24" ht="18" customHeight="1" spans="1:22">
      <c r="A24" s="19"/>
      <c r="B24" s="20" t="s">
        <v>699</v>
      </c>
      <c r="C24" s="20"/>
      <c r="D24" s="20"/>
      <c r="E24" s="6" t="s">
        <v>729</v>
      </c>
      <c r="F24" s="6" t="s">
        <v>729</v>
      </c>
      <c r="G24" s="6" t="s">
        <v>729</v>
      </c>
      <c r="H24" s="6" t="s">
        <v>729</v>
      </c>
      <c r="I24" s="6" t="s">
        <v>729</v>
      </c>
      <c r="J24" s="6" t="s">
        <v>729</v>
      </c>
      <c r="K24" s="6" t="s">
        <v>729</v>
      </c>
      <c r="L24" s="6" t="s">
        <v>729</v>
      </c>
      <c r="M24" s="6" t="s">
        <v>729</v>
      </c>
      <c r="N24" s="6" t="s">
        <v>729</v>
      </c>
      <c r="O24" s="6" t="s">
        <v>729</v>
      </c>
      <c r="P24" s="6" t="s">
        <v>729</v>
      </c>
      <c r="Q24" s="6" t="s">
        <v>729</v>
      </c>
      <c r="R24" s="6" t="s">
        <v>729</v>
      </c>
      <c r="S24" s="6" t="s">
        <v>729</v>
      </c>
      <c r="T24" s="6" t="s">
        <v>729</v>
      </c>
      <c r="U24" s="6" t="s">
        <v>729</v>
      </c>
      <c r="V24" s="8" t="s">
        <v>729</v>
      </c>
    </row>
    <row r="25" ht="18" customHeight="1" spans="1:22">
      <c r="A25" s="19"/>
      <c r="B25" s="21" t="s">
        <v>700</v>
      </c>
      <c r="C25" s="21"/>
      <c r="D25" s="21"/>
      <c r="E25" s="22" t="s">
        <v>729</v>
      </c>
      <c r="F25" s="22" t="s">
        <v>729</v>
      </c>
      <c r="G25" s="22" t="s">
        <v>729</v>
      </c>
      <c r="H25" s="22" t="s">
        <v>729</v>
      </c>
      <c r="I25" s="22" t="s">
        <v>729</v>
      </c>
      <c r="J25" s="22" t="s">
        <v>729</v>
      </c>
      <c r="K25" s="22" t="s">
        <v>729</v>
      </c>
      <c r="L25" s="22" t="s">
        <v>729</v>
      </c>
      <c r="M25" s="22" t="s">
        <v>729</v>
      </c>
      <c r="N25" s="22" t="s">
        <v>729</v>
      </c>
      <c r="O25" s="22" t="s">
        <v>729</v>
      </c>
      <c r="P25" s="22" t="s">
        <v>729</v>
      </c>
      <c r="Q25" s="22" t="s">
        <v>729</v>
      </c>
      <c r="R25" s="22" t="s">
        <v>729</v>
      </c>
      <c r="S25" s="22" t="s">
        <v>729</v>
      </c>
      <c r="T25" s="22" t="s">
        <v>729</v>
      </c>
      <c r="U25" s="22" t="s">
        <v>729</v>
      </c>
      <c r="V25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22:D22"/>
    <mergeCell ref="B23:D23"/>
    <mergeCell ref="B24:D24"/>
    <mergeCell ref="B25:D25"/>
    <mergeCell ref="A7:A13"/>
    <mergeCell ref="A14:A21"/>
    <mergeCell ref="A22:A25"/>
  </mergeCells>
  <dataValidations count="3">
    <dataValidation type="list" allowBlank="1" sqref="F21:V21 F10:V13 F15:V19 F8:V9">
      <formula1>"O,-"</formula1>
    </dataValidation>
    <dataValidation type="list" allowBlank="1" sqref="F22:V22">
      <formula1>"N,A,B"</formula1>
    </dataValidation>
    <dataValidation type="list" allowBlank="1" sqref="F23:V23">
      <formula1>"P,F"</formula1>
    </dataValidation>
  </dataValidations>
  <pageMargins left="0.7" right="0.7" top="0.75" bottom="0.75" header="0.3" footer="0.3"/>
  <pageSetup paperSize="1" orientation="portrait"/>
  <headerFooter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8"/>
  <sheetViews>
    <sheetView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556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557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1515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8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4</v>
      </c>
      <c r="M5" s="11">
        <v>4</v>
      </c>
      <c r="N5" s="11">
        <v>0</v>
      </c>
      <c r="O5" s="12">
        <v>8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687</v>
      </c>
      <c r="H6" s="14" t="s">
        <v>688</v>
      </c>
      <c r="I6" s="14" t="s">
        <v>689</v>
      </c>
      <c r="J6" s="14" t="s">
        <v>863</v>
      </c>
      <c r="K6" s="14" t="s">
        <v>864</v>
      </c>
      <c r="L6" s="14" t="s">
        <v>1412</v>
      </c>
      <c r="M6" s="14" t="s">
        <v>1484</v>
      </c>
      <c r="N6" s="14" t="s">
        <v>729</v>
      </c>
      <c r="O6" s="14" t="s">
        <v>729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15.5" customHeight="1" spans="1:22">
      <c r="A7" s="16" t="s">
        <v>690</v>
      </c>
      <c r="B7" s="17" t="s">
        <v>1023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40.5" customHeight="1" spans="1:22">
      <c r="A8" s="16"/>
      <c r="B8" s="6" t="s">
        <v>729</v>
      </c>
      <c r="C8" s="6" t="s">
        <v>729</v>
      </c>
      <c r="D8" s="18" t="s">
        <v>1516</v>
      </c>
      <c r="E8" s="6" t="s">
        <v>729</v>
      </c>
      <c r="F8" s="11" t="s">
        <v>752</v>
      </c>
      <c r="G8" s="11" t="s">
        <v>756</v>
      </c>
      <c r="H8" s="11" t="s">
        <v>756</v>
      </c>
      <c r="I8" s="11" t="s">
        <v>756</v>
      </c>
      <c r="J8" s="11" t="s">
        <v>756</v>
      </c>
      <c r="K8" s="11" t="s">
        <v>756</v>
      </c>
      <c r="L8" s="11" t="s">
        <v>756</v>
      </c>
      <c r="M8" s="11" t="s">
        <v>756</v>
      </c>
      <c r="N8" s="11" t="s">
        <v>729</v>
      </c>
      <c r="O8" s="11" t="s">
        <v>729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53" customHeight="1" spans="1:22">
      <c r="A9" s="16"/>
      <c r="B9" s="6" t="s">
        <v>729</v>
      </c>
      <c r="C9" s="6" t="s">
        <v>729</v>
      </c>
      <c r="D9" s="18" t="s">
        <v>1517</v>
      </c>
      <c r="E9" s="6" t="s">
        <v>729</v>
      </c>
      <c r="F9" s="11" t="s">
        <v>756</v>
      </c>
      <c r="G9" s="11" t="s">
        <v>752</v>
      </c>
      <c r="H9" s="11" t="s">
        <v>756</v>
      </c>
      <c r="I9" s="11" t="s">
        <v>756</v>
      </c>
      <c r="J9" s="11" t="s">
        <v>756</v>
      </c>
      <c r="K9" s="11" t="s">
        <v>756</v>
      </c>
      <c r="L9" s="11" t="s">
        <v>756</v>
      </c>
      <c r="M9" s="11" t="s">
        <v>756</v>
      </c>
      <c r="N9" s="11" t="s">
        <v>729</v>
      </c>
      <c r="O9" s="11" t="s">
        <v>729</v>
      </c>
      <c r="P9" s="11" t="s">
        <v>729</v>
      </c>
      <c r="Q9" s="11" t="s">
        <v>729</v>
      </c>
      <c r="R9" s="11" t="s">
        <v>729</v>
      </c>
      <c r="S9" s="11" t="s">
        <v>729</v>
      </c>
      <c r="T9" s="11" t="s">
        <v>729</v>
      </c>
      <c r="U9" s="11" t="s">
        <v>729</v>
      </c>
      <c r="V9" s="12" t="s">
        <v>729</v>
      </c>
    </row>
    <row r="10" ht="28" customHeight="1" spans="1:22">
      <c r="A10" s="16"/>
      <c r="B10" s="6" t="s">
        <v>729</v>
      </c>
      <c r="C10" s="6" t="s">
        <v>729</v>
      </c>
      <c r="D10" s="18" t="s">
        <v>1518</v>
      </c>
      <c r="E10" s="6" t="s">
        <v>729</v>
      </c>
      <c r="F10" s="11" t="s">
        <v>756</v>
      </c>
      <c r="G10" s="11" t="s">
        <v>756</v>
      </c>
      <c r="H10" s="11" t="s">
        <v>752</v>
      </c>
      <c r="I10" s="11" t="s">
        <v>756</v>
      </c>
      <c r="J10" s="11" t="s">
        <v>756</v>
      </c>
      <c r="K10" s="11" t="s">
        <v>756</v>
      </c>
      <c r="L10" s="11" t="s">
        <v>756</v>
      </c>
      <c r="M10" s="11" t="s">
        <v>756</v>
      </c>
      <c r="N10" s="11" t="s">
        <v>729</v>
      </c>
      <c r="O10" s="11" t="s">
        <v>729</v>
      </c>
      <c r="P10" s="11" t="s">
        <v>729</v>
      </c>
      <c r="Q10" s="11" t="s">
        <v>729</v>
      </c>
      <c r="R10" s="11" t="s">
        <v>729</v>
      </c>
      <c r="S10" s="11" t="s">
        <v>729</v>
      </c>
      <c r="T10" s="11" t="s">
        <v>729</v>
      </c>
      <c r="U10" s="11" t="s">
        <v>729</v>
      </c>
      <c r="V10" s="12" t="s">
        <v>729</v>
      </c>
    </row>
    <row r="11" ht="40.5" customHeight="1" spans="1:22">
      <c r="A11" s="16"/>
      <c r="B11" s="6" t="s">
        <v>729</v>
      </c>
      <c r="C11" s="6" t="s">
        <v>729</v>
      </c>
      <c r="D11" s="18" t="s">
        <v>1519</v>
      </c>
      <c r="E11" s="6" t="s">
        <v>729</v>
      </c>
      <c r="F11" s="11" t="s">
        <v>756</v>
      </c>
      <c r="G11" s="11" t="s">
        <v>756</v>
      </c>
      <c r="H11" s="11" t="s">
        <v>756</v>
      </c>
      <c r="I11" s="11" t="s">
        <v>752</v>
      </c>
      <c r="J11" s="11" t="s">
        <v>756</v>
      </c>
      <c r="K11" s="11" t="s">
        <v>756</v>
      </c>
      <c r="L11" s="11" t="s">
        <v>756</v>
      </c>
      <c r="M11" s="11" t="s">
        <v>756</v>
      </c>
      <c r="N11" s="11" t="s">
        <v>729</v>
      </c>
      <c r="O11" s="11" t="s">
        <v>729</v>
      </c>
      <c r="P11" s="11" t="s">
        <v>729</v>
      </c>
      <c r="Q11" s="11" t="s">
        <v>729</v>
      </c>
      <c r="R11" s="11" t="s">
        <v>729</v>
      </c>
      <c r="S11" s="11" t="s">
        <v>729</v>
      </c>
      <c r="T11" s="11" t="s">
        <v>729</v>
      </c>
      <c r="U11" s="11" t="s">
        <v>729</v>
      </c>
      <c r="V11" s="12" t="s">
        <v>729</v>
      </c>
    </row>
    <row r="12" ht="28" customHeight="1" spans="1:22">
      <c r="A12" s="16"/>
      <c r="B12" s="6" t="s">
        <v>729</v>
      </c>
      <c r="C12" s="6" t="s">
        <v>729</v>
      </c>
      <c r="D12" s="18" t="s">
        <v>1520</v>
      </c>
      <c r="E12" s="6" t="s">
        <v>729</v>
      </c>
      <c r="F12" s="11" t="s">
        <v>756</v>
      </c>
      <c r="G12" s="11" t="s">
        <v>756</v>
      </c>
      <c r="H12" s="11" t="s">
        <v>756</v>
      </c>
      <c r="I12" s="11" t="s">
        <v>756</v>
      </c>
      <c r="J12" s="11" t="s">
        <v>752</v>
      </c>
      <c r="K12" s="11" t="s">
        <v>756</v>
      </c>
      <c r="L12" s="11" t="s">
        <v>756</v>
      </c>
      <c r="M12" s="11" t="s">
        <v>756</v>
      </c>
      <c r="N12" s="11" t="s">
        <v>729</v>
      </c>
      <c r="O12" s="11" t="s">
        <v>729</v>
      </c>
      <c r="P12" s="11" t="s">
        <v>729</v>
      </c>
      <c r="Q12" s="11" t="s">
        <v>729</v>
      </c>
      <c r="R12" s="11" t="s">
        <v>729</v>
      </c>
      <c r="S12" s="11" t="s">
        <v>729</v>
      </c>
      <c r="T12" s="11" t="s">
        <v>729</v>
      </c>
      <c r="U12" s="11" t="s">
        <v>729</v>
      </c>
      <c r="V12" s="12" t="s">
        <v>729</v>
      </c>
    </row>
    <row r="13" ht="40.5" customHeight="1" spans="1:22">
      <c r="A13" s="16"/>
      <c r="B13" s="6" t="s">
        <v>729</v>
      </c>
      <c r="C13" s="6" t="s">
        <v>729</v>
      </c>
      <c r="D13" s="18" t="s">
        <v>1521</v>
      </c>
      <c r="E13" s="6" t="s">
        <v>729</v>
      </c>
      <c r="F13" s="11" t="s">
        <v>756</v>
      </c>
      <c r="G13" s="11" t="s">
        <v>756</v>
      </c>
      <c r="H13" s="11" t="s">
        <v>756</v>
      </c>
      <c r="I13" s="11" t="s">
        <v>756</v>
      </c>
      <c r="J13" s="11" t="s">
        <v>756</v>
      </c>
      <c r="K13" s="11" t="s">
        <v>752</v>
      </c>
      <c r="L13" s="11" t="s">
        <v>756</v>
      </c>
      <c r="M13" s="11" t="s">
        <v>756</v>
      </c>
      <c r="N13" s="11" t="s">
        <v>729</v>
      </c>
      <c r="O13" s="11" t="s">
        <v>729</v>
      </c>
      <c r="P13" s="11" t="s">
        <v>729</v>
      </c>
      <c r="Q13" s="11" t="s">
        <v>729</v>
      </c>
      <c r="R13" s="11" t="s">
        <v>729</v>
      </c>
      <c r="S13" s="11" t="s">
        <v>729</v>
      </c>
      <c r="T13" s="11" t="s">
        <v>729</v>
      </c>
      <c r="U13" s="11" t="s">
        <v>729</v>
      </c>
      <c r="V13" s="12" t="s">
        <v>729</v>
      </c>
    </row>
    <row r="14" ht="53" customHeight="1" spans="1:22">
      <c r="A14" s="16"/>
      <c r="B14" s="6" t="s">
        <v>729</v>
      </c>
      <c r="C14" s="6" t="s">
        <v>729</v>
      </c>
      <c r="D14" s="18" t="s">
        <v>1522</v>
      </c>
      <c r="E14" s="6" t="s">
        <v>729</v>
      </c>
      <c r="F14" s="11" t="s">
        <v>756</v>
      </c>
      <c r="G14" s="11" t="s">
        <v>756</v>
      </c>
      <c r="H14" s="11" t="s">
        <v>756</v>
      </c>
      <c r="I14" s="11" t="s">
        <v>756</v>
      </c>
      <c r="J14" s="11" t="s">
        <v>756</v>
      </c>
      <c r="K14" s="11" t="s">
        <v>756</v>
      </c>
      <c r="L14" s="11" t="s">
        <v>752</v>
      </c>
      <c r="M14" s="11" t="s">
        <v>756</v>
      </c>
      <c r="N14" s="11" t="s">
        <v>729</v>
      </c>
      <c r="O14" s="11" t="s">
        <v>729</v>
      </c>
      <c r="P14" s="11" t="s">
        <v>729</v>
      </c>
      <c r="Q14" s="11" t="s">
        <v>729</v>
      </c>
      <c r="R14" s="11" t="s">
        <v>729</v>
      </c>
      <c r="S14" s="11" t="s">
        <v>729</v>
      </c>
      <c r="T14" s="11" t="s">
        <v>729</v>
      </c>
      <c r="U14" s="11" t="s">
        <v>729</v>
      </c>
      <c r="V14" s="12" t="s">
        <v>729</v>
      </c>
    </row>
    <row r="15" ht="40.5" customHeight="1" spans="1:22">
      <c r="A15" s="16"/>
      <c r="B15" s="6" t="s">
        <v>729</v>
      </c>
      <c r="C15" s="6" t="s">
        <v>729</v>
      </c>
      <c r="D15" s="18" t="s">
        <v>1523</v>
      </c>
      <c r="E15" s="6" t="s">
        <v>729</v>
      </c>
      <c r="F15" s="11" t="s">
        <v>756</v>
      </c>
      <c r="G15" s="11" t="s">
        <v>756</v>
      </c>
      <c r="H15" s="11" t="s">
        <v>756</v>
      </c>
      <c r="I15" s="11" t="s">
        <v>756</v>
      </c>
      <c r="J15" s="11" t="s">
        <v>756</v>
      </c>
      <c r="K15" s="11" t="s">
        <v>756</v>
      </c>
      <c r="L15" s="11" t="s">
        <v>756</v>
      </c>
      <c r="M15" s="11" t="s">
        <v>752</v>
      </c>
      <c r="N15" s="11" t="s">
        <v>729</v>
      </c>
      <c r="O15" s="11" t="s">
        <v>729</v>
      </c>
      <c r="P15" s="11" t="s">
        <v>729</v>
      </c>
      <c r="Q15" s="11" t="s">
        <v>729</v>
      </c>
      <c r="R15" s="11" t="s">
        <v>729</v>
      </c>
      <c r="S15" s="11" t="s">
        <v>729</v>
      </c>
      <c r="T15" s="11" t="s">
        <v>729</v>
      </c>
      <c r="U15" s="11" t="s">
        <v>729</v>
      </c>
      <c r="V15" s="12" t="s">
        <v>729</v>
      </c>
    </row>
    <row r="16" ht="15.5" customHeight="1" spans="1:22">
      <c r="A16" s="16" t="s">
        <v>692</v>
      </c>
      <c r="B16" s="17" t="s">
        <v>693</v>
      </c>
      <c r="C16" s="6" t="s">
        <v>729</v>
      </c>
      <c r="D16" s="6" t="s">
        <v>729</v>
      </c>
      <c r="E16" s="6" t="s">
        <v>729</v>
      </c>
      <c r="F16" s="6" t="s">
        <v>729</v>
      </c>
      <c r="G16" s="6" t="s">
        <v>729</v>
      </c>
      <c r="H16" s="6" t="s">
        <v>729</v>
      </c>
      <c r="I16" s="6" t="s">
        <v>729</v>
      </c>
      <c r="J16" s="6" t="s">
        <v>729</v>
      </c>
      <c r="K16" s="6" t="s">
        <v>729</v>
      </c>
      <c r="L16" s="6" t="s">
        <v>729</v>
      </c>
      <c r="M16" s="6" t="s">
        <v>729</v>
      </c>
      <c r="N16" s="6" t="s">
        <v>729</v>
      </c>
      <c r="O16" s="6" t="s">
        <v>729</v>
      </c>
      <c r="P16" s="6" t="s">
        <v>729</v>
      </c>
      <c r="Q16" s="6" t="s">
        <v>729</v>
      </c>
      <c r="R16" s="6" t="s">
        <v>729</v>
      </c>
      <c r="S16" s="6" t="s">
        <v>729</v>
      </c>
      <c r="T16" s="6" t="s">
        <v>729</v>
      </c>
      <c r="U16" s="6" t="s">
        <v>729</v>
      </c>
      <c r="V16" s="8" t="s">
        <v>729</v>
      </c>
    </row>
    <row r="17" ht="65.5" customHeight="1" spans="1:22">
      <c r="A17" s="16"/>
      <c r="B17" s="6" t="s">
        <v>729</v>
      </c>
      <c r="C17" s="6" t="s">
        <v>729</v>
      </c>
      <c r="D17" s="18" t="s">
        <v>1524</v>
      </c>
      <c r="E17" s="6" t="s">
        <v>729</v>
      </c>
      <c r="F17" s="11" t="s">
        <v>752</v>
      </c>
      <c r="G17" s="11" t="s">
        <v>756</v>
      </c>
      <c r="H17" s="11" t="s">
        <v>756</v>
      </c>
      <c r="I17" s="11" t="s">
        <v>756</v>
      </c>
      <c r="J17" s="11" t="s">
        <v>756</v>
      </c>
      <c r="K17" s="11" t="s">
        <v>756</v>
      </c>
      <c r="L17" s="11" t="s">
        <v>756</v>
      </c>
      <c r="M17" s="11" t="s">
        <v>756</v>
      </c>
      <c r="N17" s="11" t="s">
        <v>729</v>
      </c>
      <c r="O17" s="11" t="s">
        <v>729</v>
      </c>
      <c r="P17" s="11" t="s">
        <v>729</v>
      </c>
      <c r="Q17" s="11" t="s">
        <v>729</v>
      </c>
      <c r="R17" s="11" t="s">
        <v>729</v>
      </c>
      <c r="S17" s="11" t="s">
        <v>729</v>
      </c>
      <c r="T17" s="11" t="s">
        <v>729</v>
      </c>
      <c r="U17" s="11" t="s">
        <v>729</v>
      </c>
      <c r="V17" s="12" t="s">
        <v>729</v>
      </c>
    </row>
    <row r="18" ht="65.5" customHeight="1" spans="1:22">
      <c r="A18" s="16"/>
      <c r="B18" s="6" t="s">
        <v>729</v>
      </c>
      <c r="C18" s="6" t="s">
        <v>729</v>
      </c>
      <c r="D18" s="18" t="s">
        <v>1525</v>
      </c>
      <c r="E18" s="6" t="s">
        <v>729</v>
      </c>
      <c r="F18" s="11" t="s">
        <v>756</v>
      </c>
      <c r="G18" s="11" t="s">
        <v>752</v>
      </c>
      <c r="H18" s="11" t="s">
        <v>756</v>
      </c>
      <c r="I18" s="11" t="s">
        <v>756</v>
      </c>
      <c r="J18" s="11" t="s">
        <v>756</v>
      </c>
      <c r="K18" s="11" t="s">
        <v>756</v>
      </c>
      <c r="L18" s="11" t="s">
        <v>756</v>
      </c>
      <c r="M18" s="11" t="s">
        <v>756</v>
      </c>
      <c r="N18" s="11" t="s">
        <v>729</v>
      </c>
      <c r="O18" s="11" t="s">
        <v>729</v>
      </c>
      <c r="P18" s="11" t="s">
        <v>729</v>
      </c>
      <c r="Q18" s="11" t="s">
        <v>729</v>
      </c>
      <c r="R18" s="11" t="s">
        <v>729</v>
      </c>
      <c r="S18" s="11" t="s">
        <v>729</v>
      </c>
      <c r="T18" s="11" t="s">
        <v>729</v>
      </c>
      <c r="U18" s="11" t="s">
        <v>729</v>
      </c>
      <c r="V18" s="12" t="s">
        <v>729</v>
      </c>
    </row>
    <row r="19" ht="53" customHeight="1" spans="1:22">
      <c r="A19" s="16"/>
      <c r="B19" s="6" t="s">
        <v>729</v>
      </c>
      <c r="C19" s="6" t="s">
        <v>729</v>
      </c>
      <c r="D19" s="18" t="s">
        <v>1526</v>
      </c>
      <c r="E19" s="6" t="s">
        <v>729</v>
      </c>
      <c r="F19" s="11" t="s">
        <v>756</v>
      </c>
      <c r="G19" s="11" t="s">
        <v>756</v>
      </c>
      <c r="H19" s="11" t="s">
        <v>752</v>
      </c>
      <c r="I19" s="11" t="s">
        <v>756</v>
      </c>
      <c r="J19" s="11" t="s">
        <v>756</v>
      </c>
      <c r="K19" s="11" t="s">
        <v>756</v>
      </c>
      <c r="L19" s="11" t="s">
        <v>756</v>
      </c>
      <c r="M19" s="11" t="s">
        <v>756</v>
      </c>
      <c r="N19" s="11" t="s">
        <v>729</v>
      </c>
      <c r="O19" s="11" t="s">
        <v>729</v>
      </c>
      <c r="P19" s="11" t="s">
        <v>729</v>
      </c>
      <c r="Q19" s="11" t="s">
        <v>729</v>
      </c>
      <c r="R19" s="11" t="s">
        <v>729</v>
      </c>
      <c r="S19" s="11" t="s">
        <v>729</v>
      </c>
      <c r="T19" s="11" t="s">
        <v>729</v>
      </c>
      <c r="U19" s="11" t="s">
        <v>729</v>
      </c>
      <c r="V19" s="12" t="s">
        <v>729</v>
      </c>
    </row>
    <row r="20" ht="53" customHeight="1" spans="1:22">
      <c r="A20" s="16"/>
      <c r="B20" s="6" t="s">
        <v>729</v>
      </c>
      <c r="C20" s="6" t="s">
        <v>729</v>
      </c>
      <c r="D20" s="18" t="s">
        <v>1527</v>
      </c>
      <c r="E20" s="6" t="s">
        <v>729</v>
      </c>
      <c r="F20" s="11" t="s">
        <v>756</v>
      </c>
      <c r="G20" s="11" t="s">
        <v>756</v>
      </c>
      <c r="H20" s="11" t="s">
        <v>756</v>
      </c>
      <c r="I20" s="11" t="s">
        <v>752</v>
      </c>
      <c r="J20" s="11" t="s">
        <v>756</v>
      </c>
      <c r="K20" s="11" t="s">
        <v>756</v>
      </c>
      <c r="L20" s="11" t="s">
        <v>756</v>
      </c>
      <c r="M20" s="11" t="s">
        <v>756</v>
      </c>
      <c r="N20" s="11" t="s">
        <v>729</v>
      </c>
      <c r="O20" s="11" t="s">
        <v>729</v>
      </c>
      <c r="P20" s="11" t="s">
        <v>729</v>
      </c>
      <c r="Q20" s="11" t="s">
        <v>729</v>
      </c>
      <c r="R20" s="11" t="s">
        <v>729</v>
      </c>
      <c r="S20" s="11" t="s">
        <v>729</v>
      </c>
      <c r="T20" s="11" t="s">
        <v>729</v>
      </c>
      <c r="U20" s="11" t="s">
        <v>729</v>
      </c>
      <c r="V20" s="12" t="s">
        <v>729</v>
      </c>
    </row>
    <row r="21" ht="40.5" customHeight="1" spans="1:22">
      <c r="A21" s="16"/>
      <c r="B21" s="6" t="s">
        <v>729</v>
      </c>
      <c r="C21" s="6" t="s">
        <v>729</v>
      </c>
      <c r="D21" s="18" t="s">
        <v>1528</v>
      </c>
      <c r="E21" s="6" t="s">
        <v>729</v>
      </c>
      <c r="F21" s="11" t="s">
        <v>756</v>
      </c>
      <c r="G21" s="11" t="s">
        <v>756</v>
      </c>
      <c r="H21" s="11" t="s">
        <v>756</v>
      </c>
      <c r="I21" s="11" t="s">
        <v>756</v>
      </c>
      <c r="J21" s="11" t="s">
        <v>752</v>
      </c>
      <c r="K21" s="11" t="s">
        <v>756</v>
      </c>
      <c r="L21" s="11" t="s">
        <v>756</v>
      </c>
      <c r="M21" s="11" t="s">
        <v>756</v>
      </c>
      <c r="N21" s="11" t="s">
        <v>729</v>
      </c>
      <c r="O21" s="11" t="s">
        <v>729</v>
      </c>
      <c r="P21" s="11" t="s">
        <v>729</v>
      </c>
      <c r="Q21" s="11" t="s">
        <v>729</v>
      </c>
      <c r="R21" s="11" t="s">
        <v>729</v>
      </c>
      <c r="S21" s="11" t="s">
        <v>729</v>
      </c>
      <c r="T21" s="11" t="s">
        <v>729</v>
      </c>
      <c r="U21" s="11" t="s">
        <v>729</v>
      </c>
      <c r="V21" s="12" t="s">
        <v>729</v>
      </c>
    </row>
    <row r="22" ht="65.5" customHeight="1" spans="1:22">
      <c r="A22" s="16"/>
      <c r="B22" s="6" t="s">
        <v>729</v>
      </c>
      <c r="C22" s="6" t="s">
        <v>729</v>
      </c>
      <c r="D22" s="18" t="s">
        <v>1529</v>
      </c>
      <c r="E22" s="6" t="s">
        <v>729</v>
      </c>
      <c r="F22" s="11" t="s">
        <v>756</v>
      </c>
      <c r="G22" s="11" t="s">
        <v>756</v>
      </c>
      <c r="H22" s="11" t="s">
        <v>756</v>
      </c>
      <c r="I22" s="11" t="s">
        <v>756</v>
      </c>
      <c r="J22" s="11" t="s">
        <v>756</v>
      </c>
      <c r="K22" s="11" t="s">
        <v>752</v>
      </c>
      <c r="L22" s="11" t="s">
        <v>756</v>
      </c>
      <c r="M22" s="11" t="s">
        <v>756</v>
      </c>
      <c r="N22" s="11" t="s">
        <v>729</v>
      </c>
      <c r="O22" s="11" t="s">
        <v>729</v>
      </c>
      <c r="P22" s="11" t="s">
        <v>729</v>
      </c>
      <c r="Q22" s="11" t="s">
        <v>729</v>
      </c>
      <c r="R22" s="11" t="s">
        <v>729</v>
      </c>
      <c r="S22" s="11" t="s">
        <v>729</v>
      </c>
      <c r="T22" s="11" t="s">
        <v>729</v>
      </c>
      <c r="U22" s="11" t="s">
        <v>729</v>
      </c>
      <c r="V22" s="12" t="s">
        <v>729</v>
      </c>
    </row>
    <row r="23" ht="65.5" customHeight="1" spans="1:22">
      <c r="A23" s="16"/>
      <c r="B23" s="6" t="s">
        <v>729</v>
      </c>
      <c r="C23" s="6" t="s">
        <v>729</v>
      </c>
      <c r="D23" s="18" t="s">
        <v>1530</v>
      </c>
      <c r="E23" s="6" t="s">
        <v>729</v>
      </c>
      <c r="F23" s="11" t="s">
        <v>756</v>
      </c>
      <c r="G23" s="11" t="s">
        <v>756</v>
      </c>
      <c r="H23" s="11" t="s">
        <v>756</v>
      </c>
      <c r="I23" s="11" t="s">
        <v>756</v>
      </c>
      <c r="J23" s="11" t="s">
        <v>756</v>
      </c>
      <c r="K23" s="11" t="s">
        <v>756</v>
      </c>
      <c r="L23" s="11" t="s">
        <v>752</v>
      </c>
      <c r="M23" s="11" t="s">
        <v>756</v>
      </c>
      <c r="N23" s="11" t="s">
        <v>729</v>
      </c>
      <c r="O23" s="11" t="s">
        <v>729</v>
      </c>
      <c r="P23" s="11" t="s">
        <v>729</v>
      </c>
      <c r="Q23" s="11" t="s">
        <v>729</v>
      </c>
      <c r="R23" s="11" t="s">
        <v>729</v>
      </c>
      <c r="S23" s="11" t="s">
        <v>729</v>
      </c>
      <c r="T23" s="11" t="s">
        <v>729</v>
      </c>
      <c r="U23" s="11" t="s">
        <v>729</v>
      </c>
      <c r="V23" s="12" t="s">
        <v>729</v>
      </c>
    </row>
    <row r="24" ht="53" customHeight="1" spans="1:22">
      <c r="A24" s="16"/>
      <c r="B24" s="6" t="s">
        <v>729</v>
      </c>
      <c r="C24" s="6" t="s">
        <v>729</v>
      </c>
      <c r="D24" s="18" t="s">
        <v>1531</v>
      </c>
      <c r="E24" s="6" t="s">
        <v>729</v>
      </c>
      <c r="F24" s="11" t="s">
        <v>756</v>
      </c>
      <c r="G24" s="11" t="s">
        <v>756</v>
      </c>
      <c r="H24" s="11" t="s">
        <v>756</v>
      </c>
      <c r="I24" s="11" t="s">
        <v>756</v>
      </c>
      <c r="J24" s="11" t="s">
        <v>756</v>
      </c>
      <c r="K24" s="11" t="s">
        <v>756</v>
      </c>
      <c r="L24" s="11" t="s">
        <v>756</v>
      </c>
      <c r="M24" s="11" t="s">
        <v>752</v>
      </c>
      <c r="N24" s="11" t="s">
        <v>729</v>
      </c>
      <c r="O24" s="11" t="s">
        <v>729</v>
      </c>
      <c r="P24" s="11" t="s">
        <v>729</v>
      </c>
      <c r="Q24" s="11" t="s">
        <v>729</v>
      </c>
      <c r="R24" s="11" t="s">
        <v>729</v>
      </c>
      <c r="S24" s="11" t="s">
        <v>729</v>
      </c>
      <c r="T24" s="11" t="s">
        <v>729</v>
      </c>
      <c r="U24" s="11" t="s">
        <v>729</v>
      </c>
      <c r="V24" s="12" t="s">
        <v>729</v>
      </c>
    </row>
    <row r="25" ht="18" customHeight="1" spans="1:22">
      <c r="A25" s="19" t="s">
        <v>696</v>
      </c>
      <c r="B25" s="20" t="s">
        <v>765</v>
      </c>
      <c r="C25" s="20"/>
      <c r="D25" s="20"/>
      <c r="E25" s="6" t="s">
        <v>729</v>
      </c>
      <c r="F25" s="11" t="s">
        <v>63</v>
      </c>
      <c r="G25" s="11" t="s">
        <v>63</v>
      </c>
      <c r="H25" s="11" t="s">
        <v>670</v>
      </c>
      <c r="I25" s="11" t="s">
        <v>63</v>
      </c>
      <c r="J25" s="11" t="s">
        <v>63</v>
      </c>
      <c r="K25" s="11" t="s">
        <v>670</v>
      </c>
      <c r="L25" s="11" t="s">
        <v>670</v>
      </c>
      <c r="M25" s="11" t="s">
        <v>670</v>
      </c>
      <c r="N25" s="11" t="s">
        <v>729</v>
      </c>
      <c r="O25" s="11" t="s">
        <v>729</v>
      </c>
      <c r="P25" s="11" t="s">
        <v>729</v>
      </c>
      <c r="Q25" s="11" t="s">
        <v>729</v>
      </c>
      <c r="R25" s="11" t="s">
        <v>729</v>
      </c>
      <c r="S25" s="11" t="s">
        <v>729</v>
      </c>
      <c r="T25" s="11" t="s">
        <v>729</v>
      </c>
      <c r="U25" s="11" t="s">
        <v>729</v>
      </c>
      <c r="V25" s="12" t="s">
        <v>729</v>
      </c>
    </row>
    <row r="26" ht="18" customHeight="1" spans="1:22">
      <c r="A26" s="19"/>
      <c r="B26" s="20" t="s">
        <v>698</v>
      </c>
      <c r="C26" s="20"/>
      <c r="D26" s="20"/>
      <c r="E26" s="6" t="s">
        <v>729</v>
      </c>
      <c r="F26" s="11" t="s">
        <v>766</v>
      </c>
      <c r="G26" s="11" t="s">
        <v>766</v>
      </c>
      <c r="H26" s="11" t="s">
        <v>766</v>
      </c>
      <c r="I26" s="11" t="s">
        <v>766</v>
      </c>
      <c r="J26" s="11" t="s">
        <v>766</v>
      </c>
      <c r="K26" s="11" t="s">
        <v>766</v>
      </c>
      <c r="L26" s="11" t="s">
        <v>766</v>
      </c>
      <c r="M26" s="11" t="s">
        <v>766</v>
      </c>
      <c r="N26" s="11" t="s">
        <v>729</v>
      </c>
      <c r="O26" s="11" t="s">
        <v>729</v>
      </c>
      <c r="P26" s="11" t="s">
        <v>729</v>
      </c>
      <c r="Q26" s="11" t="s">
        <v>729</v>
      </c>
      <c r="R26" s="11" t="s">
        <v>729</v>
      </c>
      <c r="S26" s="11" t="s">
        <v>729</v>
      </c>
      <c r="T26" s="11" t="s">
        <v>729</v>
      </c>
      <c r="U26" s="11" t="s">
        <v>729</v>
      </c>
      <c r="V26" s="12" t="s">
        <v>729</v>
      </c>
    </row>
    <row r="27" ht="18" customHeight="1" spans="1:22">
      <c r="A27" s="19"/>
      <c r="B27" s="20" t="s">
        <v>699</v>
      </c>
      <c r="C27" s="20"/>
      <c r="D27" s="20"/>
      <c r="E27" s="6" t="s">
        <v>729</v>
      </c>
      <c r="F27" s="6" t="s">
        <v>729</v>
      </c>
      <c r="G27" s="6" t="s">
        <v>729</v>
      </c>
      <c r="H27" s="6" t="s">
        <v>729</v>
      </c>
      <c r="I27" s="6" t="s">
        <v>729</v>
      </c>
      <c r="J27" s="6" t="s">
        <v>729</v>
      </c>
      <c r="K27" s="6" t="s">
        <v>729</v>
      </c>
      <c r="L27" s="6" t="s">
        <v>729</v>
      </c>
      <c r="M27" s="6" t="s">
        <v>729</v>
      </c>
      <c r="N27" s="6" t="s">
        <v>729</v>
      </c>
      <c r="O27" s="6" t="s">
        <v>729</v>
      </c>
      <c r="P27" s="6" t="s">
        <v>729</v>
      </c>
      <c r="Q27" s="6" t="s">
        <v>729</v>
      </c>
      <c r="R27" s="6" t="s">
        <v>729</v>
      </c>
      <c r="S27" s="6" t="s">
        <v>729</v>
      </c>
      <c r="T27" s="6" t="s">
        <v>729</v>
      </c>
      <c r="U27" s="6" t="s">
        <v>729</v>
      </c>
      <c r="V27" s="8" t="s">
        <v>729</v>
      </c>
    </row>
    <row r="28" ht="18" customHeight="1" spans="1:22">
      <c r="A28" s="19"/>
      <c r="B28" s="21" t="s">
        <v>700</v>
      </c>
      <c r="C28" s="21"/>
      <c r="D28" s="21"/>
      <c r="E28" s="22" t="s">
        <v>729</v>
      </c>
      <c r="F28" s="22" t="s">
        <v>729</v>
      </c>
      <c r="G28" s="22" t="s">
        <v>729</v>
      </c>
      <c r="H28" s="22" t="s">
        <v>729</v>
      </c>
      <c r="I28" s="22" t="s">
        <v>729</v>
      </c>
      <c r="J28" s="22" t="s">
        <v>729</v>
      </c>
      <c r="K28" s="22" t="s">
        <v>729</v>
      </c>
      <c r="L28" s="22" t="s">
        <v>729</v>
      </c>
      <c r="M28" s="22" t="s">
        <v>729</v>
      </c>
      <c r="N28" s="22" t="s">
        <v>729</v>
      </c>
      <c r="O28" s="22" t="s">
        <v>729</v>
      </c>
      <c r="P28" s="22" t="s">
        <v>729</v>
      </c>
      <c r="Q28" s="22" t="s">
        <v>729</v>
      </c>
      <c r="R28" s="22" t="s">
        <v>729</v>
      </c>
      <c r="S28" s="22" t="s">
        <v>729</v>
      </c>
      <c r="T28" s="22" t="s">
        <v>729</v>
      </c>
      <c r="U28" s="22" t="s">
        <v>729</v>
      </c>
      <c r="V28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25:D25"/>
    <mergeCell ref="B26:D26"/>
    <mergeCell ref="B27:D27"/>
    <mergeCell ref="B28:D28"/>
    <mergeCell ref="A7:A15"/>
    <mergeCell ref="A16:A24"/>
    <mergeCell ref="A25:A28"/>
  </mergeCells>
  <dataValidations count="3">
    <dataValidation type="list" allowBlank="1" sqref="F25:V25">
      <formula1>"N,A,B"</formula1>
    </dataValidation>
    <dataValidation type="list" allowBlank="1" sqref="F26:V26">
      <formula1>"P,F"</formula1>
    </dataValidation>
    <dataValidation type="list" allowBlank="1" sqref="F10:V15 F17:V24 F8:V9">
      <formula1>"O,-"</formula1>
    </dataValidation>
  </dataValidations>
  <pageMargins left="0.7" right="0.7" top="0.75" bottom="0.75" header="0.3" footer="0.3"/>
  <pageSetup paperSize="1" orientation="portrait"/>
  <headerFooter/>
</worksheet>
</file>

<file path=xl/worksheets/sheet1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4"/>
  <sheetViews>
    <sheetView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563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564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1532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10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9</v>
      </c>
      <c r="M5" s="11">
        <v>1</v>
      </c>
      <c r="N5" s="11">
        <v>0</v>
      </c>
      <c r="O5" s="12">
        <v>10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687</v>
      </c>
      <c r="H6" s="14" t="s">
        <v>688</v>
      </c>
      <c r="I6" s="14" t="s">
        <v>689</v>
      </c>
      <c r="J6" s="14" t="s">
        <v>863</v>
      </c>
      <c r="K6" s="14" t="s">
        <v>864</v>
      </c>
      <c r="L6" s="14" t="s">
        <v>1412</v>
      </c>
      <c r="M6" s="14" t="s">
        <v>1484</v>
      </c>
      <c r="N6" s="14" t="s">
        <v>1533</v>
      </c>
      <c r="O6" s="14" t="s">
        <v>1534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15.5" customHeight="1" spans="1:22">
      <c r="A7" s="16" t="s">
        <v>690</v>
      </c>
      <c r="B7" s="17" t="s">
        <v>774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53" customHeight="1" spans="1:22">
      <c r="A8" s="16"/>
      <c r="B8" s="6" t="s">
        <v>729</v>
      </c>
      <c r="C8" s="6" t="s">
        <v>729</v>
      </c>
      <c r="D8" s="18" t="s">
        <v>1535</v>
      </c>
      <c r="E8" s="6" t="s">
        <v>729</v>
      </c>
      <c r="F8" s="11" t="s">
        <v>752</v>
      </c>
      <c r="G8" s="11" t="s">
        <v>756</v>
      </c>
      <c r="H8" s="11" t="s">
        <v>756</v>
      </c>
      <c r="I8" s="11" t="s">
        <v>756</v>
      </c>
      <c r="J8" s="11" t="s">
        <v>756</v>
      </c>
      <c r="K8" s="11" t="s">
        <v>756</v>
      </c>
      <c r="L8" s="11" t="s">
        <v>756</v>
      </c>
      <c r="M8" s="11" t="s">
        <v>756</v>
      </c>
      <c r="N8" s="11" t="s">
        <v>756</v>
      </c>
      <c r="O8" s="11" t="s">
        <v>756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28" customHeight="1" spans="1:22">
      <c r="A9" s="16"/>
      <c r="B9" s="6" t="s">
        <v>729</v>
      </c>
      <c r="C9" s="6" t="s">
        <v>729</v>
      </c>
      <c r="D9" s="18" t="s">
        <v>1536</v>
      </c>
      <c r="E9" s="6" t="s">
        <v>729</v>
      </c>
      <c r="F9" s="11" t="s">
        <v>756</v>
      </c>
      <c r="G9" s="11" t="s">
        <v>752</v>
      </c>
      <c r="H9" s="11" t="s">
        <v>756</v>
      </c>
      <c r="I9" s="11" t="s">
        <v>756</v>
      </c>
      <c r="J9" s="11" t="s">
        <v>756</v>
      </c>
      <c r="K9" s="11" t="s">
        <v>756</v>
      </c>
      <c r="L9" s="11" t="s">
        <v>756</v>
      </c>
      <c r="M9" s="11" t="s">
        <v>756</v>
      </c>
      <c r="N9" s="11" t="s">
        <v>756</v>
      </c>
      <c r="O9" s="11" t="s">
        <v>756</v>
      </c>
      <c r="P9" s="11" t="s">
        <v>729</v>
      </c>
      <c r="Q9" s="11" t="s">
        <v>729</v>
      </c>
      <c r="R9" s="11" t="s">
        <v>729</v>
      </c>
      <c r="S9" s="11" t="s">
        <v>729</v>
      </c>
      <c r="T9" s="11" t="s">
        <v>729</v>
      </c>
      <c r="U9" s="11" t="s">
        <v>729</v>
      </c>
      <c r="V9" s="12" t="s">
        <v>729</v>
      </c>
    </row>
    <row r="10" ht="40.5" customHeight="1" spans="1:22">
      <c r="A10" s="16"/>
      <c r="B10" s="6" t="s">
        <v>729</v>
      </c>
      <c r="C10" s="6" t="s">
        <v>729</v>
      </c>
      <c r="D10" s="18" t="s">
        <v>1537</v>
      </c>
      <c r="E10" s="6" t="s">
        <v>729</v>
      </c>
      <c r="F10" s="11" t="s">
        <v>756</v>
      </c>
      <c r="G10" s="11" t="s">
        <v>756</v>
      </c>
      <c r="H10" s="11" t="s">
        <v>752</v>
      </c>
      <c r="I10" s="11" t="s">
        <v>756</v>
      </c>
      <c r="J10" s="11" t="s">
        <v>756</v>
      </c>
      <c r="K10" s="11" t="s">
        <v>756</v>
      </c>
      <c r="L10" s="11" t="s">
        <v>756</v>
      </c>
      <c r="M10" s="11" t="s">
        <v>756</v>
      </c>
      <c r="N10" s="11" t="s">
        <v>756</v>
      </c>
      <c r="O10" s="11" t="s">
        <v>756</v>
      </c>
      <c r="P10" s="11" t="s">
        <v>729</v>
      </c>
      <c r="Q10" s="11" t="s">
        <v>729</v>
      </c>
      <c r="R10" s="11" t="s">
        <v>729</v>
      </c>
      <c r="S10" s="11" t="s">
        <v>729</v>
      </c>
      <c r="T10" s="11" t="s">
        <v>729</v>
      </c>
      <c r="U10" s="11" t="s">
        <v>729</v>
      </c>
      <c r="V10" s="12" t="s">
        <v>729</v>
      </c>
    </row>
    <row r="11" ht="65.5" customHeight="1" spans="1:22">
      <c r="A11" s="16"/>
      <c r="B11" s="6" t="s">
        <v>729</v>
      </c>
      <c r="C11" s="6" t="s">
        <v>729</v>
      </c>
      <c r="D11" s="18" t="s">
        <v>1538</v>
      </c>
      <c r="E11" s="6" t="s">
        <v>729</v>
      </c>
      <c r="F11" s="11" t="s">
        <v>756</v>
      </c>
      <c r="G11" s="11" t="s">
        <v>756</v>
      </c>
      <c r="H11" s="11" t="s">
        <v>756</v>
      </c>
      <c r="I11" s="11" t="s">
        <v>752</v>
      </c>
      <c r="J11" s="11" t="s">
        <v>756</v>
      </c>
      <c r="K11" s="11" t="s">
        <v>756</v>
      </c>
      <c r="L11" s="11" t="s">
        <v>756</v>
      </c>
      <c r="M11" s="11" t="s">
        <v>756</v>
      </c>
      <c r="N11" s="11" t="s">
        <v>756</v>
      </c>
      <c r="O11" s="11" t="s">
        <v>756</v>
      </c>
      <c r="P11" s="11" t="s">
        <v>729</v>
      </c>
      <c r="Q11" s="11" t="s">
        <v>729</v>
      </c>
      <c r="R11" s="11" t="s">
        <v>729</v>
      </c>
      <c r="S11" s="11" t="s">
        <v>729</v>
      </c>
      <c r="T11" s="11" t="s">
        <v>729</v>
      </c>
      <c r="U11" s="11" t="s">
        <v>729</v>
      </c>
      <c r="V11" s="12" t="s">
        <v>729</v>
      </c>
    </row>
    <row r="12" ht="53" customHeight="1" spans="1:22">
      <c r="A12" s="16"/>
      <c r="B12" s="6" t="s">
        <v>729</v>
      </c>
      <c r="C12" s="6" t="s">
        <v>729</v>
      </c>
      <c r="D12" s="18" t="s">
        <v>1539</v>
      </c>
      <c r="E12" s="6" t="s">
        <v>729</v>
      </c>
      <c r="F12" s="11" t="s">
        <v>756</v>
      </c>
      <c r="G12" s="11" t="s">
        <v>756</v>
      </c>
      <c r="H12" s="11" t="s">
        <v>756</v>
      </c>
      <c r="I12" s="11" t="s">
        <v>756</v>
      </c>
      <c r="J12" s="11" t="s">
        <v>752</v>
      </c>
      <c r="K12" s="11" t="s">
        <v>756</v>
      </c>
      <c r="L12" s="11" t="s">
        <v>756</v>
      </c>
      <c r="M12" s="11" t="s">
        <v>756</v>
      </c>
      <c r="N12" s="11" t="s">
        <v>756</v>
      </c>
      <c r="O12" s="11" t="s">
        <v>756</v>
      </c>
      <c r="P12" s="11" t="s">
        <v>729</v>
      </c>
      <c r="Q12" s="11" t="s">
        <v>729</v>
      </c>
      <c r="R12" s="11" t="s">
        <v>729</v>
      </c>
      <c r="S12" s="11" t="s">
        <v>729</v>
      </c>
      <c r="T12" s="11" t="s">
        <v>729</v>
      </c>
      <c r="U12" s="11" t="s">
        <v>729</v>
      </c>
      <c r="V12" s="12" t="s">
        <v>729</v>
      </c>
    </row>
    <row r="13" ht="53" customHeight="1" spans="1:22">
      <c r="A13" s="16"/>
      <c r="B13" s="6" t="s">
        <v>729</v>
      </c>
      <c r="C13" s="6" t="s">
        <v>729</v>
      </c>
      <c r="D13" s="18" t="s">
        <v>1540</v>
      </c>
      <c r="E13" s="6" t="s">
        <v>729</v>
      </c>
      <c r="F13" s="11" t="s">
        <v>756</v>
      </c>
      <c r="G13" s="11" t="s">
        <v>756</v>
      </c>
      <c r="H13" s="11" t="s">
        <v>756</v>
      </c>
      <c r="I13" s="11" t="s">
        <v>756</v>
      </c>
      <c r="J13" s="11" t="s">
        <v>756</v>
      </c>
      <c r="K13" s="11" t="s">
        <v>752</v>
      </c>
      <c r="L13" s="11" t="s">
        <v>756</v>
      </c>
      <c r="M13" s="11" t="s">
        <v>756</v>
      </c>
      <c r="N13" s="11" t="s">
        <v>756</v>
      </c>
      <c r="O13" s="11" t="s">
        <v>756</v>
      </c>
      <c r="P13" s="11" t="s">
        <v>729</v>
      </c>
      <c r="Q13" s="11" t="s">
        <v>729</v>
      </c>
      <c r="R13" s="11" t="s">
        <v>729</v>
      </c>
      <c r="S13" s="11" t="s">
        <v>729</v>
      </c>
      <c r="T13" s="11" t="s">
        <v>729</v>
      </c>
      <c r="U13" s="11" t="s">
        <v>729</v>
      </c>
      <c r="V13" s="12" t="s">
        <v>729</v>
      </c>
    </row>
    <row r="14" ht="53" customHeight="1" spans="1:22">
      <c r="A14" s="16"/>
      <c r="B14" s="6" t="s">
        <v>729</v>
      </c>
      <c r="C14" s="6" t="s">
        <v>729</v>
      </c>
      <c r="D14" s="18" t="s">
        <v>1541</v>
      </c>
      <c r="E14" s="6" t="s">
        <v>729</v>
      </c>
      <c r="F14" s="11" t="s">
        <v>756</v>
      </c>
      <c r="G14" s="11" t="s">
        <v>756</v>
      </c>
      <c r="H14" s="11" t="s">
        <v>756</v>
      </c>
      <c r="I14" s="11" t="s">
        <v>756</v>
      </c>
      <c r="J14" s="11" t="s">
        <v>756</v>
      </c>
      <c r="K14" s="11" t="s">
        <v>756</v>
      </c>
      <c r="L14" s="11" t="s">
        <v>752</v>
      </c>
      <c r="M14" s="11" t="s">
        <v>756</v>
      </c>
      <c r="N14" s="11" t="s">
        <v>756</v>
      </c>
      <c r="O14" s="11" t="s">
        <v>756</v>
      </c>
      <c r="P14" s="11" t="s">
        <v>729</v>
      </c>
      <c r="Q14" s="11" t="s">
        <v>729</v>
      </c>
      <c r="R14" s="11" t="s">
        <v>729</v>
      </c>
      <c r="S14" s="11" t="s">
        <v>729</v>
      </c>
      <c r="T14" s="11" t="s">
        <v>729</v>
      </c>
      <c r="U14" s="11" t="s">
        <v>729</v>
      </c>
      <c r="V14" s="12" t="s">
        <v>729</v>
      </c>
    </row>
    <row r="15" ht="53" customHeight="1" spans="1:22">
      <c r="A15" s="16"/>
      <c r="B15" s="6" t="s">
        <v>729</v>
      </c>
      <c r="C15" s="6" t="s">
        <v>729</v>
      </c>
      <c r="D15" s="18" t="s">
        <v>1542</v>
      </c>
      <c r="E15" s="6" t="s">
        <v>729</v>
      </c>
      <c r="F15" s="11" t="s">
        <v>756</v>
      </c>
      <c r="G15" s="11" t="s">
        <v>756</v>
      </c>
      <c r="H15" s="11" t="s">
        <v>756</v>
      </c>
      <c r="I15" s="11" t="s">
        <v>756</v>
      </c>
      <c r="J15" s="11" t="s">
        <v>756</v>
      </c>
      <c r="K15" s="11" t="s">
        <v>756</v>
      </c>
      <c r="L15" s="11" t="s">
        <v>756</v>
      </c>
      <c r="M15" s="11" t="s">
        <v>752</v>
      </c>
      <c r="N15" s="11" t="s">
        <v>756</v>
      </c>
      <c r="O15" s="11" t="s">
        <v>756</v>
      </c>
      <c r="P15" s="11" t="s">
        <v>729</v>
      </c>
      <c r="Q15" s="11" t="s">
        <v>729</v>
      </c>
      <c r="R15" s="11" t="s">
        <v>729</v>
      </c>
      <c r="S15" s="11" t="s">
        <v>729</v>
      </c>
      <c r="T15" s="11" t="s">
        <v>729</v>
      </c>
      <c r="U15" s="11" t="s">
        <v>729</v>
      </c>
      <c r="V15" s="12" t="s">
        <v>729</v>
      </c>
    </row>
    <row r="16" ht="53" customHeight="1" spans="1:22">
      <c r="A16" s="16"/>
      <c r="B16" s="6" t="s">
        <v>729</v>
      </c>
      <c r="C16" s="6" t="s">
        <v>729</v>
      </c>
      <c r="D16" s="18" t="s">
        <v>1543</v>
      </c>
      <c r="E16" s="6" t="s">
        <v>729</v>
      </c>
      <c r="F16" s="11" t="s">
        <v>756</v>
      </c>
      <c r="G16" s="11" t="s">
        <v>756</v>
      </c>
      <c r="H16" s="11" t="s">
        <v>756</v>
      </c>
      <c r="I16" s="11" t="s">
        <v>756</v>
      </c>
      <c r="J16" s="11" t="s">
        <v>756</v>
      </c>
      <c r="K16" s="11" t="s">
        <v>756</v>
      </c>
      <c r="L16" s="11" t="s">
        <v>756</v>
      </c>
      <c r="M16" s="11" t="s">
        <v>756</v>
      </c>
      <c r="N16" s="11" t="s">
        <v>752</v>
      </c>
      <c r="O16" s="11" t="s">
        <v>756</v>
      </c>
      <c r="P16" s="11" t="s">
        <v>729</v>
      </c>
      <c r="Q16" s="11" t="s">
        <v>729</v>
      </c>
      <c r="R16" s="11" t="s">
        <v>729</v>
      </c>
      <c r="S16" s="11" t="s">
        <v>729</v>
      </c>
      <c r="T16" s="11" t="s">
        <v>729</v>
      </c>
      <c r="U16" s="11" t="s">
        <v>729</v>
      </c>
      <c r="V16" s="12" t="s">
        <v>729</v>
      </c>
    </row>
    <row r="17" ht="40.5" customHeight="1" spans="1:22">
      <c r="A17" s="16"/>
      <c r="B17" s="6" t="s">
        <v>729</v>
      </c>
      <c r="C17" s="6" t="s">
        <v>729</v>
      </c>
      <c r="D17" s="18" t="s">
        <v>1544</v>
      </c>
      <c r="E17" s="6" t="s">
        <v>729</v>
      </c>
      <c r="F17" s="11" t="s">
        <v>756</v>
      </c>
      <c r="G17" s="11" t="s">
        <v>756</v>
      </c>
      <c r="H17" s="11" t="s">
        <v>756</v>
      </c>
      <c r="I17" s="11" t="s">
        <v>756</v>
      </c>
      <c r="J17" s="11" t="s">
        <v>756</v>
      </c>
      <c r="K17" s="11" t="s">
        <v>756</v>
      </c>
      <c r="L17" s="11" t="s">
        <v>756</v>
      </c>
      <c r="M17" s="11" t="s">
        <v>756</v>
      </c>
      <c r="N17" s="11" t="s">
        <v>756</v>
      </c>
      <c r="O17" s="11" t="s">
        <v>752</v>
      </c>
      <c r="P17" s="11" t="s">
        <v>729</v>
      </c>
      <c r="Q17" s="11" t="s">
        <v>729</v>
      </c>
      <c r="R17" s="11" t="s">
        <v>729</v>
      </c>
      <c r="S17" s="11" t="s">
        <v>729</v>
      </c>
      <c r="T17" s="11" t="s">
        <v>729</v>
      </c>
      <c r="U17" s="11" t="s">
        <v>729</v>
      </c>
      <c r="V17" s="12" t="s">
        <v>729</v>
      </c>
    </row>
    <row r="18" ht="15.5" customHeight="1" spans="1:22">
      <c r="A18" s="16" t="s">
        <v>692</v>
      </c>
      <c r="B18" s="17" t="s">
        <v>693</v>
      </c>
      <c r="C18" s="6" t="s">
        <v>729</v>
      </c>
      <c r="D18" s="6" t="s">
        <v>729</v>
      </c>
      <c r="E18" s="6" t="s">
        <v>729</v>
      </c>
      <c r="F18" s="6" t="s">
        <v>729</v>
      </c>
      <c r="G18" s="6" t="s">
        <v>729</v>
      </c>
      <c r="H18" s="6" t="s">
        <v>729</v>
      </c>
      <c r="I18" s="6" t="s">
        <v>729</v>
      </c>
      <c r="J18" s="6" t="s">
        <v>729</v>
      </c>
      <c r="K18" s="6" t="s">
        <v>729</v>
      </c>
      <c r="L18" s="6" t="s">
        <v>729</v>
      </c>
      <c r="M18" s="6" t="s">
        <v>729</v>
      </c>
      <c r="N18" s="6" t="s">
        <v>729</v>
      </c>
      <c r="O18" s="6" t="s">
        <v>729</v>
      </c>
      <c r="P18" s="6" t="s">
        <v>729</v>
      </c>
      <c r="Q18" s="6" t="s">
        <v>729</v>
      </c>
      <c r="R18" s="6" t="s">
        <v>729</v>
      </c>
      <c r="S18" s="6" t="s">
        <v>729</v>
      </c>
      <c r="T18" s="6" t="s">
        <v>729</v>
      </c>
      <c r="U18" s="6" t="s">
        <v>729</v>
      </c>
      <c r="V18" s="8" t="s">
        <v>729</v>
      </c>
    </row>
    <row r="19" ht="53" customHeight="1" spans="1:22">
      <c r="A19" s="16"/>
      <c r="B19" s="6" t="s">
        <v>729</v>
      </c>
      <c r="C19" s="6" t="s">
        <v>729</v>
      </c>
      <c r="D19" s="18" t="s">
        <v>1545</v>
      </c>
      <c r="E19" s="6" t="s">
        <v>729</v>
      </c>
      <c r="F19" s="11" t="s">
        <v>752</v>
      </c>
      <c r="G19" s="11" t="s">
        <v>756</v>
      </c>
      <c r="H19" s="11" t="s">
        <v>756</v>
      </c>
      <c r="I19" s="11" t="s">
        <v>756</v>
      </c>
      <c r="J19" s="11" t="s">
        <v>756</v>
      </c>
      <c r="K19" s="11" t="s">
        <v>756</v>
      </c>
      <c r="L19" s="11" t="s">
        <v>756</v>
      </c>
      <c r="M19" s="11" t="s">
        <v>756</v>
      </c>
      <c r="N19" s="11" t="s">
        <v>756</v>
      </c>
      <c r="O19" s="11" t="s">
        <v>756</v>
      </c>
      <c r="P19" s="11" t="s">
        <v>729</v>
      </c>
      <c r="Q19" s="11" t="s">
        <v>729</v>
      </c>
      <c r="R19" s="11" t="s">
        <v>729</v>
      </c>
      <c r="S19" s="11" t="s">
        <v>729</v>
      </c>
      <c r="T19" s="11" t="s">
        <v>729</v>
      </c>
      <c r="U19" s="11" t="s">
        <v>729</v>
      </c>
      <c r="V19" s="12" t="s">
        <v>729</v>
      </c>
    </row>
    <row r="20" ht="53" customHeight="1" spans="1:22">
      <c r="A20" s="16"/>
      <c r="B20" s="6" t="s">
        <v>729</v>
      </c>
      <c r="C20" s="6" t="s">
        <v>729</v>
      </c>
      <c r="D20" s="18" t="s">
        <v>1546</v>
      </c>
      <c r="E20" s="6" t="s">
        <v>729</v>
      </c>
      <c r="F20" s="11" t="s">
        <v>756</v>
      </c>
      <c r="G20" s="11" t="s">
        <v>752</v>
      </c>
      <c r="H20" s="11" t="s">
        <v>756</v>
      </c>
      <c r="I20" s="11" t="s">
        <v>756</v>
      </c>
      <c r="J20" s="11" t="s">
        <v>756</v>
      </c>
      <c r="K20" s="11" t="s">
        <v>756</v>
      </c>
      <c r="L20" s="11" t="s">
        <v>756</v>
      </c>
      <c r="M20" s="11" t="s">
        <v>756</v>
      </c>
      <c r="N20" s="11" t="s">
        <v>756</v>
      </c>
      <c r="O20" s="11" t="s">
        <v>756</v>
      </c>
      <c r="P20" s="11" t="s">
        <v>729</v>
      </c>
      <c r="Q20" s="11" t="s">
        <v>729</v>
      </c>
      <c r="R20" s="11" t="s">
        <v>729</v>
      </c>
      <c r="S20" s="11" t="s">
        <v>729</v>
      </c>
      <c r="T20" s="11" t="s">
        <v>729</v>
      </c>
      <c r="U20" s="11" t="s">
        <v>729</v>
      </c>
      <c r="V20" s="12" t="s">
        <v>729</v>
      </c>
    </row>
    <row r="21" ht="53" customHeight="1" spans="1:22">
      <c r="A21" s="16"/>
      <c r="B21" s="6" t="s">
        <v>729</v>
      </c>
      <c r="C21" s="6" t="s">
        <v>729</v>
      </c>
      <c r="D21" s="18" t="s">
        <v>1547</v>
      </c>
      <c r="E21" s="6" t="s">
        <v>729</v>
      </c>
      <c r="F21" s="11" t="s">
        <v>756</v>
      </c>
      <c r="G21" s="11" t="s">
        <v>756</v>
      </c>
      <c r="H21" s="11" t="s">
        <v>752</v>
      </c>
      <c r="I21" s="11" t="s">
        <v>756</v>
      </c>
      <c r="J21" s="11" t="s">
        <v>756</v>
      </c>
      <c r="K21" s="11" t="s">
        <v>756</v>
      </c>
      <c r="L21" s="11" t="s">
        <v>756</v>
      </c>
      <c r="M21" s="11" t="s">
        <v>756</v>
      </c>
      <c r="N21" s="11" t="s">
        <v>756</v>
      </c>
      <c r="O21" s="11" t="s">
        <v>756</v>
      </c>
      <c r="P21" s="11" t="s">
        <v>729</v>
      </c>
      <c r="Q21" s="11" t="s">
        <v>729</v>
      </c>
      <c r="R21" s="11" t="s">
        <v>729</v>
      </c>
      <c r="S21" s="11" t="s">
        <v>729</v>
      </c>
      <c r="T21" s="11" t="s">
        <v>729</v>
      </c>
      <c r="U21" s="11" t="s">
        <v>729</v>
      </c>
      <c r="V21" s="12" t="s">
        <v>729</v>
      </c>
    </row>
    <row r="22" ht="53" customHeight="1" spans="1:22">
      <c r="A22" s="16"/>
      <c r="B22" s="6" t="s">
        <v>729</v>
      </c>
      <c r="C22" s="6" t="s">
        <v>729</v>
      </c>
      <c r="D22" s="18" t="s">
        <v>1548</v>
      </c>
      <c r="E22" s="6" t="s">
        <v>729</v>
      </c>
      <c r="F22" s="11" t="s">
        <v>756</v>
      </c>
      <c r="G22" s="11" t="s">
        <v>756</v>
      </c>
      <c r="H22" s="11" t="s">
        <v>756</v>
      </c>
      <c r="I22" s="11" t="s">
        <v>752</v>
      </c>
      <c r="J22" s="11" t="s">
        <v>756</v>
      </c>
      <c r="K22" s="11" t="s">
        <v>756</v>
      </c>
      <c r="L22" s="11" t="s">
        <v>756</v>
      </c>
      <c r="M22" s="11" t="s">
        <v>756</v>
      </c>
      <c r="N22" s="11" t="s">
        <v>756</v>
      </c>
      <c r="O22" s="11" t="s">
        <v>756</v>
      </c>
      <c r="P22" s="11" t="s">
        <v>729</v>
      </c>
      <c r="Q22" s="11" t="s">
        <v>729</v>
      </c>
      <c r="R22" s="11" t="s">
        <v>729</v>
      </c>
      <c r="S22" s="11" t="s">
        <v>729</v>
      </c>
      <c r="T22" s="11" t="s">
        <v>729</v>
      </c>
      <c r="U22" s="11" t="s">
        <v>729</v>
      </c>
      <c r="V22" s="12" t="s">
        <v>729</v>
      </c>
    </row>
    <row r="23" ht="65.5" customHeight="1" spans="1:22">
      <c r="A23" s="16"/>
      <c r="B23" s="6" t="s">
        <v>729</v>
      </c>
      <c r="C23" s="6" t="s">
        <v>729</v>
      </c>
      <c r="D23" s="18" t="s">
        <v>1549</v>
      </c>
      <c r="E23" s="6" t="s">
        <v>729</v>
      </c>
      <c r="F23" s="11" t="s">
        <v>756</v>
      </c>
      <c r="G23" s="11" t="s">
        <v>756</v>
      </c>
      <c r="H23" s="11" t="s">
        <v>756</v>
      </c>
      <c r="I23" s="11" t="s">
        <v>756</v>
      </c>
      <c r="J23" s="11" t="s">
        <v>752</v>
      </c>
      <c r="K23" s="11" t="s">
        <v>756</v>
      </c>
      <c r="L23" s="11" t="s">
        <v>756</v>
      </c>
      <c r="M23" s="11" t="s">
        <v>756</v>
      </c>
      <c r="N23" s="11" t="s">
        <v>756</v>
      </c>
      <c r="O23" s="11" t="s">
        <v>756</v>
      </c>
      <c r="P23" s="11" t="s">
        <v>729</v>
      </c>
      <c r="Q23" s="11" t="s">
        <v>729</v>
      </c>
      <c r="R23" s="11" t="s">
        <v>729</v>
      </c>
      <c r="S23" s="11" t="s">
        <v>729</v>
      </c>
      <c r="T23" s="11" t="s">
        <v>729</v>
      </c>
      <c r="U23" s="11" t="s">
        <v>729</v>
      </c>
      <c r="V23" s="12" t="s">
        <v>729</v>
      </c>
    </row>
    <row r="24" ht="53" customHeight="1" spans="1:22">
      <c r="A24" s="16"/>
      <c r="B24" s="6" t="s">
        <v>729</v>
      </c>
      <c r="C24" s="6" t="s">
        <v>729</v>
      </c>
      <c r="D24" s="18" t="s">
        <v>1550</v>
      </c>
      <c r="E24" s="6" t="s">
        <v>729</v>
      </c>
      <c r="F24" s="11" t="s">
        <v>756</v>
      </c>
      <c r="G24" s="11" t="s">
        <v>756</v>
      </c>
      <c r="H24" s="11" t="s">
        <v>756</v>
      </c>
      <c r="I24" s="11" t="s">
        <v>756</v>
      </c>
      <c r="J24" s="11" t="s">
        <v>756</v>
      </c>
      <c r="K24" s="11" t="s">
        <v>752</v>
      </c>
      <c r="L24" s="11" t="s">
        <v>756</v>
      </c>
      <c r="M24" s="11" t="s">
        <v>756</v>
      </c>
      <c r="N24" s="11" t="s">
        <v>756</v>
      </c>
      <c r="O24" s="11" t="s">
        <v>756</v>
      </c>
      <c r="P24" s="11" t="s">
        <v>729</v>
      </c>
      <c r="Q24" s="11" t="s">
        <v>729</v>
      </c>
      <c r="R24" s="11" t="s">
        <v>729</v>
      </c>
      <c r="S24" s="11" t="s">
        <v>729</v>
      </c>
      <c r="T24" s="11" t="s">
        <v>729</v>
      </c>
      <c r="U24" s="11" t="s">
        <v>729</v>
      </c>
      <c r="V24" s="12" t="s">
        <v>729</v>
      </c>
    </row>
    <row r="25" ht="53" customHeight="1" spans="1:22">
      <c r="A25" s="16"/>
      <c r="B25" s="6" t="s">
        <v>729</v>
      </c>
      <c r="C25" s="6" t="s">
        <v>729</v>
      </c>
      <c r="D25" s="18" t="s">
        <v>1551</v>
      </c>
      <c r="E25" s="6" t="s">
        <v>729</v>
      </c>
      <c r="F25" s="11" t="s">
        <v>756</v>
      </c>
      <c r="G25" s="11" t="s">
        <v>756</v>
      </c>
      <c r="H25" s="11" t="s">
        <v>756</v>
      </c>
      <c r="I25" s="11" t="s">
        <v>756</v>
      </c>
      <c r="J25" s="11" t="s">
        <v>756</v>
      </c>
      <c r="K25" s="11" t="s">
        <v>756</v>
      </c>
      <c r="L25" s="11" t="s">
        <v>752</v>
      </c>
      <c r="M25" s="11" t="s">
        <v>756</v>
      </c>
      <c r="N25" s="11" t="s">
        <v>756</v>
      </c>
      <c r="O25" s="11" t="s">
        <v>756</v>
      </c>
      <c r="P25" s="11" t="s">
        <v>729</v>
      </c>
      <c r="Q25" s="11" t="s">
        <v>729</v>
      </c>
      <c r="R25" s="11" t="s">
        <v>729</v>
      </c>
      <c r="S25" s="11" t="s">
        <v>729</v>
      </c>
      <c r="T25" s="11" t="s">
        <v>729</v>
      </c>
      <c r="U25" s="11" t="s">
        <v>729</v>
      </c>
      <c r="V25" s="12" t="s">
        <v>729</v>
      </c>
    </row>
    <row r="26" ht="65.5" customHeight="1" spans="1:22">
      <c r="A26" s="16"/>
      <c r="B26" s="6" t="s">
        <v>729</v>
      </c>
      <c r="C26" s="6" t="s">
        <v>729</v>
      </c>
      <c r="D26" s="18" t="s">
        <v>1552</v>
      </c>
      <c r="E26" s="6" t="s">
        <v>729</v>
      </c>
      <c r="F26" s="11" t="s">
        <v>756</v>
      </c>
      <c r="G26" s="11" t="s">
        <v>756</v>
      </c>
      <c r="H26" s="11" t="s">
        <v>756</v>
      </c>
      <c r="I26" s="11" t="s">
        <v>756</v>
      </c>
      <c r="J26" s="11" t="s">
        <v>756</v>
      </c>
      <c r="K26" s="11" t="s">
        <v>756</v>
      </c>
      <c r="L26" s="11" t="s">
        <v>756</v>
      </c>
      <c r="M26" s="11" t="s">
        <v>752</v>
      </c>
      <c r="N26" s="11" t="s">
        <v>756</v>
      </c>
      <c r="O26" s="11" t="s">
        <v>756</v>
      </c>
      <c r="P26" s="11" t="s">
        <v>729</v>
      </c>
      <c r="Q26" s="11" t="s">
        <v>729</v>
      </c>
      <c r="R26" s="11" t="s">
        <v>729</v>
      </c>
      <c r="S26" s="11" t="s">
        <v>729</v>
      </c>
      <c r="T26" s="11" t="s">
        <v>729</v>
      </c>
      <c r="U26" s="11" t="s">
        <v>729</v>
      </c>
      <c r="V26" s="12" t="s">
        <v>729</v>
      </c>
    </row>
    <row r="27" ht="40.5" customHeight="1" spans="1:22">
      <c r="A27" s="16"/>
      <c r="B27" s="6" t="s">
        <v>729</v>
      </c>
      <c r="C27" s="6" t="s">
        <v>729</v>
      </c>
      <c r="D27" s="18" t="s">
        <v>1553</v>
      </c>
      <c r="E27" s="6" t="s">
        <v>729</v>
      </c>
      <c r="F27" s="11" t="s">
        <v>756</v>
      </c>
      <c r="G27" s="11" t="s">
        <v>756</v>
      </c>
      <c r="H27" s="11" t="s">
        <v>756</v>
      </c>
      <c r="I27" s="11" t="s">
        <v>756</v>
      </c>
      <c r="J27" s="11" t="s">
        <v>756</v>
      </c>
      <c r="K27" s="11" t="s">
        <v>756</v>
      </c>
      <c r="L27" s="11" t="s">
        <v>756</v>
      </c>
      <c r="M27" s="11" t="s">
        <v>756</v>
      </c>
      <c r="N27" s="11" t="s">
        <v>752</v>
      </c>
      <c r="O27" s="11" t="s">
        <v>756</v>
      </c>
      <c r="P27" s="11" t="s">
        <v>729</v>
      </c>
      <c r="Q27" s="11" t="s">
        <v>729</v>
      </c>
      <c r="R27" s="11" t="s">
        <v>729</v>
      </c>
      <c r="S27" s="11" t="s">
        <v>729</v>
      </c>
      <c r="T27" s="11" t="s">
        <v>729</v>
      </c>
      <c r="U27" s="11" t="s">
        <v>729</v>
      </c>
      <c r="V27" s="12" t="s">
        <v>729</v>
      </c>
    </row>
    <row r="28" ht="65.5" customHeight="1" spans="1:22">
      <c r="A28" s="16"/>
      <c r="B28" s="6" t="s">
        <v>729</v>
      </c>
      <c r="C28" s="6" t="s">
        <v>729</v>
      </c>
      <c r="D28" s="18" t="s">
        <v>1554</v>
      </c>
      <c r="E28" s="6" t="s">
        <v>729</v>
      </c>
      <c r="F28" s="11" t="s">
        <v>756</v>
      </c>
      <c r="G28" s="11" t="s">
        <v>756</v>
      </c>
      <c r="H28" s="11" t="s">
        <v>756</v>
      </c>
      <c r="I28" s="11" t="s">
        <v>756</v>
      </c>
      <c r="J28" s="11" t="s">
        <v>756</v>
      </c>
      <c r="K28" s="11" t="s">
        <v>756</v>
      </c>
      <c r="L28" s="11" t="s">
        <v>756</v>
      </c>
      <c r="M28" s="11" t="s">
        <v>756</v>
      </c>
      <c r="N28" s="11" t="s">
        <v>756</v>
      </c>
      <c r="O28" s="11" t="s">
        <v>752</v>
      </c>
      <c r="P28" s="11" t="s">
        <v>729</v>
      </c>
      <c r="Q28" s="11" t="s">
        <v>729</v>
      </c>
      <c r="R28" s="11" t="s">
        <v>729</v>
      </c>
      <c r="S28" s="11" t="s">
        <v>729</v>
      </c>
      <c r="T28" s="11" t="s">
        <v>729</v>
      </c>
      <c r="U28" s="11" t="s">
        <v>729</v>
      </c>
      <c r="V28" s="12" t="s">
        <v>729</v>
      </c>
    </row>
    <row r="29" ht="15.5" customHeight="1" spans="1:22">
      <c r="A29" s="16"/>
      <c r="B29" s="17" t="s">
        <v>694</v>
      </c>
      <c r="C29" s="6" t="s">
        <v>729</v>
      </c>
      <c r="D29" s="6" t="s">
        <v>729</v>
      </c>
      <c r="E29" s="6" t="s">
        <v>729</v>
      </c>
      <c r="F29" s="6" t="s">
        <v>729</v>
      </c>
      <c r="G29" s="6" t="s">
        <v>729</v>
      </c>
      <c r="H29" s="6" t="s">
        <v>729</v>
      </c>
      <c r="I29" s="6" t="s">
        <v>729</v>
      </c>
      <c r="J29" s="6" t="s">
        <v>729</v>
      </c>
      <c r="K29" s="6" t="s">
        <v>729</v>
      </c>
      <c r="L29" s="6" t="s">
        <v>729</v>
      </c>
      <c r="M29" s="6" t="s">
        <v>729</v>
      </c>
      <c r="N29" s="6" t="s">
        <v>729</v>
      </c>
      <c r="O29" s="6" t="s">
        <v>729</v>
      </c>
      <c r="P29" s="6" t="s">
        <v>729</v>
      </c>
      <c r="Q29" s="6" t="s">
        <v>729</v>
      </c>
      <c r="R29" s="6" t="s">
        <v>729</v>
      </c>
      <c r="S29" s="6" t="s">
        <v>729</v>
      </c>
      <c r="T29" s="6" t="s">
        <v>729</v>
      </c>
      <c r="U29" s="6" t="s">
        <v>729</v>
      </c>
      <c r="V29" s="8" t="s">
        <v>729</v>
      </c>
    </row>
    <row r="30" ht="90.5" customHeight="1" spans="1:22">
      <c r="A30" s="16"/>
      <c r="B30" s="6" t="s">
        <v>729</v>
      </c>
      <c r="C30" s="6" t="s">
        <v>729</v>
      </c>
      <c r="D30" s="18" t="s">
        <v>1555</v>
      </c>
      <c r="E30" s="6" t="s">
        <v>729</v>
      </c>
      <c r="F30" s="11" t="s">
        <v>756</v>
      </c>
      <c r="G30" s="11" t="s">
        <v>756</v>
      </c>
      <c r="H30" s="11" t="s">
        <v>756</v>
      </c>
      <c r="I30" s="11" t="s">
        <v>756</v>
      </c>
      <c r="J30" s="11" t="s">
        <v>756</v>
      </c>
      <c r="K30" s="11" t="s">
        <v>756</v>
      </c>
      <c r="L30" s="11" t="s">
        <v>756</v>
      </c>
      <c r="M30" s="11" t="s">
        <v>752</v>
      </c>
      <c r="N30" s="11" t="s">
        <v>752</v>
      </c>
      <c r="O30" s="11" t="s">
        <v>756</v>
      </c>
      <c r="P30" s="11" t="s">
        <v>729</v>
      </c>
      <c r="Q30" s="11" t="s">
        <v>729</v>
      </c>
      <c r="R30" s="11" t="s">
        <v>729</v>
      </c>
      <c r="S30" s="11" t="s">
        <v>729</v>
      </c>
      <c r="T30" s="11" t="s">
        <v>729</v>
      </c>
      <c r="U30" s="11" t="s">
        <v>729</v>
      </c>
      <c r="V30" s="12" t="s">
        <v>729</v>
      </c>
    </row>
    <row r="31" ht="18" customHeight="1" spans="1:22">
      <c r="A31" s="19" t="s">
        <v>696</v>
      </c>
      <c r="B31" s="20" t="s">
        <v>765</v>
      </c>
      <c r="C31" s="20"/>
      <c r="D31" s="20"/>
      <c r="E31" s="6" t="s">
        <v>729</v>
      </c>
      <c r="F31" s="11" t="s">
        <v>670</v>
      </c>
      <c r="G31" s="11" t="s">
        <v>670</v>
      </c>
      <c r="H31" s="11" t="s">
        <v>670</v>
      </c>
      <c r="I31" s="11" t="s">
        <v>670</v>
      </c>
      <c r="J31" s="11" t="s">
        <v>670</v>
      </c>
      <c r="K31" s="11" t="s">
        <v>670</v>
      </c>
      <c r="L31" s="11" t="s">
        <v>670</v>
      </c>
      <c r="M31" s="11" t="s">
        <v>670</v>
      </c>
      <c r="N31" s="11" t="s">
        <v>670</v>
      </c>
      <c r="O31" s="11" t="s">
        <v>63</v>
      </c>
      <c r="P31" s="11" t="s">
        <v>729</v>
      </c>
      <c r="Q31" s="11" t="s">
        <v>729</v>
      </c>
      <c r="R31" s="11" t="s">
        <v>729</v>
      </c>
      <c r="S31" s="11" t="s">
        <v>729</v>
      </c>
      <c r="T31" s="11" t="s">
        <v>729</v>
      </c>
      <c r="U31" s="11" t="s">
        <v>729</v>
      </c>
      <c r="V31" s="12" t="s">
        <v>729</v>
      </c>
    </row>
    <row r="32" ht="18" customHeight="1" spans="1:22">
      <c r="A32" s="19"/>
      <c r="B32" s="20" t="s">
        <v>698</v>
      </c>
      <c r="C32" s="20"/>
      <c r="D32" s="20"/>
      <c r="E32" s="6" t="s">
        <v>729</v>
      </c>
      <c r="F32" s="11" t="s">
        <v>766</v>
      </c>
      <c r="G32" s="11" t="s">
        <v>766</v>
      </c>
      <c r="H32" s="11" t="s">
        <v>766</v>
      </c>
      <c r="I32" s="11" t="s">
        <v>766</v>
      </c>
      <c r="J32" s="11" t="s">
        <v>766</v>
      </c>
      <c r="K32" s="11" t="s">
        <v>766</v>
      </c>
      <c r="L32" s="11" t="s">
        <v>766</v>
      </c>
      <c r="M32" s="11" t="s">
        <v>766</v>
      </c>
      <c r="N32" s="11" t="s">
        <v>766</v>
      </c>
      <c r="O32" s="11" t="s">
        <v>766</v>
      </c>
      <c r="P32" s="11" t="s">
        <v>729</v>
      </c>
      <c r="Q32" s="11" t="s">
        <v>729</v>
      </c>
      <c r="R32" s="11" t="s">
        <v>729</v>
      </c>
      <c r="S32" s="11" t="s">
        <v>729</v>
      </c>
      <c r="T32" s="11" t="s">
        <v>729</v>
      </c>
      <c r="U32" s="11" t="s">
        <v>729</v>
      </c>
      <c r="V32" s="12" t="s">
        <v>729</v>
      </c>
    </row>
    <row r="33" ht="18" customHeight="1" spans="1:22">
      <c r="A33" s="19"/>
      <c r="B33" s="20" t="s">
        <v>699</v>
      </c>
      <c r="C33" s="20"/>
      <c r="D33" s="20"/>
      <c r="E33" s="6" t="s">
        <v>729</v>
      </c>
      <c r="F33" s="6" t="s">
        <v>729</v>
      </c>
      <c r="G33" s="6" t="s">
        <v>729</v>
      </c>
      <c r="H33" s="6" t="s">
        <v>729</v>
      </c>
      <c r="I33" s="6" t="s">
        <v>729</v>
      </c>
      <c r="J33" s="6" t="s">
        <v>729</v>
      </c>
      <c r="K33" s="6" t="s">
        <v>729</v>
      </c>
      <c r="L33" s="6" t="s">
        <v>729</v>
      </c>
      <c r="M33" s="6" t="s">
        <v>729</v>
      </c>
      <c r="N33" s="6" t="s">
        <v>729</v>
      </c>
      <c r="O33" s="6" t="s">
        <v>729</v>
      </c>
      <c r="P33" s="6" t="s">
        <v>729</v>
      </c>
      <c r="Q33" s="6" t="s">
        <v>729</v>
      </c>
      <c r="R33" s="6" t="s">
        <v>729</v>
      </c>
      <c r="S33" s="6" t="s">
        <v>729</v>
      </c>
      <c r="T33" s="6" t="s">
        <v>729</v>
      </c>
      <c r="U33" s="6" t="s">
        <v>729</v>
      </c>
      <c r="V33" s="8" t="s">
        <v>729</v>
      </c>
    </row>
    <row r="34" ht="18" customHeight="1" spans="1:22">
      <c r="A34" s="19"/>
      <c r="B34" s="21" t="s">
        <v>700</v>
      </c>
      <c r="C34" s="21"/>
      <c r="D34" s="21"/>
      <c r="E34" s="22" t="s">
        <v>729</v>
      </c>
      <c r="F34" s="22" t="s">
        <v>729</v>
      </c>
      <c r="G34" s="22" t="s">
        <v>729</v>
      </c>
      <c r="H34" s="22" t="s">
        <v>729</v>
      </c>
      <c r="I34" s="22" t="s">
        <v>729</v>
      </c>
      <c r="J34" s="22" t="s">
        <v>729</v>
      </c>
      <c r="K34" s="22" t="s">
        <v>729</v>
      </c>
      <c r="L34" s="22" t="s">
        <v>729</v>
      </c>
      <c r="M34" s="22" t="s">
        <v>729</v>
      </c>
      <c r="N34" s="22" t="s">
        <v>729</v>
      </c>
      <c r="O34" s="22" t="s">
        <v>729</v>
      </c>
      <c r="P34" s="22" t="s">
        <v>729</v>
      </c>
      <c r="Q34" s="22" t="s">
        <v>729</v>
      </c>
      <c r="R34" s="22" t="s">
        <v>729</v>
      </c>
      <c r="S34" s="22" t="s">
        <v>729</v>
      </c>
      <c r="T34" s="22" t="s">
        <v>729</v>
      </c>
      <c r="U34" s="22" t="s">
        <v>729</v>
      </c>
      <c r="V34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31:D31"/>
    <mergeCell ref="B32:D32"/>
    <mergeCell ref="B33:D33"/>
    <mergeCell ref="B34:D34"/>
    <mergeCell ref="A7:A17"/>
    <mergeCell ref="A18:A30"/>
    <mergeCell ref="A31:A34"/>
  </mergeCells>
  <dataValidations count="3">
    <dataValidation type="list" allowBlank="1" sqref="F30:V30 F10:V17 F19:V28 F8:V9">
      <formula1>"O,-"</formula1>
    </dataValidation>
    <dataValidation type="list" allowBlank="1" sqref="F31:V31">
      <formula1>"N,A,B"</formula1>
    </dataValidation>
    <dataValidation type="list" allowBlank="1" sqref="F32:V32">
      <formula1>"P,F"</formula1>
    </dataValidation>
  </dataValidations>
  <pageMargins left="0.7" right="0.7" top="0.75" bottom="0.75" header="0.3" footer="0.3"/>
  <pageSetup paperSize="1" orientation="portrait"/>
  <headerFooter/>
</worksheet>
</file>

<file path=xl/worksheets/sheet1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8"/>
  <sheetViews>
    <sheetView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570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571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1556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3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2</v>
      </c>
      <c r="M5" s="11">
        <v>1</v>
      </c>
      <c r="N5" s="11">
        <v>0</v>
      </c>
      <c r="O5" s="12">
        <v>3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687</v>
      </c>
      <c r="H6" s="14" t="s">
        <v>688</v>
      </c>
      <c r="I6" s="14" t="s">
        <v>729</v>
      </c>
      <c r="J6" s="14" t="s">
        <v>729</v>
      </c>
      <c r="K6" s="14" t="s">
        <v>729</v>
      </c>
      <c r="L6" s="14" t="s">
        <v>729</v>
      </c>
      <c r="M6" s="14" t="s">
        <v>729</v>
      </c>
      <c r="N6" s="14" t="s">
        <v>729</v>
      </c>
      <c r="O6" s="14" t="s">
        <v>729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15.5" customHeight="1" spans="1:22">
      <c r="A7" s="16" t="s">
        <v>690</v>
      </c>
      <c r="B7" s="17" t="s">
        <v>1557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28" customHeight="1" spans="1:22">
      <c r="A8" s="16"/>
      <c r="B8" s="6" t="s">
        <v>729</v>
      </c>
      <c r="C8" s="6" t="s">
        <v>729</v>
      </c>
      <c r="D8" s="18" t="s">
        <v>1558</v>
      </c>
      <c r="E8" s="6" t="s">
        <v>729</v>
      </c>
      <c r="F8" s="11" t="s">
        <v>752</v>
      </c>
      <c r="G8" s="11" t="s">
        <v>756</v>
      </c>
      <c r="H8" s="11" t="s">
        <v>752</v>
      </c>
      <c r="I8" s="11" t="s">
        <v>729</v>
      </c>
      <c r="J8" s="11" t="s">
        <v>729</v>
      </c>
      <c r="K8" s="11" t="s">
        <v>729</v>
      </c>
      <c r="L8" s="11" t="s">
        <v>729</v>
      </c>
      <c r="M8" s="11" t="s">
        <v>729</v>
      </c>
      <c r="N8" s="11" t="s">
        <v>729</v>
      </c>
      <c r="O8" s="11" t="s">
        <v>729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28" customHeight="1" spans="1:22">
      <c r="A9" s="16"/>
      <c r="B9" s="6" t="s">
        <v>729</v>
      </c>
      <c r="C9" s="6" t="s">
        <v>729</v>
      </c>
      <c r="D9" s="18" t="s">
        <v>1559</v>
      </c>
      <c r="E9" s="6" t="s">
        <v>729</v>
      </c>
      <c r="F9" s="11" t="s">
        <v>756</v>
      </c>
      <c r="G9" s="11" t="s">
        <v>752</v>
      </c>
      <c r="H9" s="11" t="s">
        <v>756</v>
      </c>
      <c r="I9" s="11" t="s">
        <v>729</v>
      </c>
      <c r="J9" s="11" t="s">
        <v>729</v>
      </c>
      <c r="K9" s="11" t="s">
        <v>729</v>
      </c>
      <c r="L9" s="11" t="s">
        <v>729</v>
      </c>
      <c r="M9" s="11" t="s">
        <v>729</v>
      </c>
      <c r="N9" s="11" t="s">
        <v>729</v>
      </c>
      <c r="O9" s="11" t="s">
        <v>729</v>
      </c>
      <c r="P9" s="11" t="s">
        <v>729</v>
      </c>
      <c r="Q9" s="11" t="s">
        <v>729</v>
      </c>
      <c r="R9" s="11" t="s">
        <v>729</v>
      </c>
      <c r="S9" s="11" t="s">
        <v>729</v>
      </c>
      <c r="T9" s="11" t="s">
        <v>729</v>
      </c>
      <c r="U9" s="11" t="s">
        <v>729</v>
      </c>
      <c r="V9" s="12" t="s">
        <v>729</v>
      </c>
    </row>
    <row r="10" ht="40.5" customHeight="1" spans="1:22">
      <c r="A10" s="16"/>
      <c r="B10" s="6" t="s">
        <v>729</v>
      </c>
      <c r="C10" s="6" t="s">
        <v>729</v>
      </c>
      <c r="D10" s="18" t="s">
        <v>1560</v>
      </c>
      <c r="E10" s="6" t="s">
        <v>729</v>
      </c>
      <c r="F10" s="11" t="s">
        <v>756</v>
      </c>
      <c r="G10" s="11" t="s">
        <v>756</v>
      </c>
      <c r="H10" s="11" t="s">
        <v>752</v>
      </c>
      <c r="I10" s="11" t="s">
        <v>729</v>
      </c>
      <c r="J10" s="11" t="s">
        <v>729</v>
      </c>
      <c r="K10" s="11" t="s">
        <v>729</v>
      </c>
      <c r="L10" s="11" t="s">
        <v>729</v>
      </c>
      <c r="M10" s="11" t="s">
        <v>729</v>
      </c>
      <c r="N10" s="11" t="s">
        <v>729</v>
      </c>
      <c r="O10" s="11" t="s">
        <v>729</v>
      </c>
      <c r="P10" s="11" t="s">
        <v>729</v>
      </c>
      <c r="Q10" s="11" t="s">
        <v>729</v>
      </c>
      <c r="R10" s="11" t="s">
        <v>729</v>
      </c>
      <c r="S10" s="11" t="s">
        <v>729</v>
      </c>
      <c r="T10" s="11" t="s">
        <v>729</v>
      </c>
      <c r="U10" s="11" t="s">
        <v>729</v>
      </c>
      <c r="V10" s="12" t="s">
        <v>729</v>
      </c>
    </row>
    <row r="11" ht="15.5" customHeight="1" spans="1:22">
      <c r="A11" s="16" t="s">
        <v>692</v>
      </c>
      <c r="B11" s="17" t="s">
        <v>693</v>
      </c>
      <c r="C11" s="6" t="s">
        <v>729</v>
      </c>
      <c r="D11" s="6" t="s">
        <v>729</v>
      </c>
      <c r="E11" s="6" t="s">
        <v>729</v>
      </c>
      <c r="F11" s="6" t="s">
        <v>729</v>
      </c>
      <c r="G11" s="6" t="s">
        <v>729</v>
      </c>
      <c r="H11" s="6" t="s">
        <v>729</v>
      </c>
      <c r="I11" s="6" t="s">
        <v>729</v>
      </c>
      <c r="J11" s="6" t="s">
        <v>729</v>
      </c>
      <c r="K11" s="6" t="s">
        <v>729</v>
      </c>
      <c r="L11" s="6" t="s">
        <v>729</v>
      </c>
      <c r="M11" s="6" t="s">
        <v>729</v>
      </c>
      <c r="N11" s="6" t="s">
        <v>729</v>
      </c>
      <c r="O11" s="6" t="s">
        <v>729</v>
      </c>
      <c r="P11" s="6" t="s">
        <v>729</v>
      </c>
      <c r="Q11" s="6" t="s">
        <v>729</v>
      </c>
      <c r="R11" s="6" t="s">
        <v>729</v>
      </c>
      <c r="S11" s="6" t="s">
        <v>729</v>
      </c>
      <c r="T11" s="6" t="s">
        <v>729</v>
      </c>
      <c r="U11" s="6" t="s">
        <v>729</v>
      </c>
      <c r="V11" s="8" t="s">
        <v>729</v>
      </c>
    </row>
    <row r="12" ht="65.5" customHeight="1" spans="1:22">
      <c r="A12" s="16"/>
      <c r="B12" s="6" t="s">
        <v>729</v>
      </c>
      <c r="C12" s="6" t="s">
        <v>729</v>
      </c>
      <c r="D12" s="18" t="s">
        <v>1561</v>
      </c>
      <c r="E12" s="6" t="s">
        <v>729</v>
      </c>
      <c r="F12" s="11" t="s">
        <v>752</v>
      </c>
      <c r="G12" s="11" t="s">
        <v>756</v>
      </c>
      <c r="H12" s="11" t="s">
        <v>752</v>
      </c>
      <c r="I12" s="11" t="s">
        <v>729</v>
      </c>
      <c r="J12" s="11" t="s">
        <v>729</v>
      </c>
      <c r="K12" s="11" t="s">
        <v>729</v>
      </c>
      <c r="L12" s="11" t="s">
        <v>729</v>
      </c>
      <c r="M12" s="11" t="s">
        <v>729</v>
      </c>
      <c r="N12" s="11" t="s">
        <v>729</v>
      </c>
      <c r="O12" s="11" t="s">
        <v>729</v>
      </c>
      <c r="P12" s="11" t="s">
        <v>729</v>
      </c>
      <c r="Q12" s="11" t="s">
        <v>729</v>
      </c>
      <c r="R12" s="11" t="s">
        <v>729</v>
      </c>
      <c r="S12" s="11" t="s">
        <v>729</v>
      </c>
      <c r="T12" s="11" t="s">
        <v>729</v>
      </c>
      <c r="U12" s="11" t="s">
        <v>729</v>
      </c>
      <c r="V12" s="12" t="s">
        <v>729</v>
      </c>
    </row>
    <row r="13" ht="40.5" customHeight="1" spans="1:22">
      <c r="A13" s="16"/>
      <c r="B13" s="6" t="s">
        <v>729</v>
      </c>
      <c r="C13" s="6" t="s">
        <v>729</v>
      </c>
      <c r="D13" s="18" t="s">
        <v>1562</v>
      </c>
      <c r="E13" s="6" t="s">
        <v>729</v>
      </c>
      <c r="F13" s="11" t="s">
        <v>756</v>
      </c>
      <c r="G13" s="11" t="s">
        <v>752</v>
      </c>
      <c r="H13" s="11" t="s">
        <v>756</v>
      </c>
      <c r="I13" s="11" t="s">
        <v>729</v>
      </c>
      <c r="J13" s="11" t="s">
        <v>729</v>
      </c>
      <c r="K13" s="11" t="s">
        <v>729</v>
      </c>
      <c r="L13" s="11" t="s">
        <v>729</v>
      </c>
      <c r="M13" s="11" t="s">
        <v>729</v>
      </c>
      <c r="N13" s="11" t="s">
        <v>729</v>
      </c>
      <c r="O13" s="11" t="s">
        <v>729</v>
      </c>
      <c r="P13" s="11" t="s">
        <v>729</v>
      </c>
      <c r="Q13" s="11" t="s">
        <v>729</v>
      </c>
      <c r="R13" s="11" t="s">
        <v>729</v>
      </c>
      <c r="S13" s="11" t="s">
        <v>729</v>
      </c>
      <c r="T13" s="11" t="s">
        <v>729</v>
      </c>
      <c r="U13" s="11" t="s">
        <v>729</v>
      </c>
      <c r="V13" s="12" t="s">
        <v>729</v>
      </c>
    </row>
    <row r="14" ht="78" customHeight="1" spans="1:22">
      <c r="A14" s="16"/>
      <c r="B14" s="6" t="s">
        <v>729</v>
      </c>
      <c r="C14" s="6" t="s">
        <v>729</v>
      </c>
      <c r="D14" s="18" t="s">
        <v>1563</v>
      </c>
      <c r="E14" s="6" t="s">
        <v>729</v>
      </c>
      <c r="F14" s="11" t="s">
        <v>756</v>
      </c>
      <c r="G14" s="11" t="s">
        <v>756</v>
      </c>
      <c r="H14" s="11" t="s">
        <v>752</v>
      </c>
      <c r="I14" s="11" t="s">
        <v>729</v>
      </c>
      <c r="J14" s="11" t="s">
        <v>729</v>
      </c>
      <c r="K14" s="11" t="s">
        <v>729</v>
      </c>
      <c r="L14" s="11" t="s">
        <v>729</v>
      </c>
      <c r="M14" s="11" t="s">
        <v>729</v>
      </c>
      <c r="N14" s="11" t="s">
        <v>729</v>
      </c>
      <c r="O14" s="11" t="s">
        <v>729</v>
      </c>
      <c r="P14" s="11" t="s">
        <v>729</v>
      </c>
      <c r="Q14" s="11" t="s">
        <v>729</v>
      </c>
      <c r="R14" s="11" t="s">
        <v>729</v>
      </c>
      <c r="S14" s="11" t="s">
        <v>729</v>
      </c>
      <c r="T14" s="11" t="s">
        <v>729</v>
      </c>
      <c r="U14" s="11" t="s">
        <v>729</v>
      </c>
      <c r="V14" s="12" t="s">
        <v>729</v>
      </c>
    </row>
    <row r="15" ht="18" customHeight="1" spans="1:22">
      <c r="A15" s="19" t="s">
        <v>696</v>
      </c>
      <c r="B15" s="20" t="s">
        <v>765</v>
      </c>
      <c r="C15" s="20"/>
      <c r="D15" s="20"/>
      <c r="E15" s="6" t="s">
        <v>729</v>
      </c>
      <c r="F15" s="11" t="s">
        <v>670</v>
      </c>
      <c r="G15" s="11" t="s">
        <v>63</v>
      </c>
      <c r="H15" s="11" t="s">
        <v>670</v>
      </c>
      <c r="I15" s="11" t="s">
        <v>729</v>
      </c>
      <c r="J15" s="11" t="s">
        <v>729</v>
      </c>
      <c r="K15" s="11" t="s">
        <v>729</v>
      </c>
      <c r="L15" s="11" t="s">
        <v>729</v>
      </c>
      <c r="M15" s="11" t="s">
        <v>729</v>
      </c>
      <c r="N15" s="11" t="s">
        <v>729</v>
      </c>
      <c r="O15" s="11" t="s">
        <v>729</v>
      </c>
      <c r="P15" s="11" t="s">
        <v>729</v>
      </c>
      <c r="Q15" s="11" t="s">
        <v>729</v>
      </c>
      <c r="R15" s="11" t="s">
        <v>729</v>
      </c>
      <c r="S15" s="11" t="s">
        <v>729</v>
      </c>
      <c r="T15" s="11" t="s">
        <v>729</v>
      </c>
      <c r="U15" s="11" t="s">
        <v>729</v>
      </c>
      <c r="V15" s="12" t="s">
        <v>729</v>
      </c>
    </row>
    <row r="16" ht="18" customHeight="1" spans="1:22">
      <c r="A16" s="19"/>
      <c r="B16" s="20" t="s">
        <v>698</v>
      </c>
      <c r="C16" s="20"/>
      <c r="D16" s="20"/>
      <c r="E16" s="6" t="s">
        <v>729</v>
      </c>
      <c r="F16" s="11" t="s">
        <v>766</v>
      </c>
      <c r="G16" s="11" t="s">
        <v>766</v>
      </c>
      <c r="H16" s="11" t="s">
        <v>766</v>
      </c>
      <c r="I16" s="11" t="s">
        <v>729</v>
      </c>
      <c r="J16" s="11" t="s">
        <v>729</v>
      </c>
      <c r="K16" s="11" t="s">
        <v>729</v>
      </c>
      <c r="L16" s="11" t="s">
        <v>729</v>
      </c>
      <c r="M16" s="11" t="s">
        <v>729</v>
      </c>
      <c r="N16" s="11" t="s">
        <v>729</v>
      </c>
      <c r="O16" s="11" t="s">
        <v>729</v>
      </c>
      <c r="P16" s="11" t="s">
        <v>729</v>
      </c>
      <c r="Q16" s="11" t="s">
        <v>729</v>
      </c>
      <c r="R16" s="11" t="s">
        <v>729</v>
      </c>
      <c r="S16" s="11" t="s">
        <v>729</v>
      </c>
      <c r="T16" s="11" t="s">
        <v>729</v>
      </c>
      <c r="U16" s="11" t="s">
        <v>729</v>
      </c>
      <c r="V16" s="12" t="s">
        <v>729</v>
      </c>
    </row>
    <row r="17" ht="18" customHeight="1" spans="1:22">
      <c r="A17" s="19"/>
      <c r="B17" s="20" t="s">
        <v>699</v>
      </c>
      <c r="C17" s="20"/>
      <c r="D17" s="20"/>
      <c r="E17" s="6" t="s">
        <v>729</v>
      </c>
      <c r="F17" s="6" t="s">
        <v>729</v>
      </c>
      <c r="G17" s="6" t="s">
        <v>729</v>
      </c>
      <c r="H17" s="6" t="s">
        <v>729</v>
      </c>
      <c r="I17" s="6" t="s">
        <v>729</v>
      </c>
      <c r="J17" s="6" t="s">
        <v>729</v>
      </c>
      <c r="K17" s="6" t="s">
        <v>729</v>
      </c>
      <c r="L17" s="6" t="s">
        <v>729</v>
      </c>
      <c r="M17" s="6" t="s">
        <v>729</v>
      </c>
      <c r="N17" s="6" t="s">
        <v>729</v>
      </c>
      <c r="O17" s="6" t="s">
        <v>729</v>
      </c>
      <c r="P17" s="6" t="s">
        <v>729</v>
      </c>
      <c r="Q17" s="6" t="s">
        <v>729</v>
      </c>
      <c r="R17" s="6" t="s">
        <v>729</v>
      </c>
      <c r="S17" s="6" t="s">
        <v>729</v>
      </c>
      <c r="T17" s="6" t="s">
        <v>729</v>
      </c>
      <c r="U17" s="6" t="s">
        <v>729</v>
      </c>
      <c r="V17" s="8" t="s">
        <v>729</v>
      </c>
    </row>
    <row r="18" ht="18" customHeight="1" spans="1:22">
      <c r="A18" s="19"/>
      <c r="B18" s="21" t="s">
        <v>700</v>
      </c>
      <c r="C18" s="21"/>
      <c r="D18" s="21"/>
      <c r="E18" s="22" t="s">
        <v>729</v>
      </c>
      <c r="F18" s="22" t="s">
        <v>729</v>
      </c>
      <c r="G18" s="22" t="s">
        <v>729</v>
      </c>
      <c r="H18" s="22" t="s">
        <v>729</v>
      </c>
      <c r="I18" s="22" t="s">
        <v>729</v>
      </c>
      <c r="J18" s="22" t="s">
        <v>729</v>
      </c>
      <c r="K18" s="22" t="s">
        <v>729</v>
      </c>
      <c r="L18" s="22" t="s">
        <v>729</v>
      </c>
      <c r="M18" s="22" t="s">
        <v>729</v>
      </c>
      <c r="N18" s="22" t="s">
        <v>729</v>
      </c>
      <c r="O18" s="22" t="s">
        <v>729</v>
      </c>
      <c r="P18" s="22" t="s">
        <v>729</v>
      </c>
      <c r="Q18" s="22" t="s">
        <v>729</v>
      </c>
      <c r="R18" s="22" t="s">
        <v>729</v>
      </c>
      <c r="S18" s="22" t="s">
        <v>729</v>
      </c>
      <c r="T18" s="22" t="s">
        <v>729</v>
      </c>
      <c r="U18" s="22" t="s">
        <v>729</v>
      </c>
      <c r="V18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5:D15"/>
    <mergeCell ref="B16:D16"/>
    <mergeCell ref="B17:D17"/>
    <mergeCell ref="B18:D18"/>
    <mergeCell ref="A7:A10"/>
    <mergeCell ref="A11:A14"/>
    <mergeCell ref="A15:A18"/>
  </mergeCells>
  <dataValidations count="3">
    <dataValidation type="list" allowBlank="1" sqref="F10:V10 F12:V14 F8:V9">
      <formula1>"O,-"</formula1>
    </dataValidation>
    <dataValidation type="list" allowBlank="1" sqref="F15:V15">
      <formula1>"N,A,B"</formula1>
    </dataValidation>
    <dataValidation type="list" allowBlank="1" sqref="F16:V16">
      <formula1>"P,F"</formula1>
    </dataValidation>
  </dataValidations>
  <pageMargins left="0.7" right="0.7" top="0.75" bottom="0.75" header="0.3" footer="0.3"/>
  <pageSetup paperSize="1" orientation="portrait"/>
  <headerFooter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0"/>
  <sheetViews>
    <sheetView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570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576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1564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4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1</v>
      </c>
      <c r="M5" s="11">
        <v>2</v>
      </c>
      <c r="N5" s="11">
        <v>1</v>
      </c>
      <c r="O5" s="12">
        <v>4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687</v>
      </c>
      <c r="H6" s="14" t="s">
        <v>688</v>
      </c>
      <c r="I6" s="14" t="s">
        <v>689</v>
      </c>
      <c r="J6" s="14" t="s">
        <v>729</v>
      </c>
      <c r="K6" s="14" t="s">
        <v>729</v>
      </c>
      <c r="L6" s="14" t="s">
        <v>729</v>
      </c>
      <c r="M6" s="14" t="s">
        <v>729</v>
      </c>
      <c r="N6" s="14" t="s">
        <v>729</v>
      </c>
      <c r="O6" s="14" t="s">
        <v>729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15.5" customHeight="1" spans="1:22">
      <c r="A7" s="16" t="s">
        <v>690</v>
      </c>
      <c r="B7" s="17" t="s">
        <v>1557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65.5" customHeight="1" spans="1:22">
      <c r="A8" s="16"/>
      <c r="B8" s="6" t="s">
        <v>729</v>
      </c>
      <c r="C8" s="6" t="s">
        <v>729</v>
      </c>
      <c r="D8" s="18" t="s">
        <v>1565</v>
      </c>
      <c r="E8" s="6" t="s">
        <v>729</v>
      </c>
      <c r="F8" s="11" t="s">
        <v>752</v>
      </c>
      <c r="G8" s="11" t="s">
        <v>756</v>
      </c>
      <c r="H8" s="11" t="s">
        <v>756</v>
      </c>
      <c r="I8" s="11" t="s">
        <v>756</v>
      </c>
      <c r="J8" s="11" t="s">
        <v>729</v>
      </c>
      <c r="K8" s="11" t="s">
        <v>729</v>
      </c>
      <c r="L8" s="11" t="s">
        <v>729</v>
      </c>
      <c r="M8" s="11" t="s">
        <v>729</v>
      </c>
      <c r="N8" s="11" t="s">
        <v>729</v>
      </c>
      <c r="O8" s="11" t="s">
        <v>729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53" customHeight="1" spans="1:22">
      <c r="A9" s="16"/>
      <c r="B9" s="6" t="s">
        <v>729</v>
      </c>
      <c r="C9" s="6" t="s">
        <v>729</v>
      </c>
      <c r="D9" s="18" t="s">
        <v>1566</v>
      </c>
      <c r="E9" s="6" t="s">
        <v>729</v>
      </c>
      <c r="F9" s="11" t="s">
        <v>756</v>
      </c>
      <c r="G9" s="11" t="s">
        <v>752</v>
      </c>
      <c r="H9" s="11" t="s">
        <v>756</v>
      </c>
      <c r="I9" s="11" t="s">
        <v>756</v>
      </c>
      <c r="J9" s="11" t="s">
        <v>729</v>
      </c>
      <c r="K9" s="11" t="s">
        <v>729</v>
      </c>
      <c r="L9" s="11" t="s">
        <v>729</v>
      </c>
      <c r="M9" s="11" t="s">
        <v>729</v>
      </c>
      <c r="N9" s="11" t="s">
        <v>729</v>
      </c>
      <c r="O9" s="11" t="s">
        <v>729</v>
      </c>
      <c r="P9" s="11" t="s">
        <v>729</v>
      </c>
      <c r="Q9" s="11" t="s">
        <v>729</v>
      </c>
      <c r="R9" s="11" t="s">
        <v>729</v>
      </c>
      <c r="S9" s="11" t="s">
        <v>729</v>
      </c>
      <c r="T9" s="11" t="s">
        <v>729</v>
      </c>
      <c r="U9" s="11" t="s">
        <v>729</v>
      </c>
      <c r="V9" s="12" t="s">
        <v>729</v>
      </c>
    </row>
    <row r="10" ht="53" customHeight="1" spans="1:22">
      <c r="A10" s="16"/>
      <c r="B10" s="6" t="s">
        <v>729</v>
      </c>
      <c r="C10" s="6" t="s">
        <v>729</v>
      </c>
      <c r="D10" s="18" t="s">
        <v>1567</v>
      </c>
      <c r="E10" s="6" t="s">
        <v>729</v>
      </c>
      <c r="F10" s="11" t="s">
        <v>756</v>
      </c>
      <c r="G10" s="11" t="s">
        <v>756</v>
      </c>
      <c r="H10" s="11" t="s">
        <v>752</v>
      </c>
      <c r="I10" s="11" t="s">
        <v>756</v>
      </c>
      <c r="J10" s="11" t="s">
        <v>729</v>
      </c>
      <c r="K10" s="11" t="s">
        <v>729</v>
      </c>
      <c r="L10" s="11" t="s">
        <v>729</v>
      </c>
      <c r="M10" s="11" t="s">
        <v>729</v>
      </c>
      <c r="N10" s="11" t="s">
        <v>729</v>
      </c>
      <c r="O10" s="11" t="s">
        <v>729</v>
      </c>
      <c r="P10" s="11" t="s">
        <v>729</v>
      </c>
      <c r="Q10" s="11" t="s">
        <v>729</v>
      </c>
      <c r="R10" s="11" t="s">
        <v>729</v>
      </c>
      <c r="S10" s="11" t="s">
        <v>729</v>
      </c>
      <c r="T10" s="11" t="s">
        <v>729</v>
      </c>
      <c r="U10" s="11" t="s">
        <v>729</v>
      </c>
      <c r="V10" s="12" t="s">
        <v>729</v>
      </c>
    </row>
    <row r="11" ht="53" customHeight="1" spans="1:22">
      <c r="A11" s="16"/>
      <c r="B11" s="6" t="s">
        <v>729</v>
      </c>
      <c r="C11" s="6" t="s">
        <v>729</v>
      </c>
      <c r="D11" s="18" t="s">
        <v>1568</v>
      </c>
      <c r="E11" s="6" t="s">
        <v>729</v>
      </c>
      <c r="F11" s="11" t="s">
        <v>756</v>
      </c>
      <c r="G11" s="11" t="s">
        <v>756</v>
      </c>
      <c r="H11" s="11" t="s">
        <v>756</v>
      </c>
      <c r="I11" s="11" t="s">
        <v>752</v>
      </c>
      <c r="J11" s="11" t="s">
        <v>729</v>
      </c>
      <c r="K11" s="11" t="s">
        <v>729</v>
      </c>
      <c r="L11" s="11" t="s">
        <v>729</v>
      </c>
      <c r="M11" s="11" t="s">
        <v>729</v>
      </c>
      <c r="N11" s="11" t="s">
        <v>729</v>
      </c>
      <c r="O11" s="11" t="s">
        <v>729</v>
      </c>
      <c r="P11" s="11" t="s">
        <v>729</v>
      </c>
      <c r="Q11" s="11" t="s">
        <v>729</v>
      </c>
      <c r="R11" s="11" t="s">
        <v>729</v>
      </c>
      <c r="S11" s="11" t="s">
        <v>729</v>
      </c>
      <c r="T11" s="11" t="s">
        <v>729</v>
      </c>
      <c r="U11" s="11" t="s">
        <v>729</v>
      </c>
      <c r="V11" s="12" t="s">
        <v>729</v>
      </c>
    </row>
    <row r="12" ht="15.5" customHeight="1" spans="1:22">
      <c r="A12" s="16" t="s">
        <v>692</v>
      </c>
      <c r="B12" s="17" t="s">
        <v>693</v>
      </c>
      <c r="C12" s="6" t="s">
        <v>729</v>
      </c>
      <c r="D12" s="6" t="s">
        <v>729</v>
      </c>
      <c r="E12" s="6" t="s">
        <v>729</v>
      </c>
      <c r="F12" s="6" t="s">
        <v>729</v>
      </c>
      <c r="G12" s="6" t="s">
        <v>729</v>
      </c>
      <c r="H12" s="6" t="s">
        <v>729</v>
      </c>
      <c r="I12" s="6" t="s">
        <v>729</v>
      </c>
      <c r="J12" s="6" t="s">
        <v>729</v>
      </c>
      <c r="K12" s="6" t="s">
        <v>729</v>
      </c>
      <c r="L12" s="6" t="s">
        <v>729</v>
      </c>
      <c r="M12" s="6" t="s">
        <v>729</v>
      </c>
      <c r="N12" s="6" t="s">
        <v>729</v>
      </c>
      <c r="O12" s="6" t="s">
        <v>729</v>
      </c>
      <c r="P12" s="6" t="s">
        <v>729</v>
      </c>
      <c r="Q12" s="6" t="s">
        <v>729</v>
      </c>
      <c r="R12" s="6" t="s">
        <v>729</v>
      </c>
      <c r="S12" s="6" t="s">
        <v>729</v>
      </c>
      <c r="T12" s="6" t="s">
        <v>729</v>
      </c>
      <c r="U12" s="6" t="s">
        <v>729</v>
      </c>
      <c r="V12" s="8" t="s">
        <v>729</v>
      </c>
    </row>
    <row r="13" ht="40.5" customHeight="1" spans="1:22">
      <c r="A13" s="16"/>
      <c r="B13" s="6" t="s">
        <v>729</v>
      </c>
      <c r="C13" s="6" t="s">
        <v>729</v>
      </c>
      <c r="D13" s="18" t="s">
        <v>1569</v>
      </c>
      <c r="E13" s="6" t="s">
        <v>729</v>
      </c>
      <c r="F13" s="11" t="s">
        <v>752</v>
      </c>
      <c r="G13" s="11" t="s">
        <v>756</v>
      </c>
      <c r="H13" s="11" t="s">
        <v>756</v>
      </c>
      <c r="I13" s="11" t="s">
        <v>752</v>
      </c>
      <c r="J13" s="11" t="s">
        <v>729</v>
      </c>
      <c r="K13" s="11" t="s">
        <v>729</v>
      </c>
      <c r="L13" s="11" t="s">
        <v>729</v>
      </c>
      <c r="M13" s="11" t="s">
        <v>729</v>
      </c>
      <c r="N13" s="11" t="s">
        <v>729</v>
      </c>
      <c r="O13" s="11" t="s">
        <v>729</v>
      </c>
      <c r="P13" s="11" t="s">
        <v>729</v>
      </c>
      <c r="Q13" s="11" t="s">
        <v>729</v>
      </c>
      <c r="R13" s="11" t="s">
        <v>729</v>
      </c>
      <c r="S13" s="11" t="s">
        <v>729</v>
      </c>
      <c r="T13" s="11" t="s">
        <v>729</v>
      </c>
      <c r="U13" s="11" t="s">
        <v>729</v>
      </c>
      <c r="V13" s="12" t="s">
        <v>729</v>
      </c>
    </row>
    <row r="14" ht="90.5" customHeight="1" spans="1:22">
      <c r="A14" s="16"/>
      <c r="B14" s="6" t="s">
        <v>729</v>
      </c>
      <c r="C14" s="6" t="s">
        <v>729</v>
      </c>
      <c r="D14" s="18" t="s">
        <v>1570</v>
      </c>
      <c r="E14" s="6" t="s">
        <v>729</v>
      </c>
      <c r="F14" s="11" t="s">
        <v>756</v>
      </c>
      <c r="G14" s="11" t="s">
        <v>752</v>
      </c>
      <c r="H14" s="11" t="s">
        <v>752</v>
      </c>
      <c r="I14" s="11" t="s">
        <v>756</v>
      </c>
      <c r="J14" s="11" t="s">
        <v>729</v>
      </c>
      <c r="K14" s="11" t="s">
        <v>729</v>
      </c>
      <c r="L14" s="11" t="s">
        <v>729</v>
      </c>
      <c r="M14" s="11" t="s">
        <v>729</v>
      </c>
      <c r="N14" s="11" t="s">
        <v>729</v>
      </c>
      <c r="O14" s="11" t="s">
        <v>729</v>
      </c>
      <c r="P14" s="11" t="s">
        <v>729</v>
      </c>
      <c r="Q14" s="11" t="s">
        <v>729</v>
      </c>
      <c r="R14" s="11" t="s">
        <v>729</v>
      </c>
      <c r="S14" s="11" t="s">
        <v>729</v>
      </c>
      <c r="T14" s="11" t="s">
        <v>729</v>
      </c>
      <c r="U14" s="11" t="s">
        <v>729</v>
      </c>
      <c r="V14" s="12" t="s">
        <v>729</v>
      </c>
    </row>
    <row r="15" ht="15.5" customHeight="1" spans="1:22">
      <c r="A15" s="16"/>
      <c r="B15" s="17" t="s">
        <v>694</v>
      </c>
      <c r="C15" s="6" t="s">
        <v>729</v>
      </c>
      <c r="D15" s="6" t="s">
        <v>729</v>
      </c>
      <c r="E15" s="6" t="s">
        <v>729</v>
      </c>
      <c r="F15" s="6" t="s">
        <v>729</v>
      </c>
      <c r="G15" s="6" t="s">
        <v>729</v>
      </c>
      <c r="H15" s="6" t="s">
        <v>729</v>
      </c>
      <c r="I15" s="6" t="s">
        <v>729</v>
      </c>
      <c r="J15" s="6" t="s">
        <v>729</v>
      </c>
      <c r="K15" s="6" t="s">
        <v>729</v>
      </c>
      <c r="L15" s="6" t="s">
        <v>729</v>
      </c>
      <c r="M15" s="6" t="s">
        <v>729</v>
      </c>
      <c r="N15" s="6" t="s">
        <v>729</v>
      </c>
      <c r="O15" s="6" t="s">
        <v>729</v>
      </c>
      <c r="P15" s="6" t="s">
        <v>729</v>
      </c>
      <c r="Q15" s="6" t="s">
        <v>729</v>
      </c>
      <c r="R15" s="6" t="s">
        <v>729</v>
      </c>
      <c r="S15" s="6" t="s">
        <v>729</v>
      </c>
      <c r="T15" s="6" t="s">
        <v>729</v>
      </c>
      <c r="U15" s="6" t="s">
        <v>729</v>
      </c>
      <c r="V15" s="8" t="s">
        <v>729</v>
      </c>
    </row>
    <row r="16" ht="103" customHeight="1" spans="1:22">
      <c r="A16" s="16"/>
      <c r="B16" s="6" t="s">
        <v>729</v>
      </c>
      <c r="C16" s="6" t="s">
        <v>729</v>
      </c>
      <c r="D16" s="18" t="s">
        <v>1571</v>
      </c>
      <c r="E16" s="6" t="s">
        <v>729</v>
      </c>
      <c r="F16" s="11" t="s">
        <v>756</v>
      </c>
      <c r="G16" s="11" t="s">
        <v>756</v>
      </c>
      <c r="H16" s="11" t="s">
        <v>756</v>
      </c>
      <c r="I16" s="11" t="s">
        <v>752</v>
      </c>
      <c r="J16" s="11" t="s">
        <v>729</v>
      </c>
      <c r="K16" s="11" t="s">
        <v>729</v>
      </c>
      <c r="L16" s="11" t="s">
        <v>729</v>
      </c>
      <c r="M16" s="11" t="s">
        <v>729</v>
      </c>
      <c r="N16" s="11" t="s">
        <v>729</v>
      </c>
      <c r="O16" s="11" t="s">
        <v>729</v>
      </c>
      <c r="P16" s="11" t="s">
        <v>729</v>
      </c>
      <c r="Q16" s="11" t="s">
        <v>729</v>
      </c>
      <c r="R16" s="11" t="s">
        <v>729</v>
      </c>
      <c r="S16" s="11" t="s">
        <v>729</v>
      </c>
      <c r="T16" s="11" t="s">
        <v>729</v>
      </c>
      <c r="U16" s="11" t="s">
        <v>729</v>
      </c>
      <c r="V16" s="12" t="s">
        <v>729</v>
      </c>
    </row>
    <row r="17" ht="18" customHeight="1" spans="1:22">
      <c r="A17" s="19" t="s">
        <v>696</v>
      </c>
      <c r="B17" s="20" t="s">
        <v>765</v>
      </c>
      <c r="C17" s="20"/>
      <c r="D17" s="20"/>
      <c r="E17" s="6" t="s">
        <v>729</v>
      </c>
      <c r="F17" s="11" t="s">
        <v>670</v>
      </c>
      <c r="G17" s="11" t="s">
        <v>63</v>
      </c>
      <c r="H17" s="11" t="s">
        <v>63</v>
      </c>
      <c r="I17" s="11" t="s">
        <v>671</v>
      </c>
      <c r="J17" s="11" t="s">
        <v>729</v>
      </c>
      <c r="K17" s="11" t="s">
        <v>729</v>
      </c>
      <c r="L17" s="11" t="s">
        <v>729</v>
      </c>
      <c r="M17" s="11" t="s">
        <v>729</v>
      </c>
      <c r="N17" s="11" t="s">
        <v>729</v>
      </c>
      <c r="O17" s="11" t="s">
        <v>729</v>
      </c>
      <c r="P17" s="11" t="s">
        <v>729</v>
      </c>
      <c r="Q17" s="11" t="s">
        <v>729</v>
      </c>
      <c r="R17" s="11" t="s">
        <v>729</v>
      </c>
      <c r="S17" s="11" t="s">
        <v>729</v>
      </c>
      <c r="T17" s="11" t="s">
        <v>729</v>
      </c>
      <c r="U17" s="11" t="s">
        <v>729</v>
      </c>
      <c r="V17" s="12" t="s">
        <v>729</v>
      </c>
    </row>
    <row r="18" ht="18" customHeight="1" spans="1:22">
      <c r="A18" s="19"/>
      <c r="B18" s="20" t="s">
        <v>698</v>
      </c>
      <c r="C18" s="20"/>
      <c r="D18" s="20"/>
      <c r="E18" s="6" t="s">
        <v>729</v>
      </c>
      <c r="F18" s="11" t="s">
        <v>766</v>
      </c>
      <c r="G18" s="11" t="s">
        <v>766</v>
      </c>
      <c r="H18" s="11" t="s">
        <v>766</v>
      </c>
      <c r="I18" s="11" t="s">
        <v>766</v>
      </c>
      <c r="J18" s="11" t="s">
        <v>729</v>
      </c>
      <c r="K18" s="11" t="s">
        <v>729</v>
      </c>
      <c r="L18" s="11" t="s">
        <v>729</v>
      </c>
      <c r="M18" s="11" t="s">
        <v>729</v>
      </c>
      <c r="N18" s="11" t="s">
        <v>729</v>
      </c>
      <c r="O18" s="11" t="s">
        <v>729</v>
      </c>
      <c r="P18" s="11" t="s">
        <v>729</v>
      </c>
      <c r="Q18" s="11" t="s">
        <v>729</v>
      </c>
      <c r="R18" s="11" t="s">
        <v>729</v>
      </c>
      <c r="S18" s="11" t="s">
        <v>729</v>
      </c>
      <c r="T18" s="11" t="s">
        <v>729</v>
      </c>
      <c r="U18" s="11" t="s">
        <v>729</v>
      </c>
      <c r="V18" s="12" t="s">
        <v>729</v>
      </c>
    </row>
    <row r="19" ht="18" customHeight="1" spans="1:22">
      <c r="A19" s="19"/>
      <c r="B19" s="20" t="s">
        <v>699</v>
      </c>
      <c r="C19" s="20"/>
      <c r="D19" s="20"/>
      <c r="E19" s="6" t="s">
        <v>729</v>
      </c>
      <c r="F19" s="6" t="s">
        <v>729</v>
      </c>
      <c r="G19" s="6" t="s">
        <v>729</v>
      </c>
      <c r="H19" s="6" t="s">
        <v>729</v>
      </c>
      <c r="I19" s="6" t="s">
        <v>729</v>
      </c>
      <c r="J19" s="6" t="s">
        <v>729</v>
      </c>
      <c r="K19" s="6" t="s">
        <v>729</v>
      </c>
      <c r="L19" s="6" t="s">
        <v>729</v>
      </c>
      <c r="M19" s="6" t="s">
        <v>729</v>
      </c>
      <c r="N19" s="6" t="s">
        <v>729</v>
      </c>
      <c r="O19" s="6" t="s">
        <v>729</v>
      </c>
      <c r="P19" s="6" t="s">
        <v>729</v>
      </c>
      <c r="Q19" s="6" t="s">
        <v>729</v>
      </c>
      <c r="R19" s="6" t="s">
        <v>729</v>
      </c>
      <c r="S19" s="6" t="s">
        <v>729</v>
      </c>
      <c r="T19" s="6" t="s">
        <v>729</v>
      </c>
      <c r="U19" s="6" t="s">
        <v>729</v>
      </c>
      <c r="V19" s="8" t="s">
        <v>729</v>
      </c>
    </row>
    <row r="20" ht="18" customHeight="1" spans="1:22">
      <c r="A20" s="19"/>
      <c r="B20" s="21" t="s">
        <v>700</v>
      </c>
      <c r="C20" s="21"/>
      <c r="D20" s="21"/>
      <c r="E20" s="22" t="s">
        <v>729</v>
      </c>
      <c r="F20" s="22" t="s">
        <v>729</v>
      </c>
      <c r="G20" s="22" t="s">
        <v>729</v>
      </c>
      <c r="H20" s="22" t="s">
        <v>729</v>
      </c>
      <c r="I20" s="22" t="s">
        <v>729</v>
      </c>
      <c r="J20" s="22" t="s">
        <v>729</v>
      </c>
      <c r="K20" s="22" t="s">
        <v>729</v>
      </c>
      <c r="L20" s="22" t="s">
        <v>729</v>
      </c>
      <c r="M20" s="22" t="s">
        <v>729</v>
      </c>
      <c r="N20" s="22" t="s">
        <v>729</v>
      </c>
      <c r="O20" s="22" t="s">
        <v>729</v>
      </c>
      <c r="P20" s="22" t="s">
        <v>729</v>
      </c>
      <c r="Q20" s="22" t="s">
        <v>729</v>
      </c>
      <c r="R20" s="22" t="s">
        <v>729</v>
      </c>
      <c r="S20" s="22" t="s">
        <v>729</v>
      </c>
      <c r="T20" s="22" t="s">
        <v>729</v>
      </c>
      <c r="U20" s="22" t="s">
        <v>729</v>
      </c>
      <c r="V20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7:D17"/>
    <mergeCell ref="B18:D18"/>
    <mergeCell ref="B19:D19"/>
    <mergeCell ref="B20:D20"/>
    <mergeCell ref="A7:A11"/>
    <mergeCell ref="A12:A16"/>
    <mergeCell ref="A17:A20"/>
  </mergeCells>
  <dataValidations count="3">
    <dataValidation type="list" allowBlank="1" sqref="F16:V16 F8:V9 F10:V11 F13:V14">
      <formula1>"O,-"</formula1>
    </dataValidation>
    <dataValidation type="list" allowBlank="1" sqref="F17:V17">
      <formula1>"N,A,B"</formula1>
    </dataValidation>
    <dataValidation type="list" allowBlank="1" sqref="F18:V18">
      <formula1>"P,F"</formula1>
    </dataValidation>
  </dataValidations>
  <pageMargins left="0.7" right="0.7" top="0.75" bottom="0.75" header="0.3" footer="0.3"/>
  <pageSetup paperSize="1" orientation="portrait"/>
  <headerFooter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2"/>
  <sheetViews>
    <sheetView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570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581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1572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4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2</v>
      </c>
      <c r="M5" s="11">
        <v>2</v>
      </c>
      <c r="N5" s="11">
        <v>0</v>
      </c>
      <c r="O5" s="12">
        <v>4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687</v>
      </c>
      <c r="H6" s="14" t="s">
        <v>688</v>
      </c>
      <c r="I6" s="14" t="s">
        <v>689</v>
      </c>
      <c r="J6" s="14" t="s">
        <v>729</v>
      </c>
      <c r="K6" s="14" t="s">
        <v>729</v>
      </c>
      <c r="L6" s="14" t="s">
        <v>729</v>
      </c>
      <c r="M6" s="14" t="s">
        <v>729</v>
      </c>
      <c r="N6" s="14" t="s">
        <v>729</v>
      </c>
      <c r="O6" s="14" t="s">
        <v>729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15.5" customHeight="1" spans="1:22">
      <c r="A7" s="16" t="s">
        <v>690</v>
      </c>
      <c r="B7" s="17" t="s">
        <v>1573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40.5" customHeight="1" spans="1:22">
      <c r="A8" s="16"/>
      <c r="B8" s="6" t="s">
        <v>729</v>
      </c>
      <c r="C8" s="6" t="s">
        <v>729</v>
      </c>
      <c r="D8" s="18" t="s">
        <v>1574</v>
      </c>
      <c r="E8" s="6" t="s">
        <v>729</v>
      </c>
      <c r="F8" s="11" t="s">
        <v>752</v>
      </c>
      <c r="G8" s="11" t="s">
        <v>756</v>
      </c>
      <c r="H8" s="11" t="s">
        <v>756</v>
      </c>
      <c r="I8" s="11" t="s">
        <v>756</v>
      </c>
      <c r="J8" s="11" t="s">
        <v>729</v>
      </c>
      <c r="K8" s="11" t="s">
        <v>729</v>
      </c>
      <c r="L8" s="11" t="s">
        <v>729</v>
      </c>
      <c r="M8" s="11" t="s">
        <v>729</v>
      </c>
      <c r="N8" s="11" t="s">
        <v>729</v>
      </c>
      <c r="O8" s="11" t="s">
        <v>729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40.5" customHeight="1" spans="1:22">
      <c r="A9" s="16"/>
      <c r="B9" s="6" t="s">
        <v>729</v>
      </c>
      <c r="C9" s="6" t="s">
        <v>729</v>
      </c>
      <c r="D9" s="18" t="s">
        <v>1575</v>
      </c>
      <c r="E9" s="6" t="s">
        <v>729</v>
      </c>
      <c r="F9" s="11" t="s">
        <v>756</v>
      </c>
      <c r="G9" s="11" t="s">
        <v>752</v>
      </c>
      <c r="H9" s="11" t="s">
        <v>756</v>
      </c>
      <c r="I9" s="11" t="s">
        <v>756</v>
      </c>
      <c r="J9" s="11" t="s">
        <v>729</v>
      </c>
      <c r="K9" s="11" t="s">
        <v>729</v>
      </c>
      <c r="L9" s="11" t="s">
        <v>729</v>
      </c>
      <c r="M9" s="11" t="s">
        <v>729</v>
      </c>
      <c r="N9" s="11" t="s">
        <v>729</v>
      </c>
      <c r="O9" s="11" t="s">
        <v>729</v>
      </c>
      <c r="P9" s="11" t="s">
        <v>729</v>
      </c>
      <c r="Q9" s="11" t="s">
        <v>729</v>
      </c>
      <c r="R9" s="11" t="s">
        <v>729</v>
      </c>
      <c r="S9" s="11" t="s">
        <v>729</v>
      </c>
      <c r="T9" s="11" t="s">
        <v>729</v>
      </c>
      <c r="U9" s="11" t="s">
        <v>729</v>
      </c>
      <c r="V9" s="12" t="s">
        <v>729</v>
      </c>
    </row>
    <row r="10" ht="40.5" customHeight="1" spans="1:22">
      <c r="A10" s="16"/>
      <c r="B10" s="6" t="s">
        <v>729</v>
      </c>
      <c r="C10" s="6" t="s">
        <v>729</v>
      </c>
      <c r="D10" s="18" t="s">
        <v>1576</v>
      </c>
      <c r="E10" s="6" t="s">
        <v>729</v>
      </c>
      <c r="F10" s="11" t="s">
        <v>756</v>
      </c>
      <c r="G10" s="11" t="s">
        <v>756</v>
      </c>
      <c r="H10" s="11" t="s">
        <v>752</v>
      </c>
      <c r="I10" s="11" t="s">
        <v>756</v>
      </c>
      <c r="J10" s="11" t="s">
        <v>729</v>
      </c>
      <c r="K10" s="11" t="s">
        <v>729</v>
      </c>
      <c r="L10" s="11" t="s">
        <v>729</v>
      </c>
      <c r="M10" s="11" t="s">
        <v>729</v>
      </c>
      <c r="N10" s="11" t="s">
        <v>729</v>
      </c>
      <c r="O10" s="11" t="s">
        <v>729</v>
      </c>
      <c r="P10" s="11" t="s">
        <v>729</v>
      </c>
      <c r="Q10" s="11" t="s">
        <v>729</v>
      </c>
      <c r="R10" s="11" t="s">
        <v>729</v>
      </c>
      <c r="S10" s="11" t="s">
        <v>729</v>
      </c>
      <c r="T10" s="11" t="s">
        <v>729</v>
      </c>
      <c r="U10" s="11" t="s">
        <v>729</v>
      </c>
      <c r="V10" s="12" t="s">
        <v>729</v>
      </c>
    </row>
    <row r="11" ht="28" customHeight="1" spans="1:22">
      <c r="A11" s="16"/>
      <c r="B11" s="6" t="s">
        <v>729</v>
      </c>
      <c r="C11" s="6" t="s">
        <v>729</v>
      </c>
      <c r="D11" s="18" t="s">
        <v>1577</v>
      </c>
      <c r="E11" s="6" t="s">
        <v>729</v>
      </c>
      <c r="F11" s="11" t="s">
        <v>756</v>
      </c>
      <c r="G11" s="11" t="s">
        <v>756</v>
      </c>
      <c r="H11" s="11" t="s">
        <v>756</v>
      </c>
      <c r="I11" s="11" t="s">
        <v>752</v>
      </c>
      <c r="J11" s="11" t="s">
        <v>729</v>
      </c>
      <c r="K11" s="11" t="s">
        <v>729</v>
      </c>
      <c r="L11" s="11" t="s">
        <v>729</v>
      </c>
      <c r="M11" s="11" t="s">
        <v>729</v>
      </c>
      <c r="N11" s="11" t="s">
        <v>729</v>
      </c>
      <c r="O11" s="11" t="s">
        <v>729</v>
      </c>
      <c r="P11" s="11" t="s">
        <v>729</v>
      </c>
      <c r="Q11" s="11" t="s">
        <v>729</v>
      </c>
      <c r="R11" s="11" t="s">
        <v>729</v>
      </c>
      <c r="S11" s="11" t="s">
        <v>729</v>
      </c>
      <c r="T11" s="11" t="s">
        <v>729</v>
      </c>
      <c r="U11" s="11" t="s">
        <v>729</v>
      </c>
      <c r="V11" s="12" t="s">
        <v>729</v>
      </c>
    </row>
    <row r="12" ht="15.5" customHeight="1" spans="1:22">
      <c r="A12" s="16" t="s">
        <v>692</v>
      </c>
      <c r="B12" s="17" t="s">
        <v>693</v>
      </c>
      <c r="C12" s="6" t="s">
        <v>729</v>
      </c>
      <c r="D12" s="6" t="s">
        <v>729</v>
      </c>
      <c r="E12" s="6" t="s">
        <v>729</v>
      </c>
      <c r="F12" s="6" t="s">
        <v>729</v>
      </c>
      <c r="G12" s="6" t="s">
        <v>729</v>
      </c>
      <c r="H12" s="6" t="s">
        <v>729</v>
      </c>
      <c r="I12" s="6" t="s">
        <v>729</v>
      </c>
      <c r="J12" s="6" t="s">
        <v>729</v>
      </c>
      <c r="K12" s="6" t="s">
        <v>729</v>
      </c>
      <c r="L12" s="6" t="s">
        <v>729</v>
      </c>
      <c r="M12" s="6" t="s">
        <v>729</v>
      </c>
      <c r="N12" s="6" t="s">
        <v>729</v>
      </c>
      <c r="O12" s="6" t="s">
        <v>729</v>
      </c>
      <c r="P12" s="6" t="s">
        <v>729</v>
      </c>
      <c r="Q12" s="6" t="s">
        <v>729</v>
      </c>
      <c r="R12" s="6" t="s">
        <v>729</v>
      </c>
      <c r="S12" s="6" t="s">
        <v>729</v>
      </c>
      <c r="T12" s="6" t="s">
        <v>729</v>
      </c>
      <c r="U12" s="6" t="s">
        <v>729</v>
      </c>
      <c r="V12" s="8" t="s">
        <v>729</v>
      </c>
    </row>
    <row r="13" ht="53" customHeight="1" spans="1:22">
      <c r="A13" s="16"/>
      <c r="B13" s="6" t="s">
        <v>729</v>
      </c>
      <c r="C13" s="6" t="s">
        <v>729</v>
      </c>
      <c r="D13" s="18" t="s">
        <v>1578</v>
      </c>
      <c r="E13" s="6" t="s">
        <v>729</v>
      </c>
      <c r="F13" s="11" t="s">
        <v>752</v>
      </c>
      <c r="G13" s="11" t="s">
        <v>756</v>
      </c>
      <c r="H13" s="11" t="s">
        <v>756</v>
      </c>
      <c r="I13" s="11" t="s">
        <v>756</v>
      </c>
      <c r="J13" s="11" t="s">
        <v>729</v>
      </c>
      <c r="K13" s="11" t="s">
        <v>729</v>
      </c>
      <c r="L13" s="11" t="s">
        <v>729</v>
      </c>
      <c r="M13" s="11" t="s">
        <v>729</v>
      </c>
      <c r="N13" s="11" t="s">
        <v>729</v>
      </c>
      <c r="O13" s="11" t="s">
        <v>729</v>
      </c>
      <c r="P13" s="11" t="s">
        <v>729</v>
      </c>
      <c r="Q13" s="11" t="s">
        <v>729</v>
      </c>
      <c r="R13" s="11" t="s">
        <v>729</v>
      </c>
      <c r="S13" s="11" t="s">
        <v>729</v>
      </c>
      <c r="T13" s="11" t="s">
        <v>729</v>
      </c>
      <c r="U13" s="11" t="s">
        <v>729</v>
      </c>
      <c r="V13" s="12" t="s">
        <v>729</v>
      </c>
    </row>
    <row r="14" ht="90.5" customHeight="1" spans="1:22">
      <c r="A14" s="16"/>
      <c r="B14" s="6" t="s">
        <v>729</v>
      </c>
      <c r="C14" s="6" t="s">
        <v>729</v>
      </c>
      <c r="D14" s="18" t="s">
        <v>1579</v>
      </c>
      <c r="E14" s="6" t="s">
        <v>729</v>
      </c>
      <c r="F14" s="11" t="s">
        <v>756</v>
      </c>
      <c r="G14" s="11" t="s">
        <v>752</v>
      </c>
      <c r="H14" s="11" t="s">
        <v>756</v>
      </c>
      <c r="I14" s="11" t="s">
        <v>756</v>
      </c>
      <c r="J14" s="11" t="s">
        <v>729</v>
      </c>
      <c r="K14" s="11" t="s">
        <v>729</v>
      </c>
      <c r="L14" s="11" t="s">
        <v>729</v>
      </c>
      <c r="M14" s="11" t="s">
        <v>729</v>
      </c>
      <c r="N14" s="11" t="s">
        <v>729</v>
      </c>
      <c r="O14" s="11" t="s">
        <v>729</v>
      </c>
      <c r="P14" s="11" t="s">
        <v>729</v>
      </c>
      <c r="Q14" s="11" t="s">
        <v>729</v>
      </c>
      <c r="R14" s="11" t="s">
        <v>729</v>
      </c>
      <c r="S14" s="11" t="s">
        <v>729</v>
      </c>
      <c r="T14" s="11" t="s">
        <v>729</v>
      </c>
      <c r="U14" s="11" t="s">
        <v>729</v>
      </c>
      <c r="V14" s="12" t="s">
        <v>729</v>
      </c>
    </row>
    <row r="15" ht="53" customHeight="1" spans="1:22">
      <c r="A15" s="16"/>
      <c r="B15" s="6" t="s">
        <v>729</v>
      </c>
      <c r="C15" s="6" t="s">
        <v>729</v>
      </c>
      <c r="D15" s="18" t="s">
        <v>1580</v>
      </c>
      <c r="E15" s="6" t="s">
        <v>729</v>
      </c>
      <c r="F15" s="11" t="s">
        <v>756</v>
      </c>
      <c r="G15" s="11" t="s">
        <v>756</v>
      </c>
      <c r="H15" s="11" t="s">
        <v>752</v>
      </c>
      <c r="I15" s="11" t="s">
        <v>756</v>
      </c>
      <c r="J15" s="11" t="s">
        <v>729</v>
      </c>
      <c r="K15" s="11" t="s">
        <v>729</v>
      </c>
      <c r="L15" s="11" t="s">
        <v>729</v>
      </c>
      <c r="M15" s="11" t="s">
        <v>729</v>
      </c>
      <c r="N15" s="11" t="s">
        <v>729</v>
      </c>
      <c r="O15" s="11" t="s">
        <v>729</v>
      </c>
      <c r="P15" s="11" t="s">
        <v>729</v>
      </c>
      <c r="Q15" s="11" t="s">
        <v>729</v>
      </c>
      <c r="R15" s="11" t="s">
        <v>729</v>
      </c>
      <c r="S15" s="11" t="s">
        <v>729</v>
      </c>
      <c r="T15" s="11" t="s">
        <v>729</v>
      </c>
      <c r="U15" s="11" t="s">
        <v>729</v>
      </c>
      <c r="V15" s="12" t="s">
        <v>729</v>
      </c>
    </row>
    <row r="16" ht="28" customHeight="1" spans="1:22">
      <c r="A16" s="16"/>
      <c r="B16" s="6" t="s">
        <v>729</v>
      </c>
      <c r="C16" s="6" t="s">
        <v>729</v>
      </c>
      <c r="D16" s="18" t="s">
        <v>1581</v>
      </c>
      <c r="E16" s="6" t="s">
        <v>729</v>
      </c>
      <c r="F16" s="11" t="s">
        <v>756</v>
      </c>
      <c r="G16" s="11" t="s">
        <v>756</v>
      </c>
      <c r="H16" s="11" t="s">
        <v>756</v>
      </c>
      <c r="I16" s="11" t="s">
        <v>752</v>
      </c>
      <c r="J16" s="11" t="s">
        <v>729</v>
      </c>
      <c r="K16" s="11" t="s">
        <v>729</v>
      </c>
      <c r="L16" s="11" t="s">
        <v>729</v>
      </c>
      <c r="M16" s="11" t="s">
        <v>729</v>
      </c>
      <c r="N16" s="11" t="s">
        <v>729</v>
      </c>
      <c r="O16" s="11" t="s">
        <v>729</v>
      </c>
      <c r="P16" s="11" t="s">
        <v>729</v>
      </c>
      <c r="Q16" s="11" t="s">
        <v>729</v>
      </c>
      <c r="R16" s="11" t="s">
        <v>729</v>
      </c>
      <c r="S16" s="11" t="s">
        <v>729</v>
      </c>
      <c r="T16" s="11" t="s">
        <v>729</v>
      </c>
      <c r="U16" s="11" t="s">
        <v>729</v>
      </c>
      <c r="V16" s="12" t="s">
        <v>729</v>
      </c>
    </row>
    <row r="17" ht="15.5" customHeight="1" spans="1:22">
      <c r="A17" s="16"/>
      <c r="B17" s="17" t="s">
        <v>694</v>
      </c>
      <c r="C17" s="6" t="s">
        <v>729</v>
      </c>
      <c r="D17" s="6" t="s">
        <v>729</v>
      </c>
      <c r="E17" s="6" t="s">
        <v>729</v>
      </c>
      <c r="F17" s="6" t="s">
        <v>729</v>
      </c>
      <c r="G17" s="6" t="s">
        <v>729</v>
      </c>
      <c r="H17" s="6" t="s">
        <v>729</v>
      </c>
      <c r="I17" s="6" t="s">
        <v>729</v>
      </c>
      <c r="J17" s="6" t="s">
        <v>729</v>
      </c>
      <c r="K17" s="6" t="s">
        <v>729</v>
      </c>
      <c r="L17" s="6" t="s">
        <v>729</v>
      </c>
      <c r="M17" s="6" t="s">
        <v>729</v>
      </c>
      <c r="N17" s="6" t="s">
        <v>729</v>
      </c>
      <c r="O17" s="6" t="s">
        <v>729</v>
      </c>
      <c r="P17" s="6" t="s">
        <v>729</v>
      </c>
      <c r="Q17" s="6" t="s">
        <v>729</v>
      </c>
      <c r="R17" s="6" t="s">
        <v>729</v>
      </c>
      <c r="S17" s="6" t="s">
        <v>729</v>
      </c>
      <c r="T17" s="6" t="s">
        <v>729</v>
      </c>
      <c r="U17" s="6" t="s">
        <v>729</v>
      </c>
      <c r="V17" s="8" t="s">
        <v>729</v>
      </c>
    </row>
    <row r="18" ht="53" customHeight="1" spans="1:22">
      <c r="A18" s="16"/>
      <c r="B18" s="6" t="s">
        <v>729</v>
      </c>
      <c r="C18" s="6" t="s">
        <v>729</v>
      </c>
      <c r="D18" s="18" t="s">
        <v>1582</v>
      </c>
      <c r="E18" s="6" t="s">
        <v>729</v>
      </c>
      <c r="F18" s="11" t="s">
        <v>756</v>
      </c>
      <c r="G18" s="11" t="s">
        <v>752</v>
      </c>
      <c r="H18" s="11" t="s">
        <v>756</v>
      </c>
      <c r="I18" s="11" t="s">
        <v>756</v>
      </c>
      <c r="J18" s="11" t="s">
        <v>729</v>
      </c>
      <c r="K18" s="11" t="s">
        <v>729</v>
      </c>
      <c r="L18" s="11" t="s">
        <v>729</v>
      </c>
      <c r="M18" s="11" t="s">
        <v>729</v>
      </c>
      <c r="N18" s="11" t="s">
        <v>729</v>
      </c>
      <c r="O18" s="11" t="s">
        <v>729</v>
      </c>
      <c r="P18" s="11" t="s">
        <v>729</v>
      </c>
      <c r="Q18" s="11" t="s">
        <v>729</v>
      </c>
      <c r="R18" s="11" t="s">
        <v>729</v>
      </c>
      <c r="S18" s="11" t="s">
        <v>729</v>
      </c>
      <c r="T18" s="11" t="s">
        <v>729</v>
      </c>
      <c r="U18" s="11" t="s">
        <v>729</v>
      </c>
      <c r="V18" s="12" t="s">
        <v>729</v>
      </c>
    </row>
    <row r="19" ht="18" customHeight="1" spans="1:22">
      <c r="A19" s="19" t="s">
        <v>696</v>
      </c>
      <c r="B19" s="20" t="s">
        <v>765</v>
      </c>
      <c r="C19" s="20"/>
      <c r="D19" s="20"/>
      <c r="E19" s="6" t="s">
        <v>729</v>
      </c>
      <c r="F19" s="11" t="s">
        <v>670</v>
      </c>
      <c r="G19" s="11" t="s">
        <v>63</v>
      </c>
      <c r="H19" s="11" t="s">
        <v>670</v>
      </c>
      <c r="I19" s="11" t="s">
        <v>63</v>
      </c>
      <c r="J19" s="11" t="s">
        <v>729</v>
      </c>
      <c r="K19" s="11" t="s">
        <v>729</v>
      </c>
      <c r="L19" s="11" t="s">
        <v>729</v>
      </c>
      <c r="M19" s="11" t="s">
        <v>729</v>
      </c>
      <c r="N19" s="11" t="s">
        <v>729</v>
      </c>
      <c r="O19" s="11" t="s">
        <v>729</v>
      </c>
      <c r="P19" s="11" t="s">
        <v>729</v>
      </c>
      <c r="Q19" s="11" t="s">
        <v>729</v>
      </c>
      <c r="R19" s="11" t="s">
        <v>729</v>
      </c>
      <c r="S19" s="11" t="s">
        <v>729</v>
      </c>
      <c r="T19" s="11" t="s">
        <v>729</v>
      </c>
      <c r="U19" s="11" t="s">
        <v>729</v>
      </c>
      <c r="V19" s="12" t="s">
        <v>729</v>
      </c>
    </row>
    <row r="20" ht="18" customHeight="1" spans="1:22">
      <c r="A20" s="19"/>
      <c r="B20" s="20" t="s">
        <v>698</v>
      </c>
      <c r="C20" s="20"/>
      <c r="D20" s="20"/>
      <c r="E20" s="6" t="s">
        <v>729</v>
      </c>
      <c r="F20" s="11" t="s">
        <v>766</v>
      </c>
      <c r="G20" s="11" t="s">
        <v>766</v>
      </c>
      <c r="H20" s="11" t="s">
        <v>766</v>
      </c>
      <c r="I20" s="11" t="s">
        <v>766</v>
      </c>
      <c r="J20" s="11" t="s">
        <v>729</v>
      </c>
      <c r="K20" s="11" t="s">
        <v>729</v>
      </c>
      <c r="L20" s="11" t="s">
        <v>729</v>
      </c>
      <c r="M20" s="11" t="s">
        <v>729</v>
      </c>
      <c r="N20" s="11" t="s">
        <v>729</v>
      </c>
      <c r="O20" s="11" t="s">
        <v>729</v>
      </c>
      <c r="P20" s="11" t="s">
        <v>729</v>
      </c>
      <c r="Q20" s="11" t="s">
        <v>729</v>
      </c>
      <c r="R20" s="11" t="s">
        <v>729</v>
      </c>
      <c r="S20" s="11" t="s">
        <v>729</v>
      </c>
      <c r="T20" s="11" t="s">
        <v>729</v>
      </c>
      <c r="U20" s="11" t="s">
        <v>729</v>
      </c>
      <c r="V20" s="12" t="s">
        <v>729</v>
      </c>
    </row>
    <row r="21" ht="18" customHeight="1" spans="1:22">
      <c r="A21" s="19"/>
      <c r="B21" s="20" t="s">
        <v>699</v>
      </c>
      <c r="C21" s="20"/>
      <c r="D21" s="20"/>
      <c r="E21" s="6" t="s">
        <v>729</v>
      </c>
      <c r="F21" s="6" t="s">
        <v>729</v>
      </c>
      <c r="G21" s="6" t="s">
        <v>729</v>
      </c>
      <c r="H21" s="6" t="s">
        <v>729</v>
      </c>
      <c r="I21" s="6" t="s">
        <v>729</v>
      </c>
      <c r="J21" s="6" t="s">
        <v>729</v>
      </c>
      <c r="K21" s="6" t="s">
        <v>729</v>
      </c>
      <c r="L21" s="6" t="s">
        <v>729</v>
      </c>
      <c r="M21" s="6" t="s">
        <v>729</v>
      </c>
      <c r="N21" s="6" t="s">
        <v>729</v>
      </c>
      <c r="O21" s="6" t="s">
        <v>729</v>
      </c>
      <c r="P21" s="6" t="s">
        <v>729</v>
      </c>
      <c r="Q21" s="6" t="s">
        <v>729</v>
      </c>
      <c r="R21" s="6" t="s">
        <v>729</v>
      </c>
      <c r="S21" s="6" t="s">
        <v>729</v>
      </c>
      <c r="T21" s="6" t="s">
        <v>729</v>
      </c>
      <c r="U21" s="6" t="s">
        <v>729</v>
      </c>
      <c r="V21" s="8" t="s">
        <v>729</v>
      </c>
    </row>
    <row r="22" ht="18" customHeight="1" spans="1:22">
      <c r="A22" s="19"/>
      <c r="B22" s="21" t="s">
        <v>700</v>
      </c>
      <c r="C22" s="21"/>
      <c r="D22" s="21"/>
      <c r="E22" s="22" t="s">
        <v>729</v>
      </c>
      <c r="F22" s="22" t="s">
        <v>729</v>
      </c>
      <c r="G22" s="22" t="s">
        <v>729</v>
      </c>
      <c r="H22" s="22" t="s">
        <v>729</v>
      </c>
      <c r="I22" s="22" t="s">
        <v>729</v>
      </c>
      <c r="J22" s="22" t="s">
        <v>729</v>
      </c>
      <c r="K22" s="22" t="s">
        <v>729</v>
      </c>
      <c r="L22" s="22" t="s">
        <v>729</v>
      </c>
      <c r="M22" s="22" t="s">
        <v>729</v>
      </c>
      <c r="N22" s="22" t="s">
        <v>729</v>
      </c>
      <c r="O22" s="22" t="s">
        <v>729</v>
      </c>
      <c r="P22" s="22" t="s">
        <v>729</v>
      </c>
      <c r="Q22" s="22" t="s">
        <v>729</v>
      </c>
      <c r="R22" s="22" t="s">
        <v>729</v>
      </c>
      <c r="S22" s="22" t="s">
        <v>729</v>
      </c>
      <c r="T22" s="22" t="s">
        <v>729</v>
      </c>
      <c r="U22" s="22" t="s">
        <v>729</v>
      </c>
      <c r="V22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9:D19"/>
    <mergeCell ref="B20:D20"/>
    <mergeCell ref="B21:D21"/>
    <mergeCell ref="B22:D22"/>
    <mergeCell ref="A7:A11"/>
    <mergeCell ref="A12:A18"/>
    <mergeCell ref="A19:A22"/>
  </mergeCells>
  <dataValidations count="3">
    <dataValidation type="list" allowBlank="1" sqref="F18:V18 F8:V9 F10:V11 F13:V16">
      <formula1>"O,-"</formula1>
    </dataValidation>
    <dataValidation type="list" allowBlank="1" sqref="F19:V19">
      <formula1>"N,A,B"</formula1>
    </dataValidation>
    <dataValidation type="list" allowBlank="1" sqref="F20:V20">
      <formula1>"P,F"</formula1>
    </dataValidation>
  </dataValidations>
  <pageMargins left="0.7" right="0.7" top="0.75" bottom="0.75" header="0.3" footer="0.3"/>
  <pageSetup paperSize="1" orientation="portrait"/>
  <headerFooter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2"/>
  <sheetViews>
    <sheetView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570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586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1583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6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1</v>
      </c>
      <c r="M5" s="11">
        <v>4</v>
      </c>
      <c r="N5" s="11">
        <v>1</v>
      </c>
      <c r="O5" s="12">
        <v>6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687</v>
      </c>
      <c r="H6" s="14" t="s">
        <v>688</v>
      </c>
      <c r="I6" s="14" t="s">
        <v>689</v>
      </c>
      <c r="J6" s="14" t="s">
        <v>863</v>
      </c>
      <c r="K6" s="14" t="s">
        <v>864</v>
      </c>
      <c r="L6" s="14" t="s">
        <v>729</v>
      </c>
      <c r="M6" s="14" t="s">
        <v>729</v>
      </c>
      <c r="N6" s="14" t="s">
        <v>729</v>
      </c>
      <c r="O6" s="14" t="s">
        <v>729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15.5" customHeight="1" spans="1:22">
      <c r="A7" s="16" t="s">
        <v>690</v>
      </c>
      <c r="B7" s="17" t="s">
        <v>1584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15.5" customHeight="1" spans="1:22">
      <c r="A8" s="16"/>
      <c r="B8" s="6" t="s">
        <v>729</v>
      </c>
      <c r="C8" s="6" t="s">
        <v>729</v>
      </c>
      <c r="D8" s="18" t="s">
        <v>1585</v>
      </c>
      <c r="E8" s="6" t="s">
        <v>729</v>
      </c>
      <c r="F8" s="11" t="s">
        <v>752</v>
      </c>
      <c r="G8" s="11" t="s">
        <v>756</v>
      </c>
      <c r="H8" s="11" t="s">
        <v>756</v>
      </c>
      <c r="I8" s="11" t="s">
        <v>756</v>
      </c>
      <c r="J8" s="11" t="s">
        <v>756</v>
      </c>
      <c r="K8" s="11" t="s">
        <v>756</v>
      </c>
      <c r="L8" s="11" t="s">
        <v>729</v>
      </c>
      <c r="M8" s="11" t="s">
        <v>729</v>
      </c>
      <c r="N8" s="11" t="s">
        <v>729</v>
      </c>
      <c r="O8" s="11" t="s">
        <v>729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40.5" customHeight="1" spans="1:22">
      <c r="A9" s="16"/>
      <c r="B9" s="6" t="s">
        <v>729</v>
      </c>
      <c r="C9" s="6" t="s">
        <v>729</v>
      </c>
      <c r="D9" s="18" t="s">
        <v>1586</v>
      </c>
      <c r="E9" s="6" t="s">
        <v>729</v>
      </c>
      <c r="F9" s="11" t="s">
        <v>756</v>
      </c>
      <c r="G9" s="11" t="s">
        <v>752</v>
      </c>
      <c r="H9" s="11" t="s">
        <v>756</v>
      </c>
      <c r="I9" s="11" t="s">
        <v>756</v>
      </c>
      <c r="J9" s="11" t="s">
        <v>756</v>
      </c>
      <c r="K9" s="11" t="s">
        <v>756</v>
      </c>
      <c r="L9" s="11" t="s">
        <v>729</v>
      </c>
      <c r="M9" s="11" t="s">
        <v>729</v>
      </c>
      <c r="N9" s="11" t="s">
        <v>729</v>
      </c>
      <c r="O9" s="11" t="s">
        <v>729</v>
      </c>
      <c r="P9" s="11" t="s">
        <v>729</v>
      </c>
      <c r="Q9" s="11" t="s">
        <v>729</v>
      </c>
      <c r="R9" s="11" t="s">
        <v>729</v>
      </c>
      <c r="S9" s="11" t="s">
        <v>729</v>
      </c>
      <c r="T9" s="11" t="s">
        <v>729</v>
      </c>
      <c r="U9" s="11" t="s">
        <v>729</v>
      </c>
      <c r="V9" s="12" t="s">
        <v>729</v>
      </c>
    </row>
    <row r="10" ht="40.5" customHeight="1" spans="1:22">
      <c r="A10" s="16"/>
      <c r="B10" s="6" t="s">
        <v>729</v>
      </c>
      <c r="C10" s="6" t="s">
        <v>729</v>
      </c>
      <c r="D10" s="18" t="s">
        <v>1587</v>
      </c>
      <c r="E10" s="6" t="s">
        <v>729</v>
      </c>
      <c r="F10" s="11" t="s">
        <v>756</v>
      </c>
      <c r="G10" s="11" t="s">
        <v>756</v>
      </c>
      <c r="H10" s="11" t="s">
        <v>752</v>
      </c>
      <c r="I10" s="11" t="s">
        <v>756</v>
      </c>
      <c r="J10" s="11" t="s">
        <v>756</v>
      </c>
      <c r="K10" s="11" t="s">
        <v>756</v>
      </c>
      <c r="L10" s="11" t="s">
        <v>729</v>
      </c>
      <c r="M10" s="11" t="s">
        <v>729</v>
      </c>
      <c r="N10" s="11" t="s">
        <v>729</v>
      </c>
      <c r="O10" s="11" t="s">
        <v>729</v>
      </c>
      <c r="P10" s="11" t="s">
        <v>729</v>
      </c>
      <c r="Q10" s="11" t="s">
        <v>729</v>
      </c>
      <c r="R10" s="11" t="s">
        <v>729</v>
      </c>
      <c r="S10" s="11" t="s">
        <v>729</v>
      </c>
      <c r="T10" s="11" t="s">
        <v>729</v>
      </c>
      <c r="U10" s="11" t="s">
        <v>729</v>
      </c>
      <c r="V10" s="12" t="s">
        <v>729</v>
      </c>
    </row>
    <row r="11" ht="65.5" customHeight="1" spans="1:22">
      <c r="A11" s="16"/>
      <c r="B11" s="6" t="s">
        <v>729</v>
      </c>
      <c r="C11" s="6" t="s">
        <v>729</v>
      </c>
      <c r="D11" s="18" t="s">
        <v>1588</v>
      </c>
      <c r="E11" s="6" t="s">
        <v>729</v>
      </c>
      <c r="F11" s="11" t="s">
        <v>756</v>
      </c>
      <c r="G11" s="11" t="s">
        <v>756</v>
      </c>
      <c r="H11" s="11" t="s">
        <v>756</v>
      </c>
      <c r="I11" s="11" t="s">
        <v>752</v>
      </c>
      <c r="J11" s="11" t="s">
        <v>756</v>
      </c>
      <c r="K11" s="11" t="s">
        <v>756</v>
      </c>
      <c r="L11" s="11" t="s">
        <v>729</v>
      </c>
      <c r="M11" s="11" t="s">
        <v>729</v>
      </c>
      <c r="N11" s="11" t="s">
        <v>729</v>
      </c>
      <c r="O11" s="11" t="s">
        <v>729</v>
      </c>
      <c r="P11" s="11" t="s">
        <v>729</v>
      </c>
      <c r="Q11" s="11" t="s">
        <v>729</v>
      </c>
      <c r="R11" s="11" t="s">
        <v>729</v>
      </c>
      <c r="S11" s="11" t="s">
        <v>729</v>
      </c>
      <c r="T11" s="11" t="s">
        <v>729</v>
      </c>
      <c r="U11" s="11" t="s">
        <v>729</v>
      </c>
      <c r="V11" s="12" t="s">
        <v>729</v>
      </c>
    </row>
    <row r="12" ht="28" customHeight="1" spans="1:22">
      <c r="A12" s="16"/>
      <c r="B12" s="6" t="s">
        <v>729</v>
      </c>
      <c r="C12" s="6" t="s">
        <v>729</v>
      </c>
      <c r="D12" s="18" t="s">
        <v>1589</v>
      </c>
      <c r="E12" s="6" t="s">
        <v>729</v>
      </c>
      <c r="F12" s="11" t="s">
        <v>756</v>
      </c>
      <c r="G12" s="11" t="s">
        <v>756</v>
      </c>
      <c r="H12" s="11" t="s">
        <v>756</v>
      </c>
      <c r="I12" s="11" t="s">
        <v>756</v>
      </c>
      <c r="J12" s="11" t="s">
        <v>752</v>
      </c>
      <c r="K12" s="11" t="s">
        <v>756</v>
      </c>
      <c r="L12" s="11" t="s">
        <v>729</v>
      </c>
      <c r="M12" s="11" t="s">
        <v>729</v>
      </c>
      <c r="N12" s="11" t="s">
        <v>729</v>
      </c>
      <c r="O12" s="11" t="s">
        <v>729</v>
      </c>
      <c r="P12" s="11" t="s">
        <v>729</v>
      </c>
      <c r="Q12" s="11" t="s">
        <v>729</v>
      </c>
      <c r="R12" s="11" t="s">
        <v>729</v>
      </c>
      <c r="S12" s="11" t="s">
        <v>729</v>
      </c>
      <c r="T12" s="11" t="s">
        <v>729</v>
      </c>
      <c r="U12" s="11" t="s">
        <v>729</v>
      </c>
      <c r="V12" s="12" t="s">
        <v>729</v>
      </c>
    </row>
    <row r="13" ht="65.5" customHeight="1" spans="1:22">
      <c r="A13" s="16"/>
      <c r="B13" s="6" t="s">
        <v>729</v>
      </c>
      <c r="C13" s="6" t="s">
        <v>729</v>
      </c>
      <c r="D13" s="18" t="s">
        <v>1590</v>
      </c>
      <c r="E13" s="6" t="s">
        <v>729</v>
      </c>
      <c r="F13" s="11" t="s">
        <v>756</v>
      </c>
      <c r="G13" s="11" t="s">
        <v>756</v>
      </c>
      <c r="H13" s="11" t="s">
        <v>756</v>
      </c>
      <c r="I13" s="11" t="s">
        <v>756</v>
      </c>
      <c r="J13" s="11" t="s">
        <v>756</v>
      </c>
      <c r="K13" s="11" t="s">
        <v>752</v>
      </c>
      <c r="L13" s="11" t="s">
        <v>729</v>
      </c>
      <c r="M13" s="11" t="s">
        <v>729</v>
      </c>
      <c r="N13" s="11" t="s">
        <v>729</v>
      </c>
      <c r="O13" s="11" t="s">
        <v>729</v>
      </c>
      <c r="P13" s="11" t="s">
        <v>729</v>
      </c>
      <c r="Q13" s="11" t="s">
        <v>729</v>
      </c>
      <c r="R13" s="11" t="s">
        <v>729</v>
      </c>
      <c r="S13" s="11" t="s">
        <v>729</v>
      </c>
      <c r="T13" s="11" t="s">
        <v>729</v>
      </c>
      <c r="U13" s="11" t="s">
        <v>729</v>
      </c>
      <c r="V13" s="12" t="s">
        <v>729</v>
      </c>
    </row>
    <row r="14" ht="15.5" customHeight="1" spans="1:22">
      <c r="A14" s="16" t="s">
        <v>692</v>
      </c>
      <c r="B14" s="17" t="s">
        <v>693</v>
      </c>
      <c r="C14" s="6" t="s">
        <v>729</v>
      </c>
      <c r="D14" s="6" t="s">
        <v>729</v>
      </c>
      <c r="E14" s="6" t="s">
        <v>729</v>
      </c>
      <c r="F14" s="6" t="s">
        <v>729</v>
      </c>
      <c r="G14" s="6" t="s">
        <v>729</v>
      </c>
      <c r="H14" s="6" t="s">
        <v>729</v>
      </c>
      <c r="I14" s="6" t="s">
        <v>729</v>
      </c>
      <c r="J14" s="6" t="s">
        <v>729</v>
      </c>
      <c r="K14" s="6" t="s">
        <v>729</v>
      </c>
      <c r="L14" s="6" t="s">
        <v>729</v>
      </c>
      <c r="M14" s="6" t="s">
        <v>729</v>
      </c>
      <c r="N14" s="6" t="s">
        <v>729</v>
      </c>
      <c r="O14" s="6" t="s">
        <v>729</v>
      </c>
      <c r="P14" s="6" t="s">
        <v>729</v>
      </c>
      <c r="Q14" s="6" t="s">
        <v>729</v>
      </c>
      <c r="R14" s="6" t="s">
        <v>729</v>
      </c>
      <c r="S14" s="6" t="s">
        <v>729</v>
      </c>
      <c r="T14" s="6" t="s">
        <v>729</v>
      </c>
      <c r="U14" s="6" t="s">
        <v>729</v>
      </c>
      <c r="V14" s="8" t="s">
        <v>729</v>
      </c>
    </row>
    <row r="15" ht="40.5" customHeight="1" spans="1:22">
      <c r="A15" s="16"/>
      <c r="B15" s="6" t="s">
        <v>729</v>
      </c>
      <c r="C15" s="6" t="s">
        <v>729</v>
      </c>
      <c r="D15" s="18" t="s">
        <v>1591</v>
      </c>
      <c r="E15" s="6" t="s">
        <v>729</v>
      </c>
      <c r="F15" s="11" t="s">
        <v>752</v>
      </c>
      <c r="G15" s="11" t="s">
        <v>756</v>
      </c>
      <c r="H15" s="11" t="s">
        <v>756</v>
      </c>
      <c r="I15" s="11" t="s">
        <v>756</v>
      </c>
      <c r="J15" s="11" t="s">
        <v>756</v>
      </c>
      <c r="K15" s="11" t="s">
        <v>756</v>
      </c>
      <c r="L15" s="11" t="s">
        <v>729</v>
      </c>
      <c r="M15" s="11" t="s">
        <v>729</v>
      </c>
      <c r="N15" s="11" t="s">
        <v>729</v>
      </c>
      <c r="O15" s="11" t="s">
        <v>729</v>
      </c>
      <c r="P15" s="11" t="s">
        <v>729</v>
      </c>
      <c r="Q15" s="11" t="s">
        <v>729</v>
      </c>
      <c r="R15" s="11" t="s">
        <v>729</v>
      </c>
      <c r="S15" s="11" t="s">
        <v>729</v>
      </c>
      <c r="T15" s="11" t="s">
        <v>729</v>
      </c>
      <c r="U15" s="11" t="s">
        <v>729</v>
      </c>
      <c r="V15" s="12" t="s">
        <v>729</v>
      </c>
    </row>
    <row r="16" ht="40.5" customHeight="1" spans="1:22">
      <c r="A16" s="16"/>
      <c r="B16" s="6" t="s">
        <v>729</v>
      </c>
      <c r="C16" s="6" t="s">
        <v>729</v>
      </c>
      <c r="D16" s="18" t="s">
        <v>1592</v>
      </c>
      <c r="E16" s="6" t="s">
        <v>729</v>
      </c>
      <c r="F16" s="11" t="s">
        <v>756</v>
      </c>
      <c r="G16" s="11" t="s">
        <v>752</v>
      </c>
      <c r="H16" s="11" t="s">
        <v>752</v>
      </c>
      <c r="I16" s="11" t="s">
        <v>752</v>
      </c>
      <c r="J16" s="11" t="s">
        <v>756</v>
      </c>
      <c r="K16" s="11" t="s">
        <v>752</v>
      </c>
      <c r="L16" s="11" t="s">
        <v>729</v>
      </c>
      <c r="M16" s="11" t="s">
        <v>729</v>
      </c>
      <c r="N16" s="11" t="s">
        <v>729</v>
      </c>
      <c r="O16" s="11" t="s">
        <v>729</v>
      </c>
      <c r="P16" s="11" t="s">
        <v>729</v>
      </c>
      <c r="Q16" s="11" t="s">
        <v>729</v>
      </c>
      <c r="R16" s="11" t="s">
        <v>729</v>
      </c>
      <c r="S16" s="11" t="s">
        <v>729</v>
      </c>
      <c r="T16" s="11" t="s">
        <v>729</v>
      </c>
      <c r="U16" s="11" t="s">
        <v>729</v>
      </c>
      <c r="V16" s="12" t="s">
        <v>729</v>
      </c>
    </row>
    <row r="17" ht="53" customHeight="1" spans="1:22">
      <c r="A17" s="16"/>
      <c r="B17" s="6" t="s">
        <v>729</v>
      </c>
      <c r="C17" s="6" t="s">
        <v>729</v>
      </c>
      <c r="D17" s="18" t="s">
        <v>1593</v>
      </c>
      <c r="E17" s="6" t="s">
        <v>729</v>
      </c>
      <c r="F17" s="11" t="s">
        <v>756</v>
      </c>
      <c r="G17" s="11" t="s">
        <v>756</v>
      </c>
      <c r="H17" s="11" t="s">
        <v>756</v>
      </c>
      <c r="I17" s="11" t="s">
        <v>756</v>
      </c>
      <c r="J17" s="11" t="s">
        <v>752</v>
      </c>
      <c r="K17" s="11" t="s">
        <v>756</v>
      </c>
      <c r="L17" s="11" t="s">
        <v>729</v>
      </c>
      <c r="M17" s="11" t="s">
        <v>729</v>
      </c>
      <c r="N17" s="11" t="s">
        <v>729</v>
      </c>
      <c r="O17" s="11" t="s">
        <v>729</v>
      </c>
      <c r="P17" s="11" t="s">
        <v>729</v>
      </c>
      <c r="Q17" s="11" t="s">
        <v>729</v>
      </c>
      <c r="R17" s="11" t="s">
        <v>729</v>
      </c>
      <c r="S17" s="11" t="s">
        <v>729</v>
      </c>
      <c r="T17" s="11" t="s">
        <v>729</v>
      </c>
      <c r="U17" s="11" t="s">
        <v>729</v>
      </c>
      <c r="V17" s="12" t="s">
        <v>729</v>
      </c>
    </row>
    <row r="18" ht="78" customHeight="1" spans="1:22">
      <c r="A18" s="16"/>
      <c r="B18" s="6" t="s">
        <v>729</v>
      </c>
      <c r="C18" s="6" t="s">
        <v>729</v>
      </c>
      <c r="D18" s="18" t="s">
        <v>1594</v>
      </c>
      <c r="E18" s="6" t="s">
        <v>729</v>
      </c>
      <c r="F18" s="11" t="s">
        <v>756</v>
      </c>
      <c r="G18" s="11" t="s">
        <v>756</v>
      </c>
      <c r="H18" s="11" t="s">
        <v>756</v>
      </c>
      <c r="I18" s="11" t="s">
        <v>756</v>
      </c>
      <c r="J18" s="11" t="s">
        <v>756</v>
      </c>
      <c r="K18" s="11" t="s">
        <v>752</v>
      </c>
      <c r="L18" s="11" t="s">
        <v>729</v>
      </c>
      <c r="M18" s="11" t="s">
        <v>729</v>
      </c>
      <c r="N18" s="11" t="s">
        <v>729</v>
      </c>
      <c r="O18" s="11" t="s">
        <v>729</v>
      </c>
      <c r="P18" s="11" t="s">
        <v>729</v>
      </c>
      <c r="Q18" s="11" t="s">
        <v>729</v>
      </c>
      <c r="R18" s="11" t="s">
        <v>729</v>
      </c>
      <c r="S18" s="11" t="s">
        <v>729</v>
      </c>
      <c r="T18" s="11" t="s">
        <v>729</v>
      </c>
      <c r="U18" s="11" t="s">
        <v>729</v>
      </c>
      <c r="V18" s="12" t="s">
        <v>729</v>
      </c>
    </row>
    <row r="19" ht="18" customHeight="1" spans="1:22">
      <c r="A19" s="19" t="s">
        <v>696</v>
      </c>
      <c r="B19" s="20" t="s">
        <v>765</v>
      </c>
      <c r="C19" s="20"/>
      <c r="D19" s="20"/>
      <c r="E19" s="6" t="s">
        <v>729</v>
      </c>
      <c r="F19" s="11" t="s">
        <v>670</v>
      </c>
      <c r="G19" s="11" t="s">
        <v>63</v>
      </c>
      <c r="H19" s="11" t="s">
        <v>63</v>
      </c>
      <c r="I19" s="11" t="s">
        <v>63</v>
      </c>
      <c r="J19" s="11" t="s">
        <v>63</v>
      </c>
      <c r="K19" s="11" t="s">
        <v>671</v>
      </c>
      <c r="L19" s="11" t="s">
        <v>729</v>
      </c>
      <c r="M19" s="11" t="s">
        <v>729</v>
      </c>
      <c r="N19" s="11" t="s">
        <v>729</v>
      </c>
      <c r="O19" s="11" t="s">
        <v>729</v>
      </c>
      <c r="P19" s="11" t="s">
        <v>729</v>
      </c>
      <c r="Q19" s="11" t="s">
        <v>729</v>
      </c>
      <c r="R19" s="11" t="s">
        <v>729</v>
      </c>
      <c r="S19" s="11" t="s">
        <v>729</v>
      </c>
      <c r="T19" s="11" t="s">
        <v>729</v>
      </c>
      <c r="U19" s="11" t="s">
        <v>729</v>
      </c>
      <c r="V19" s="12" t="s">
        <v>729</v>
      </c>
    </row>
    <row r="20" ht="18" customHeight="1" spans="1:22">
      <c r="A20" s="19"/>
      <c r="B20" s="20" t="s">
        <v>698</v>
      </c>
      <c r="C20" s="20"/>
      <c r="D20" s="20"/>
      <c r="E20" s="6" t="s">
        <v>729</v>
      </c>
      <c r="F20" s="11" t="s">
        <v>766</v>
      </c>
      <c r="G20" s="11" t="s">
        <v>766</v>
      </c>
      <c r="H20" s="11" t="s">
        <v>766</v>
      </c>
      <c r="I20" s="11" t="s">
        <v>766</v>
      </c>
      <c r="J20" s="11" t="s">
        <v>766</v>
      </c>
      <c r="K20" s="11" t="s">
        <v>766</v>
      </c>
      <c r="L20" s="11" t="s">
        <v>729</v>
      </c>
      <c r="M20" s="11" t="s">
        <v>729</v>
      </c>
      <c r="N20" s="11" t="s">
        <v>729</v>
      </c>
      <c r="O20" s="11" t="s">
        <v>729</v>
      </c>
      <c r="P20" s="11" t="s">
        <v>729</v>
      </c>
      <c r="Q20" s="11" t="s">
        <v>729</v>
      </c>
      <c r="R20" s="11" t="s">
        <v>729</v>
      </c>
      <c r="S20" s="11" t="s">
        <v>729</v>
      </c>
      <c r="T20" s="11" t="s">
        <v>729</v>
      </c>
      <c r="U20" s="11" t="s">
        <v>729</v>
      </c>
      <c r="V20" s="12" t="s">
        <v>729</v>
      </c>
    </row>
    <row r="21" ht="18" customHeight="1" spans="1:22">
      <c r="A21" s="19"/>
      <c r="B21" s="20" t="s">
        <v>699</v>
      </c>
      <c r="C21" s="20"/>
      <c r="D21" s="20"/>
      <c r="E21" s="6" t="s">
        <v>729</v>
      </c>
      <c r="F21" s="6" t="s">
        <v>729</v>
      </c>
      <c r="G21" s="6" t="s">
        <v>729</v>
      </c>
      <c r="H21" s="6" t="s">
        <v>729</v>
      </c>
      <c r="I21" s="6" t="s">
        <v>729</v>
      </c>
      <c r="J21" s="6" t="s">
        <v>729</v>
      </c>
      <c r="K21" s="6" t="s">
        <v>729</v>
      </c>
      <c r="L21" s="6" t="s">
        <v>729</v>
      </c>
      <c r="M21" s="6" t="s">
        <v>729</v>
      </c>
      <c r="N21" s="6" t="s">
        <v>729</v>
      </c>
      <c r="O21" s="6" t="s">
        <v>729</v>
      </c>
      <c r="P21" s="6" t="s">
        <v>729</v>
      </c>
      <c r="Q21" s="6" t="s">
        <v>729</v>
      </c>
      <c r="R21" s="6" t="s">
        <v>729</v>
      </c>
      <c r="S21" s="6" t="s">
        <v>729</v>
      </c>
      <c r="T21" s="6" t="s">
        <v>729</v>
      </c>
      <c r="U21" s="6" t="s">
        <v>729</v>
      </c>
      <c r="V21" s="8" t="s">
        <v>729</v>
      </c>
    </row>
    <row r="22" ht="18" customHeight="1" spans="1:22">
      <c r="A22" s="19"/>
      <c r="B22" s="21" t="s">
        <v>700</v>
      </c>
      <c r="C22" s="21"/>
      <c r="D22" s="21"/>
      <c r="E22" s="22" t="s">
        <v>729</v>
      </c>
      <c r="F22" s="22" t="s">
        <v>729</v>
      </c>
      <c r="G22" s="22" t="s">
        <v>729</v>
      </c>
      <c r="H22" s="22" t="s">
        <v>729</v>
      </c>
      <c r="I22" s="22" t="s">
        <v>729</v>
      </c>
      <c r="J22" s="22" t="s">
        <v>729</v>
      </c>
      <c r="K22" s="22" t="s">
        <v>729</v>
      </c>
      <c r="L22" s="22" t="s">
        <v>729</v>
      </c>
      <c r="M22" s="22" t="s">
        <v>729</v>
      </c>
      <c r="N22" s="22" t="s">
        <v>729</v>
      </c>
      <c r="O22" s="22" t="s">
        <v>729</v>
      </c>
      <c r="P22" s="22" t="s">
        <v>729</v>
      </c>
      <c r="Q22" s="22" t="s">
        <v>729</v>
      </c>
      <c r="R22" s="22" t="s">
        <v>729</v>
      </c>
      <c r="S22" s="22" t="s">
        <v>729</v>
      </c>
      <c r="T22" s="22" t="s">
        <v>729</v>
      </c>
      <c r="U22" s="22" t="s">
        <v>729</v>
      </c>
      <c r="V22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9:D19"/>
    <mergeCell ref="B20:D20"/>
    <mergeCell ref="B21:D21"/>
    <mergeCell ref="B22:D22"/>
    <mergeCell ref="A7:A13"/>
    <mergeCell ref="A14:A18"/>
    <mergeCell ref="A19:A22"/>
  </mergeCells>
  <dataValidations count="3">
    <dataValidation type="list" allowBlank="1" sqref="F19:V19">
      <formula1>"N,A,B"</formula1>
    </dataValidation>
    <dataValidation type="list" allowBlank="1" sqref="F20:V20">
      <formula1>"P,F"</formula1>
    </dataValidation>
    <dataValidation type="list" allowBlank="1" sqref="F10:V13 F15:V18 F8:V9">
      <formula1>"O,-"</formula1>
    </dataValidation>
  </dataValidations>
  <pageMargins left="0.7" right="0.7" top="0.75" bottom="0.75" header="0.3" footer="0.3"/>
  <pageSetup paperSize="1" orientation="portrait"/>
  <headerFooter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8"/>
  <sheetViews>
    <sheetView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570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591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1595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3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1</v>
      </c>
      <c r="M5" s="11">
        <v>1</v>
      </c>
      <c r="N5" s="11">
        <v>1</v>
      </c>
      <c r="O5" s="12">
        <v>3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687</v>
      </c>
      <c r="H6" s="14" t="s">
        <v>688</v>
      </c>
      <c r="I6" s="14" t="s">
        <v>729</v>
      </c>
      <c r="J6" s="14" t="s">
        <v>729</v>
      </c>
      <c r="K6" s="14" t="s">
        <v>729</v>
      </c>
      <c r="L6" s="14" t="s">
        <v>729</v>
      </c>
      <c r="M6" s="14" t="s">
        <v>729</v>
      </c>
      <c r="N6" s="14" t="s">
        <v>729</v>
      </c>
      <c r="O6" s="14" t="s">
        <v>729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15.5" customHeight="1" spans="1:22">
      <c r="A7" s="16" t="s">
        <v>690</v>
      </c>
      <c r="B7" s="17" t="s">
        <v>1557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65.5" customHeight="1" spans="1:22">
      <c r="A8" s="16"/>
      <c r="B8" s="6" t="s">
        <v>729</v>
      </c>
      <c r="C8" s="6" t="s">
        <v>729</v>
      </c>
      <c r="D8" s="18" t="s">
        <v>1596</v>
      </c>
      <c r="E8" s="6" t="s">
        <v>729</v>
      </c>
      <c r="F8" s="11" t="s">
        <v>752</v>
      </c>
      <c r="G8" s="11" t="s">
        <v>756</v>
      </c>
      <c r="H8" s="11" t="s">
        <v>756</v>
      </c>
      <c r="I8" s="11" t="s">
        <v>729</v>
      </c>
      <c r="J8" s="11" t="s">
        <v>729</v>
      </c>
      <c r="K8" s="11" t="s">
        <v>729</v>
      </c>
      <c r="L8" s="11" t="s">
        <v>729</v>
      </c>
      <c r="M8" s="11" t="s">
        <v>729</v>
      </c>
      <c r="N8" s="11" t="s">
        <v>729</v>
      </c>
      <c r="O8" s="11" t="s">
        <v>729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40.5" customHeight="1" spans="1:22">
      <c r="A9" s="16"/>
      <c r="B9" s="6" t="s">
        <v>729</v>
      </c>
      <c r="C9" s="6" t="s">
        <v>729</v>
      </c>
      <c r="D9" s="18" t="s">
        <v>1597</v>
      </c>
      <c r="E9" s="6" t="s">
        <v>729</v>
      </c>
      <c r="F9" s="11" t="s">
        <v>756</v>
      </c>
      <c r="G9" s="11" t="s">
        <v>752</v>
      </c>
      <c r="H9" s="11" t="s">
        <v>756</v>
      </c>
      <c r="I9" s="11" t="s">
        <v>729</v>
      </c>
      <c r="J9" s="11" t="s">
        <v>729</v>
      </c>
      <c r="K9" s="11" t="s">
        <v>729</v>
      </c>
      <c r="L9" s="11" t="s">
        <v>729</v>
      </c>
      <c r="M9" s="11" t="s">
        <v>729</v>
      </c>
      <c r="N9" s="11" t="s">
        <v>729</v>
      </c>
      <c r="O9" s="11" t="s">
        <v>729</v>
      </c>
      <c r="P9" s="11" t="s">
        <v>729</v>
      </c>
      <c r="Q9" s="11" t="s">
        <v>729</v>
      </c>
      <c r="R9" s="11" t="s">
        <v>729</v>
      </c>
      <c r="S9" s="11" t="s">
        <v>729</v>
      </c>
      <c r="T9" s="11" t="s">
        <v>729</v>
      </c>
      <c r="U9" s="11" t="s">
        <v>729</v>
      </c>
      <c r="V9" s="12" t="s">
        <v>729</v>
      </c>
    </row>
    <row r="10" ht="53" customHeight="1" spans="1:22">
      <c r="A10" s="16"/>
      <c r="B10" s="6" t="s">
        <v>729</v>
      </c>
      <c r="C10" s="6" t="s">
        <v>729</v>
      </c>
      <c r="D10" s="18" t="s">
        <v>1598</v>
      </c>
      <c r="E10" s="6" t="s">
        <v>729</v>
      </c>
      <c r="F10" s="11" t="s">
        <v>756</v>
      </c>
      <c r="G10" s="11" t="s">
        <v>756</v>
      </c>
      <c r="H10" s="11" t="s">
        <v>752</v>
      </c>
      <c r="I10" s="11" t="s">
        <v>729</v>
      </c>
      <c r="J10" s="11" t="s">
        <v>729</v>
      </c>
      <c r="K10" s="11" t="s">
        <v>729</v>
      </c>
      <c r="L10" s="11" t="s">
        <v>729</v>
      </c>
      <c r="M10" s="11" t="s">
        <v>729</v>
      </c>
      <c r="N10" s="11" t="s">
        <v>729</v>
      </c>
      <c r="O10" s="11" t="s">
        <v>729</v>
      </c>
      <c r="P10" s="11" t="s">
        <v>729</v>
      </c>
      <c r="Q10" s="11" t="s">
        <v>729</v>
      </c>
      <c r="R10" s="11" t="s">
        <v>729</v>
      </c>
      <c r="S10" s="11" t="s">
        <v>729</v>
      </c>
      <c r="T10" s="11" t="s">
        <v>729</v>
      </c>
      <c r="U10" s="11" t="s">
        <v>729</v>
      </c>
      <c r="V10" s="12" t="s">
        <v>729</v>
      </c>
    </row>
    <row r="11" ht="15.5" customHeight="1" spans="1:22">
      <c r="A11" s="16" t="s">
        <v>692</v>
      </c>
      <c r="B11" s="17" t="s">
        <v>693</v>
      </c>
      <c r="C11" s="6" t="s">
        <v>729</v>
      </c>
      <c r="D11" s="6" t="s">
        <v>729</v>
      </c>
      <c r="E11" s="6" t="s">
        <v>729</v>
      </c>
      <c r="F11" s="6" t="s">
        <v>729</v>
      </c>
      <c r="G11" s="6" t="s">
        <v>729</v>
      </c>
      <c r="H11" s="6" t="s">
        <v>729</v>
      </c>
      <c r="I11" s="6" t="s">
        <v>729</v>
      </c>
      <c r="J11" s="6" t="s">
        <v>729</v>
      </c>
      <c r="K11" s="6" t="s">
        <v>729</v>
      </c>
      <c r="L11" s="6" t="s">
        <v>729</v>
      </c>
      <c r="M11" s="6" t="s">
        <v>729</v>
      </c>
      <c r="N11" s="6" t="s">
        <v>729</v>
      </c>
      <c r="O11" s="6" t="s">
        <v>729</v>
      </c>
      <c r="P11" s="6" t="s">
        <v>729</v>
      </c>
      <c r="Q11" s="6" t="s">
        <v>729</v>
      </c>
      <c r="R11" s="6" t="s">
        <v>729</v>
      </c>
      <c r="S11" s="6" t="s">
        <v>729</v>
      </c>
      <c r="T11" s="6" t="s">
        <v>729</v>
      </c>
      <c r="U11" s="6" t="s">
        <v>729</v>
      </c>
      <c r="V11" s="8" t="s">
        <v>729</v>
      </c>
    </row>
    <row r="12" ht="53" customHeight="1" spans="1:22">
      <c r="A12" s="16"/>
      <c r="B12" s="6" t="s">
        <v>729</v>
      </c>
      <c r="C12" s="6" t="s">
        <v>729</v>
      </c>
      <c r="D12" s="18" t="s">
        <v>1599</v>
      </c>
      <c r="E12" s="6" t="s">
        <v>729</v>
      </c>
      <c r="F12" s="11" t="s">
        <v>752</v>
      </c>
      <c r="G12" s="11" t="s">
        <v>756</v>
      </c>
      <c r="H12" s="11" t="s">
        <v>756</v>
      </c>
      <c r="I12" s="11" t="s">
        <v>729</v>
      </c>
      <c r="J12" s="11" t="s">
        <v>729</v>
      </c>
      <c r="K12" s="11" t="s">
        <v>729</v>
      </c>
      <c r="L12" s="11" t="s">
        <v>729</v>
      </c>
      <c r="M12" s="11" t="s">
        <v>729</v>
      </c>
      <c r="N12" s="11" t="s">
        <v>729</v>
      </c>
      <c r="O12" s="11" t="s">
        <v>729</v>
      </c>
      <c r="P12" s="11" t="s">
        <v>729</v>
      </c>
      <c r="Q12" s="11" t="s">
        <v>729</v>
      </c>
      <c r="R12" s="11" t="s">
        <v>729</v>
      </c>
      <c r="S12" s="11" t="s">
        <v>729</v>
      </c>
      <c r="T12" s="11" t="s">
        <v>729</v>
      </c>
      <c r="U12" s="11" t="s">
        <v>729</v>
      </c>
      <c r="V12" s="12" t="s">
        <v>729</v>
      </c>
    </row>
    <row r="13" ht="40.5" customHeight="1" spans="1:22">
      <c r="A13" s="16"/>
      <c r="B13" s="6" t="s">
        <v>729</v>
      </c>
      <c r="C13" s="6" t="s">
        <v>729</v>
      </c>
      <c r="D13" s="18" t="s">
        <v>1600</v>
      </c>
      <c r="E13" s="6" t="s">
        <v>729</v>
      </c>
      <c r="F13" s="11" t="s">
        <v>756</v>
      </c>
      <c r="G13" s="11" t="s">
        <v>752</v>
      </c>
      <c r="H13" s="11" t="s">
        <v>756</v>
      </c>
      <c r="I13" s="11" t="s">
        <v>729</v>
      </c>
      <c r="J13" s="11" t="s">
        <v>729</v>
      </c>
      <c r="K13" s="11" t="s">
        <v>729</v>
      </c>
      <c r="L13" s="11" t="s">
        <v>729</v>
      </c>
      <c r="M13" s="11" t="s">
        <v>729</v>
      </c>
      <c r="N13" s="11" t="s">
        <v>729</v>
      </c>
      <c r="O13" s="11" t="s">
        <v>729</v>
      </c>
      <c r="P13" s="11" t="s">
        <v>729</v>
      </c>
      <c r="Q13" s="11" t="s">
        <v>729</v>
      </c>
      <c r="R13" s="11" t="s">
        <v>729</v>
      </c>
      <c r="S13" s="11" t="s">
        <v>729</v>
      </c>
      <c r="T13" s="11" t="s">
        <v>729</v>
      </c>
      <c r="U13" s="11" t="s">
        <v>729</v>
      </c>
      <c r="V13" s="12" t="s">
        <v>729</v>
      </c>
    </row>
    <row r="14" ht="78" customHeight="1" spans="1:22">
      <c r="A14" s="16"/>
      <c r="B14" s="6" t="s">
        <v>729</v>
      </c>
      <c r="C14" s="6" t="s">
        <v>729</v>
      </c>
      <c r="D14" s="18" t="s">
        <v>1601</v>
      </c>
      <c r="E14" s="6" t="s">
        <v>729</v>
      </c>
      <c r="F14" s="11" t="s">
        <v>756</v>
      </c>
      <c r="G14" s="11" t="s">
        <v>756</v>
      </c>
      <c r="H14" s="11" t="s">
        <v>752</v>
      </c>
      <c r="I14" s="11" t="s">
        <v>729</v>
      </c>
      <c r="J14" s="11" t="s">
        <v>729</v>
      </c>
      <c r="K14" s="11" t="s">
        <v>729</v>
      </c>
      <c r="L14" s="11" t="s">
        <v>729</v>
      </c>
      <c r="M14" s="11" t="s">
        <v>729</v>
      </c>
      <c r="N14" s="11" t="s">
        <v>729</v>
      </c>
      <c r="O14" s="11" t="s">
        <v>729</v>
      </c>
      <c r="P14" s="11" t="s">
        <v>729</v>
      </c>
      <c r="Q14" s="11" t="s">
        <v>729</v>
      </c>
      <c r="R14" s="11" t="s">
        <v>729</v>
      </c>
      <c r="S14" s="11" t="s">
        <v>729</v>
      </c>
      <c r="T14" s="11" t="s">
        <v>729</v>
      </c>
      <c r="U14" s="11" t="s">
        <v>729</v>
      </c>
      <c r="V14" s="12" t="s">
        <v>729</v>
      </c>
    </row>
    <row r="15" ht="18" customHeight="1" spans="1:22">
      <c r="A15" s="19" t="s">
        <v>696</v>
      </c>
      <c r="B15" s="20" t="s">
        <v>765</v>
      </c>
      <c r="C15" s="20"/>
      <c r="D15" s="20"/>
      <c r="E15" s="6" t="s">
        <v>729</v>
      </c>
      <c r="F15" s="11" t="s">
        <v>670</v>
      </c>
      <c r="G15" s="11" t="s">
        <v>63</v>
      </c>
      <c r="H15" s="11" t="s">
        <v>671</v>
      </c>
      <c r="I15" s="11" t="s">
        <v>729</v>
      </c>
      <c r="J15" s="11" t="s">
        <v>729</v>
      </c>
      <c r="K15" s="11" t="s">
        <v>729</v>
      </c>
      <c r="L15" s="11" t="s">
        <v>729</v>
      </c>
      <c r="M15" s="11" t="s">
        <v>729</v>
      </c>
      <c r="N15" s="11" t="s">
        <v>729</v>
      </c>
      <c r="O15" s="11" t="s">
        <v>729</v>
      </c>
      <c r="P15" s="11" t="s">
        <v>729</v>
      </c>
      <c r="Q15" s="11" t="s">
        <v>729</v>
      </c>
      <c r="R15" s="11" t="s">
        <v>729</v>
      </c>
      <c r="S15" s="11" t="s">
        <v>729</v>
      </c>
      <c r="T15" s="11" t="s">
        <v>729</v>
      </c>
      <c r="U15" s="11" t="s">
        <v>729</v>
      </c>
      <c r="V15" s="12" t="s">
        <v>729</v>
      </c>
    </row>
    <row r="16" ht="18" customHeight="1" spans="1:22">
      <c r="A16" s="19"/>
      <c r="B16" s="20" t="s">
        <v>698</v>
      </c>
      <c r="C16" s="20"/>
      <c r="D16" s="20"/>
      <c r="E16" s="6" t="s">
        <v>729</v>
      </c>
      <c r="F16" s="11" t="s">
        <v>766</v>
      </c>
      <c r="G16" s="11" t="s">
        <v>766</v>
      </c>
      <c r="H16" s="11" t="s">
        <v>766</v>
      </c>
      <c r="I16" s="11" t="s">
        <v>729</v>
      </c>
      <c r="J16" s="11" t="s">
        <v>729</v>
      </c>
      <c r="K16" s="11" t="s">
        <v>729</v>
      </c>
      <c r="L16" s="11" t="s">
        <v>729</v>
      </c>
      <c r="M16" s="11" t="s">
        <v>729</v>
      </c>
      <c r="N16" s="11" t="s">
        <v>729</v>
      </c>
      <c r="O16" s="11" t="s">
        <v>729</v>
      </c>
      <c r="P16" s="11" t="s">
        <v>729</v>
      </c>
      <c r="Q16" s="11" t="s">
        <v>729</v>
      </c>
      <c r="R16" s="11" t="s">
        <v>729</v>
      </c>
      <c r="S16" s="11" t="s">
        <v>729</v>
      </c>
      <c r="T16" s="11" t="s">
        <v>729</v>
      </c>
      <c r="U16" s="11" t="s">
        <v>729</v>
      </c>
      <c r="V16" s="12" t="s">
        <v>729</v>
      </c>
    </row>
    <row r="17" ht="18" customHeight="1" spans="1:22">
      <c r="A17" s="19"/>
      <c r="B17" s="20" t="s">
        <v>699</v>
      </c>
      <c r="C17" s="20"/>
      <c r="D17" s="20"/>
      <c r="E17" s="6" t="s">
        <v>729</v>
      </c>
      <c r="F17" s="6" t="s">
        <v>729</v>
      </c>
      <c r="G17" s="6" t="s">
        <v>729</v>
      </c>
      <c r="H17" s="6" t="s">
        <v>729</v>
      </c>
      <c r="I17" s="6" t="s">
        <v>729</v>
      </c>
      <c r="J17" s="6" t="s">
        <v>729</v>
      </c>
      <c r="K17" s="6" t="s">
        <v>729</v>
      </c>
      <c r="L17" s="6" t="s">
        <v>729</v>
      </c>
      <c r="M17" s="6" t="s">
        <v>729</v>
      </c>
      <c r="N17" s="6" t="s">
        <v>729</v>
      </c>
      <c r="O17" s="6" t="s">
        <v>729</v>
      </c>
      <c r="P17" s="6" t="s">
        <v>729</v>
      </c>
      <c r="Q17" s="6" t="s">
        <v>729</v>
      </c>
      <c r="R17" s="6" t="s">
        <v>729</v>
      </c>
      <c r="S17" s="6" t="s">
        <v>729</v>
      </c>
      <c r="T17" s="6" t="s">
        <v>729</v>
      </c>
      <c r="U17" s="6" t="s">
        <v>729</v>
      </c>
      <c r="V17" s="8" t="s">
        <v>729</v>
      </c>
    </row>
    <row r="18" ht="18" customHeight="1" spans="1:22">
      <c r="A18" s="19"/>
      <c r="B18" s="21" t="s">
        <v>700</v>
      </c>
      <c r="C18" s="21"/>
      <c r="D18" s="21"/>
      <c r="E18" s="22" t="s">
        <v>729</v>
      </c>
      <c r="F18" s="22" t="s">
        <v>729</v>
      </c>
      <c r="G18" s="22" t="s">
        <v>729</v>
      </c>
      <c r="H18" s="22" t="s">
        <v>729</v>
      </c>
      <c r="I18" s="22" t="s">
        <v>729</v>
      </c>
      <c r="J18" s="22" t="s">
        <v>729</v>
      </c>
      <c r="K18" s="22" t="s">
        <v>729</v>
      </c>
      <c r="L18" s="22" t="s">
        <v>729</v>
      </c>
      <c r="M18" s="22" t="s">
        <v>729</v>
      </c>
      <c r="N18" s="22" t="s">
        <v>729</v>
      </c>
      <c r="O18" s="22" t="s">
        <v>729</v>
      </c>
      <c r="P18" s="22" t="s">
        <v>729</v>
      </c>
      <c r="Q18" s="22" t="s">
        <v>729</v>
      </c>
      <c r="R18" s="22" t="s">
        <v>729</v>
      </c>
      <c r="S18" s="22" t="s">
        <v>729</v>
      </c>
      <c r="T18" s="22" t="s">
        <v>729</v>
      </c>
      <c r="U18" s="22" t="s">
        <v>729</v>
      </c>
      <c r="V18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5:D15"/>
    <mergeCell ref="B16:D16"/>
    <mergeCell ref="B17:D17"/>
    <mergeCell ref="B18:D18"/>
    <mergeCell ref="A7:A10"/>
    <mergeCell ref="A11:A14"/>
    <mergeCell ref="A15:A18"/>
  </mergeCells>
  <dataValidations count="3">
    <dataValidation type="list" allowBlank="1" sqref="F10:V10 F12:V14 F8:V9">
      <formula1>"O,-"</formula1>
    </dataValidation>
    <dataValidation type="list" allowBlank="1" sqref="F15:V15">
      <formula1>"N,A,B"</formula1>
    </dataValidation>
    <dataValidation type="list" allowBlank="1" sqref="F16:V16">
      <formula1>"P,F"</formula1>
    </dataValidation>
  </dataValidations>
  <pageMargins left="0.7" right="0.7" top="0.75" bottom="0.75" header="0.3" footer="0.3"/>
  <pageSetup paperSize="1" orientation="portrait"/>
  <headerFooter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2"/>
  <sheetViews>
    <sheetView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570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596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1602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8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1</v>
      </c>
      <c r="M5" s="11">
        <v>7</v>
      </c>
      <c r="N5" s="11">
        <v>0</v>
      </c>
      <c r="O5" s="12">
        <v>8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687</v>
      </c>
      <c r="H6" s="14" t="s">
        <v>688</v>
      </c>
      <c r="I6" s="14" t="s">
        <v>689</v>
      </c>
      <c r="J6" s="14" t="s">
        <v>863</v>
      </c>
      <c r="K6" s="14" t="s">
        <v>864</v>
      </c>
      <c r="L6" s="14" t="s">
        <v>1412</v>
      </c>
      <c r="M6" s="14" t="s">
        <v>1484</v>
      </c>
      <c r="N6" s="14" t="s">
        <v>729</v>
      </c>
      <c r="O6" s="14" t="s">
        <v>729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15.5" customHeight="1" spans="1:22">
      <c r="A7" s="16" t="s">
        <v>690</v>
      </c>
      <c r="B7" s="17" t="s">
        <v>1603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40.5" customHeight="1" spans="1:22">
      <c r="A8" s="16"/>
      <c r="B8" s="6" t="s">
        <v>729</v>
      </c>
      <c r="C8" s="6" t="s">
        <v>729</v>
      </c>
      <c r="D8" s="18" t="s">
        <v>1604</v>
      </c>
      <c r="E8" s="6" t="s">
        <v>729</v>
      </c>
      <c r="F8" s="11" t="s">
        <v>752</v>
      </c>
      <c r="G8" s="11" t="s">
        <v>756</v>
      </c>
      <c r="H8" s="11" t="s">
        <v>756</v>
      </c>
      <c r="I8" s="11" t="s">
        <v>756</v>
      </c>
      <c r="J8" s="11" t="s">
        <v>756</v>
      </c>
      <c r="K8" s="11" t="s">
        <v>756</v>
      </c>
      <c r="L8" s="11" t="s">
        <v>756</v>
      </c>
      <c r="M8" s="11" t="s">
        <v>756</v>
      </c>
      <c r="N8" s="11" t="s">
        <v>729</v>
      </c>
      <c r="O8" s="11" t="s">
        <v>729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40.5" customHeight="1" spans="1:22">
      <c r="A9" s="16"/>
      <c r="B9" s="6" t="s">
        <v>729</v>
      </c>
      <c r="C9" s="6" t="s">
        <v>729</v>
      </c>
      <c r="D9" s="18" t="s">
        <v>1605</v>
      </c>
      <c r="E9" s="6" t="s">
        <v>729</v>
      </c>
      <c r="F9" s="11" t="s">
        <v>756</v>
      </c>
      <c r="G9" s="11" t="s">
        <v>752</v>
      </c>
      <c r="H9" s="11" t="s">
        <v>756</v>
      </c>
      <c r="I9" s="11" t="s">
        <v>756</v>
      </c>
      <c r="J9" s="11" t="s">
        <v>756</v>
      </c>
      <c r="K9" s="11" t="s">
        <v>756</v>
      </c>
      <c r="L9" s="11" t="s">
        <v>756</v>
      </c>
      <c r="M9" s="11" t="s">
        <v>756</v>
      </c>
      <c r="N9" s="11" t="s">
        <v>729</v>
      </c>
      <c r="O9" s="11" t="s">
        <v>729</v>
      </c>
      <c r="P9" s="11" t="s">
        <v>729</v>
      </c>
      <c r="Q9" s="11" t="s">
        <v>729</v>
      </c>
      <c r="R9" s="11" t="s">
        <v>729</v>
      </c>
      <c r="S9" s="11" t="s">
        <v>729</v>
      </c>
      <c r="T9" s="11" t="s">
        <v>729</v>
      </c>
      <c r="U9" s="11" t="s">
        <v>729</v>
      </c>
      <c r="V9" s="12" t="s">
        <v>729</v>
      </c>
    </row>
    <row r="10" ht="53" customHeight="1" spans="1:22">
      <c r="A10" s="16"/>
      <c r="B10" s="6" t="s">
        <v>729</v>
      </c>
      <c r="C10" s="6" t="s">
        <v>729</v>
      </c>
      <c r="D10" s="18" t="s">
        <v>1606</v>
      </c>
      <c r="E10" s="6" t="s">
        <v>729</v>
      </c>
      <c r="F10" s="11" t="s">
        <v>756</v>
      </c>
      <c r="G10" s="11" t="s">
        <v>756</v>
      </c>
      <c r="H10" s="11" t="s">
        <v>752</v>
      </c>
      <c r="I10" s="11" t="s">
        <v>756</v>
      </c>
      <c r="J10" s="11" t="s">
        <v>756</v>
      </c>
      <c r="K10" s="11" t="s">
        <v>756</v>
      </c>
      <c r="L10" s="11" t="s">
        <v>756</v>
      </c>
      <c r="M10" s="11" t="s">
        <v>756</v>
      </c>
      <c r="N10" s="11" t="s">
        <v>729</v>
      </c>
      <c r="O10" s="11" t="s">
        <v>729</v>
      </c>
      <c r="P10" s="11" t="s">
        <v>729</v>
      </c>
      <c r="Q10" s="11" t="s">
        <v>729</v>
      </c>
      <c r="R10" s="11" t="s">
        <v>729</v>
      </c>
      <c r="S10" s="11" t="s">
        <v>729</v>
      </c>
      <c r="T10" s="11" t="s">
        <v>729</v>
      </c>
      <c r="U10" s="11" t="s">
        <v>729</v>
      </c>
      <c r="V10" s="12" t="s">
        <v>729</v>
      </c>
    </row>
    <row r="11" ht="40.5" customHeight="1" spans="1:22">
      <c r="A11" s="16"/>
      <c r="B11" s="6" t="s">
        <v>729</v>
      </c>
      <c r="C11" s="6" t="s">
        <v>729</v>
      </c>
      <c r="D11" s="18" t="s">
        <v>1607</v>
      </c>
      <c r="E11" s="6" t="s">
        <v>729</v>
      </c>
      <c r="F11" s="11" t="s">
        <v>756</v>
      </c>
      <c r="G11" s="11" t="s">
        <v>756</v>
      </c>
      <c r="H11" s="11" t="s">
        <v>756</v>
      </c>
      <c r="I11" s="11" t="s">
        <v>752</v>
      </c>
      <c r="J11" s="11" t="s">
        <v>756</v>
      </c>
      <c r="K11" s="11" t="s">
        <v>756</v>
      </c>
      <c r="L11" s="11" t="s">
        <v>756</v>
      </c>
      <c r="M11" s="11" t="s">
        <v>756</v>
      </c>
      <c r="N11" s="11" t="s">
        <v>729</v>
      </c>
      <c r="O11" s="11" t="s">
        <v>729</v>
      </c>
      <c r="P11" s="11" t="s">
        <v>729</v>
      </c>
      <c r="Q11" s="11" t="s">
        <v>729</v>
      </c>
      <c r="R11" s="11" t="s">
        <v>729</v>
      </c>
      <c r="S11" s="11" t="s">
        <v>729</v>
      </c>
      <c r="T11" s="11" t="s">
        <v>729</v>
      </c>
      <c r="U11" s="11" t="s">
        <v>729</v>
      </c>
      <c r="V11" s="12" t="s">
        <v>729</v>
      </c>
    </row>
    <row r="12" ht="40.5" customHeight="1" spans="1:22">
      <c r="A12" s="16"/>
      <c r="B12" s="6" t="s">
        <v>729</v>
      </c>
      <c r="C12" s="6" t="s">
        <v>729</v>
      </c>
      <c r="D12" s="18" t="s">
        <v>1608</v>
      </c>
      <c r="E12" s="6" t="s">
        <v>729</v>
      </c>
      <c r="F12" s="11" t="s">
        <v>756</v>
      </c>
      <c r="G12" s="11" t="s">
        <v>756</v>
      </c>
      <c r="H12" s="11" t="s">
        <v>756</v>
      </c>
      <c r="I12" s="11" t="s">
        <v>756</v>
      </c>
      <c r="J12" s="11" t="s">
        <v>752</v>
      </c>
      <c r="K12" s="11" t="s">
        <v>756</v>
      </c>
      <c r="L12" s="11" t="s">
        <v>756</v>
      </c>
      <c r="M12" s="11" t="s">
        <v>756</v>
      </c>
      <c r="N12" s="11" t="s">
        <v>729</v>
      </c>
      <c r="O12" s="11" t="s">
        <v>729</v>
      </c>
      <c r="P12" s="11" t="s">
        <v>729</v>
      </c>
      <c r="Q12" s="11" t="s">
        <v>729</v>
      </c>
      <c r="R12" s="11" t="s">
        <v>729</v>
      </c>
      <c r="S12" s="11" t="s">
        <v>729</v>
      </c>
      <c r="T12" s="11" t="s">
        <v>729</v>
      </c>
      <c r="U12" s="11" t="s">
        <v>729</v>
      </c>
      <c r="V12" s="12" t="s">
        <v>729</v>
      </c>
    </row>
    <row r="13" ht="28" customHeight="1" spans="1:22">
      <c r="A13" s="16"/>
      <c r="B13" s="6" t="s">
        <v>729</v>
      </c>
      <c r="C13" s="6" t="s">
        <v>729</v>
      </c>
      <c r="D13" s="18" t="s">
        <v>1609</v>
      </c>
      <c r="E13" s="6" t="s">
        <v>729</v>
      </c>
      <c r="F13" s="11" t="s">
        <v>756</v>
      </c>
      <c r="G13" s="11" t="s">
        <v>756</v>
      </c>
      <c r="H13" s="11" t="s">
        <v>756</v>
      </c>
      <c r="I13" s="11" t="s">
        <v>756</v>
      </c>
      <c r="J13" s="11" t="s">
        <v>756</v>
      </c>
      <c r="K13" s="11" t="s">
        <v>752</v>
      </c>
      <c r="L13" s="11" t="s">
        <v>756</v>
      </c>
      <c r="M13" s="11" t="s">
        <v>756</v>
      </c>
      <c r="N13" s="11" t="s">
        <v>729</v>
      </c>
      <c r="O13" s="11" t="s">
        <v>729</v>
      </c>
      <c r="P13" s="11" t="s">
        <v>729</v>
      </c>
      <c r="Q13" s="11" t="s">
        <v>729</v>
      </c>
      <c r="R13" s="11" t="s">
        <v>729</v>
      </c>
      <c r="S13" s="11" t="s">
        <v>729</v>
      </c>
      <c r="T13" s="11" t="s">
        <v>729</v>
      </c>
      <c r="U13" s="11" t="s">
        <v>729</v>
      </c>
      <c r="V13" s="12" t="s">
        <v>729</v>
      </c>
    </row>
    <row r="14" ht="53" customHeight="1" spans="1:22">
      <c r="A14" s="16"/>
      <c r="B14" s="6" t="s">
        <v>729</v>
      </c>
      <c r="C14" s="6" t="s">
        <v>729</v>
      </c>
      <c r="D14" s="18" t="s">
        <v>1610</v>
      </c>
      <c r="E14" s="6" t="s">
        <v>729</v>
      </c>
      <c r="F14" s="11" t="s">
        <v>756</v>
      </c>
      <c r="G14" s="11" t="s">
        <v>756</v>
      </c>
      <c r="H14" s="11" t="s">
        <v>756</v>
      </c>
      <c r="I14" s="11" t="s">
        <v>756</v>
      </c>
      <c r="J14" s="11" t="s">
        <v>756</v>
      </c>
      <c r="K14" s="11" t="s">
        <v>756</v>
      </c>
      <c r="L14" s="11" t="s">
        <v>752</v>
      </c>
      <c r="M14" s="11" t="s">
        <v>756</v>
      </c>
      <c r="N14" s="11" t="s">
        <v>729</v>
      </c>
      <c r="O14" s="11" t="s">
        <v>729</v>
      </c>
      <c r="P14" s="11" t="s">
        <v>729</v>
      </c>
      <c r="Q14" s="11" t="s">
        <v>729</v>
      </c>
      <c r="R14" s="11" t="s">
        <v>729</v>
      </c>
      <c r="S14" s="11" t="s">
        <v>729</v>
      </c>
      <c r="T14" s="11" t="s">
        <v>729</v>
      </c>
      <c r="U14" s="11" t="s">
        <v>729</v>
      </c>
      <c r="V14" s="12" t="s">
        <v>729</v>
      </c>
    </row>
    <row r="15" ht="40.5" customHeight="1" spans="1:22">
      <c r="A15" s="16"/>
      <c r="B15" s="6" t="s">
        <v>729</v>
      </c>
      <c r="C15" s="6" t="s">
        <v>729</v>
      </c>
      <c r="D15" s="18" t="s">
        <v>1611</v>
      </c>
      <c r="E15" s="6" t="s">
        <v>729</v>
      </c>
      <c r="F15" s="11" t="s">
        <v>756</v>
      </c>
      <c r="G15" s="11" t="s">
        <v>756</v>
      </c>
      <c r="H15" s="11" t="s">
        <v>756</v>
      </c>
      <c r="I15" s="11" t="s">
        <v>756</v>
      </c>
      <c r="J15" s="11" t="s">
        <v>756</v>
      </c>
      <c r="K15" s="11" t="s">
        <v>756</v>
      </c>
      <c r="L15" s="11" t="s">
        <v>756</v>
      </c>
      <c r="M15" s="11" t="s">
        <v>752</v>
      </c>
      <c r="N15" s="11" t="s">
        <v>729</v>
      </c>
      <c r="O15" s="11" t="s">
        <v>729</v>
      </c>
      <c r="P15" s="11" t="s">
        <v>729</v>
      </c>
      <c r="Q15" s="11" t="s">
        <v>729</v>
      </c>
      <c r="R15" s="11" t="s">
        <v>729</v>
      </c>
      <c r="S15" s="11" t="s">
        <v>729</v>
      </c>
      <c r="T15" s="11" t="s">
        <v>729</v>
      </c>
      <c r="U15" s="11" t="s">
        <v>729</v>
      </c>
      <c r="V15" s="12" t="s">
        <v>729</v>
      </c>
    </row>
    <row r="16" ht="15.5" customHeight="1" spans="1:22">
      <c r="A16" s="16" t="s">
        <v>692</v>
      </c>
      <c r="B16" s="17" t="s">
        <v>693</v>
      </c>
      <c r="C16" s="6" t="s">
        <v>729</v>
      </c>
      <c r="D16" s="6" t="s">
        <v>729</v>
      </c>
      <c r="E16" s="6" t="s">
        <v>729</v>
      </c>
      <c r="F16" s="6" t="s">
        <v>729</v>
      </c>
      <c r="G16" s="6" t="s">
        <v>729</v>
      </c>
      <c r="H16" s="6" t="s">
        <v>729</v>
      </c>
      <c r="I16" s="6" t="s">
        <v>729</v>
      </c>
      <c r="J16" s="6" t="s">
        <v>729</v>
      </c>
      <c r="K16" s="6" t="s">
        <v>729</v>
      </c>
      <c r="L16" s="6" t="s">
        <v>729</v>
      </c>
      <c r="M16" s="6" t="s">
        <v>729</v>
      </c>
      <c r="N16" s="6" t="s">
        <v>729</v>
      </c>
      <c r="O16" s="6" t="s">
        <v>729</v>
      </c>
      <c r="P16" s="6" t="s">
        <v>729</v>
      </c>
      <c r="Q16" s="6" t="s">
        <v>729</v>
      </c>
      <c r="R16" s="6" t="s">
        <v>729</v>
      </c>
      <c r="S16" s="6" t="s">
        <v>729</v>
      </c>
      <c r="T16" s="6" t="s">
        <v>729</v>
      </c>
      <c r="U16" s="6" t="s">
        <v>729</v>
      </c>
      <c r="V16" s="8" t="s">
        <v>729</v>
      </c>
    </row>
    <row r="17" ht="28" customHeight="1" spans="1:22">
      <c r="A17" s="16"/>
      <c r="B17" s="6" t="s">
        <v>729</v>
      </c>
      <c r="C17" s="6" t="s">
        <v>729</v>
      </c>
      <c r="D17" s="18" t="s">
        <v>1612</v>
      </c>
      <c r="E17" s="6" t="s">
        <v>729</v>
      </c>
      <c r="F17" s="11" t="s">
        <v>752</v>
      </c>
      <c r="G17" s="11" t="s">
        <v>756</v>
      </c>
      <c r="H17" s="11" t="s">
        <v>756</v>
      </c>
      <c r="I17" s="11" t="s">
        <v>756</v>
      </c>
      <c r="J17" s="11" t="s">
        <v>756</v>
      </c>
      <c r="K17" s="11" t="s">
        <v>756</v>
      </c>
      <c r="L17" s="11" t="s">
        <v>756</v>
      </c>
      <c r="M17" s="11" t="s">
        <v>756</v>
      </c>
      <c r="N17" s="11" t="s">
        <v>729</v>
      </c>
      <c r="O17" s="11" t="s">
        <v>729</v>
      </c>
      <c r="P17" s="11" t="s">
        <v>729</v>
      </c>
      <c r="Q17" s="11" t="s">
        <v>729</v>
      </c>
      <c r="R17" s="11" t="s">
        <v>729</v>
      </c>
      <c r="S17" s="11" t="s">
        <v>729</v>
      </c>
      <c r="T17" s="11" t="s">
        <v>729</v>
      </c>
      <c r="U17" s="11" t="s">
        <v>729</v>
      </c>
      <c r="V17" s="12" t="s">
        <v>729</v>
      </c>
    </row>
    <row r="18" ht="65.5" customHeight="1" spans="1:22">
      <c r="A18" s="16"/>
      <c r="B18" s="6" t="s">
        <v>729</v>
      </c>
      <c r="C18" s="6" t="s">
        <v>729</v>
      </c>
      <c r="D18" s="18" t="s">
        <v>1613</v>
      </c>
      <c r="E18" s="6" t="s">
        <v>729</v>
      </c>
      <c r="F18" s="11" t="s">
        <v>756</v>
      </c>
      <c r="G18" s="11" t="s">
        <v>752</v>
      </c>
      <c r="H18" s="11" t="s">
        <v>752</v>
      </c>
      <c r="I18" s="11" t="s">
        <v>752</v>
      </c>
      <c r="J18" s="11" t="s">
        <v>752</v>
      </c>
      <c r="K18" s="11" t="s">
        <v>752</v>
      </c>
      <c r="L18" s="11" t="s">
        <v>752</v>
      </c>
      <c r="M18" s="11" t="s">
        <v>752</v>
      </c>
      <c r="N18" s="11" t="s">
        <v>729</v>
      </c>
      <c r="O18" s="11" t="s">
        <v>729</v>
      </c>
      <c r="P18" s="11" t="s">
        <v>729</v>
      </c>
      <c r="Q18" s="11" t="s">
        <v>729</v>
      </c>
      <c r="R18" s="11" t="s">
        <v>729</v>
      </c>
      <c r="S18" s="11" t="s">
        <v>729</v>
      </c>
      <c r="T18" s="11" t="s">
        <v>729</v>
      </c>
      <c r="U18" s="11" t="s">
        <v>729</v>
      </c>
      <c r="V18" s="12" t="s">
        <v>729</v>
      </c>
    </row>
    <row r="19" ht="18" customHeight="1" spans="1:22">
      <c r="A19" s="19" t="s">
        <v>696</v>
      </c>
      <c r="B19" s="20" t="s">
        <v>765</v>
      </c>
      <c r="C19" s="20"/>
      <c r="D19" s="20"/>
      <c r="E19" s="6" t="s">
        <v>729</v>
      </c>
      <c r="F19" s="11" t="s">
        <v>670</v>
      </c>
      <c r="G19" s="11" t="s">
        <v>63</v>
      </c>
      <c r="H19" s="11" t="s">
        <v>63</v>
      </c>
      <c r="I19" s="11" t="s">
        <v>63</v>
      </c>
      <c r="J19" s="11" t="s">
        <v>63</v>
      </c>
      <c r="K19" s="11" t="s">
        <v>63</v>
      </c>
      <c r="L19" s="11" t="s">
        <v>63</v>
      </c>
      <c r="M19" s="11" t="s">
        <v>63</v>
      </c>
      <c r="N19" s="11" t="s">
        <v>729</v>
      </c>
      <c r="O19" s="11" t="s">
        <v>729</v>
      </c>
      <c r="P19" s="11" t="s">
        <v>729</v>
      </c>
      <c r="Q19" s="11" t="s">
        <v>729</v>
      </c>
      <c r="R19" s="11" t="s">
        <v>729</v>
      </c>
      <c r="S19" s="11" t="s">
        <v>729</v>
      </c>
      <c r="T19" s="11" t="s">
        <v>729</v>
      </c>
      <c r="U19" s="11" t="s">
        <v>729</v>
      </c>
      <c r="V19" s="12" t="s">
        <v>729</v>
      </c>
    </row>
    <row r="20" ht="18" customHeight="1" spans="1:22">
      <c r="A20" s="19"/>
      <c r="B20" s="20" t="s">
        <v>698</v>
      </c>
      <c r="C20" s="20"/>
      <c r="D20" s="20"/>
      <c r="E20" s="6" t="s">
        <v>729</v>
      </c>
      <c r="F20" s="11" t="s">
        <v>766</v>
      </c>
      <c r="G20" s="11" t="s">
        <v>766</v>
      </c>
      <c r="H20" s="11" t="s">
        <v>766</v>
      </c>
      <c r="I20" s="11" t="s">
        <v>766</v>
      </c>
      <c r="J20" s="11" t="s">
        <v>766</v>
      </c>
      <c r="K20" s="11" t="s">
        <v>766</v>
      </c>
      <c r="L20" s="11" t="s">
        <v>766</v>
      </c>
      <c r="M20" s="11" t="s">
        <v>766</v>
      </c>
      <c r="N20" s="11" t="s">
        <v>729</v>
      </c>
      <c r="O20" s="11" t="s">
        <v>729</v>
      </c>
      <c r="P20" s="11" t="s">
        <v>729</v>
      </c>
      <c r="Q20" s="11" t="s">
        <v>729</v>
      </c>
      <c r="R20" s="11" t="s">
        <v>729</v>
      </c>
      <c r="S20" s="11" t="s">
        <v>729</v>
      </c>
      <c r="T20" s="11" t="s">
        <v>729</v>
      </c>
      <c r="U20" s="11" t="s">
        <v>729</v>
      </c>
      <c r="V20" s="12" t="s">
        <v>729</v>
      </c>
    </row>
    <row r="21" ht="18" customHeight="1" spans="1:22">
      <c r="A21" s="19"/>
      <c r="B21" s="20" t="s">
        <v>699</v>
      </c>
      <c r="C21" s="20"/>
      <c r="D21" s="20"/>
      <c r="E21" s="6" t="s">
        <v>729</v>
      </c>
      <c r="F21" s="6" t="s">
        <v>729</v>
      </c>
      <c r="G21" s="6" t="s">
        <v>729</v>
      </c>
      <c r="H21" s="6" t="s">
        <v>729</v>
      </c>
      <c r="I21" s="6" t="s">
        <v>729</v>
      </c>
      <c r="J21" s="6" t="s">
        <v>729</v>
      </c>
      <c r="K21" s="6" t="s">
        <v>729</v>
      </c>
      <c r="L21" s="6" t="s">
        <v>729</v>
      </c>
      <c r="M21" s="6" t="s">
        <v>729</v>
      </c>
      <c r="N21" s="6" t="s">
        <v>729</v>
      </c>
      <c r="O21" s="6" t="s">
        <v>729</v>
      </c>
      <c r="P21" s="6" t="s">
        <v>729</v>
      </c>
      <c r="Q21" s="6" t="s">
        <v>729</v>
      </c>
      <c r="R21" s="6" t="s">
        <v>729</v>
      </c>
      <c r="S21" s="6" t="s">
        <v>729</v>
      </c>
      <c r="T21" s="6" t="s">
        <v>729</v>
      </c>
      <c r="U21" s="6" t="s">
        <v>729</v>
      </c>
      <c r="V21" s="8" t="s">
        <v>729</v>
      </c>
    </row>
    <row r="22" ht="18" customHeight="1" spans="1:22">
      <c r="A22" s="19"/>
      <c r="B22" s="21" t="s">
        <v>700</v>
      </c>
      <c r="C22" s="21"/>
      <c r="D22" s="21"/>
      <c r="E22" s="22" t="s">
        <v>729</v>
      </c>
      <c r="F22" s="22" t="s">
        <v>729</v>
      </c>
      <c r="G22" s="22" t="s">
        <v>729</v>
      </c>
      <c r="H22" s="22" t="s">
        <v>729</v>
      </c>
      <c r="I22" s="22" t="s">
        <v>729</v>
      </c>
      <c r="J22" s="22" t="s">
        <v>729</v>
      </c>
      <c r="K22" s="22" t="s">
        <v>729</v>
      </c>
      <c r="L22" s="22" t="s">
        <v>729</v>
      </c>
      <c r="M22" s="22" t="s">
        <v>729</v>
      </c>
      <c r="N22" s="22" t="s">
        <v>729</v>
      </c>
      <c r="O22" s="22" t="s">
        <v>729</v>
      </c>
      <c r="P22" s="22" t="s">
        <v>729</v>
      </c>
      <c r="Q22" s="22" t="s">
        <v>729</v>
      </c>
      <c r="R22" s="22" t="s">
        <v>729</v>
      </c>
      <c r="S22" s="22" t="s">
        <v>729</v>
      </c>
      <c r="T22" s="22" t="s">
        <v>729</v>
      </c>
      <c r="U22" s="22" t="s">
        <v>729</v>
      </c>
      <c r="V22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9:D19"/>
    <mergeCell ref="B20:D20"/>
    <mergeCell ref="B21:D21"/>
    <mergeCell ref="B22:D22"/>
    <mergeCell ref="A7:A15"/>
    <mergeCell ref="A16:A18"/>
    <mergeCell ref="A19:A22"/>
  </mergeCells>
  <dataValidations count="3">
    <dataValidation type="list" allowBlank="1" sqref="F19:V19">
      <formula1>"N,A,B"</formula1>
    </dataValidation>
    <dataValidation type="list" allowBlank="1" sqref="F20:V20">
      <formula1>"P,F"</formula1>
    </dataValidation>
    <dataValidation type="list" allowBlank="1" sqref="F10:V15 F17:V18 F8:V9">
      <formula1>"O,-"</formula1>
    </dataValidation>
  </dataValidations>
  <pageMargins left="0.7" right="0.7" top="0.75" bottom="0.75" header="0.3" footer="0.3"/>
  <pageSetup paperSize="1" orientation="portrait"/>
  <headerFooter/>
</worksheet>
</file>

<file path=xl/worksheets/sheet1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0"/>
  <sheetViews>
    <sheetView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570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601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1614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4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1</v>
      </c>
      <c r="M5" s="11">
        <v>3</v>
      </c>
      <c r="N5" s="11">
        <v>0</v>
      </c>
      <c r="O5" s="12">
        <v>4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687</v>
      </c>
      <c r="H6" s="14" t="s">
        <v>688</v>
      </c>
      <c r="I6" s="14" t="s">
        <v>689</v>
      </c>
      <c r="J6" s="14" t="s">
        <v>729</v>
      </c>
      <c r="K6" s="14" t="s">
        <v>729</v>
      </c>
      <c r="L6" s="14" t="s">
        <v>729</v>
      </c>
      <c r="M6" s="14" t="s">
        <v>729</v>
      </c>
      <c r="N6" s="14" t="s">
        <v>729</v>
      </c>
      <c r="O6" s="14" t="s">
        <v>729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15.5" customHeight="1" spans="1:22">
      <c r="A7" s="16" t="s">
        <v>690</v>
      </c>
      <c r="B7" s="17" t="s">
        <v>1615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40.5" customHeight="1" spans="1:22">
      <c r="A8" s="16"/>
      <c r="B8" s="6" t="s">
        <v>729</v>
      </c>
      <c r="C8" s="6" t="s">
        <v>729</v>
      </c>
      <c r="D8" s="18" t="s">
        <v>1616</v>
      </c>
      <c r="E8" s="6" t="s">
        <v>729</v>
      </c>
      <c r="F8" s="11" t="s">
        <v>752</v>
      </c>
      <c r="G8" s="11" t="s">
        <v>756</v>
      </c>
      <c r="H8" s="11" t="s">
        <v>756</v>
      </c>
      <c r="I8" s="11" t="s">
        <v>756</v>
      </c>
      <c r="J8" s="11" t="s">
        <v>729</v>
      </c>
      <c r="K8" s="11" t="s">
        <v>729</v>
      </c>
      <c r="L8" s="11" t="s">
        <v>729</v>
      </c>
      <c r="M8" s="11" t="s">
        <v>729</v>
      </c>
      <c r="N8" s="11" t="s">
        <v>729</v>
      </c>
      <c r="O8" s="11" t="s">
        <v>729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28" customHeight="1" spans="1:22">
      <c r="A9" s="16"/>
      <c r="B9" s="6" t="s">
        <v>729</v>
      </c>
      <c r="C9" s="6" t="s">
        <v>729</v>
      </c>
      <c r="D9" s="18" t="s">
        <v>1617</v>
      </c>
      <c r="E9" s="6" t="s">
        <v>729</v>
      </c>
      <c r="F9" s="11" t="s">
        <v>756</v>
      </c>
      <c r="G9" s="11" t="s">
        <v>752</v>
      </c>
      <c r="H9" s="11" t="s">
        <v>756</v>
      </c>
      <c r="I9" s="11" t="s">
        <v>756</v>
      </c>
      <c r="J9" s="11" t="s">
        <v>729</v>
      </c>
      <c r="K9" s="11" t="s">
        <v>729</v>
      </c>
      <c r="L9" s="11" t="s">
        <v>729</v>
      </c>
      <c r="M9" s="11" t="s">
        <v>729</v>
      </c>
      <c r="N9" s="11" t="s">
        <v>729</v>
      </c>
      <c r="O9" s="11" t="s">
        <v>729</v>
      </c>
      <c r="P9" s="11" t="s">
        <v>729</v>
      </c>
      <c r="Q9" s="11" t="s">
        <v>729</v>
      </c>
      <c r="R9" s="11" t="s">
        <v>729</v>
      </c>
      <c r="S9" s="11" t="s">
        <v>729</v>
      </c>
      <c r="T9" s="11" t="s">
        <v>729</v>
      </c>
      <c r="U9" s="11" t="s">
        <v>729</v>
      </c>
      <c r="V9" s="12" t="s">
        <v>729</v>
      </c>
    </row>
    <row r="10" ht="65.5" customHeight="1" spans="1:22">
      <c r="A10" s="16"/>
      <c r="B10" s="6" t="s">
        <v>729</v>
      </c>
      <c r="C10" s="6" t="s">
        <v>729</v>
      </c>
      <c r="D10" s="18" t="s">
        <v>1618</v>
      </c>
      <c r="E10" s="6" t="s">
        <v>729</v>
      </c>
      <c r="F10" s="11" t="s">
        <v>756</v>
      </c>
      <c r="G10" s="11" t="s">
        <v>756</v>
      </c>
      <c r="H10" s="11" t="s">
        <v>752</v>
      </c>
      <c r="I10" s="11" t="s">
        <v>756</v>
      </c>
      <c r="J10" s="11" t="s">
        <v>729</v>
      </c>
      <c r="K10" s="11" t="s">
        <v>729</v>
      </c>
      <c r="L10" s="11" t="s">
        <v>729</v>
      </c>
      <c r="M10" s="11" t="s">
        <v>729</v>
      </c>
      <c r="N10" s="11" t="s">
        <v>729</v>
      </c>
      <c r="O10" s="11" t="s">
        <v>729</v>
      </c>
      <c r="P10" s="11" t="s">
        <v>729</v>
      </c>
      <c r="Q10" s="11" t="s">
        <v>729</v>
      </c>
      <c r="R10" s="11" t="s">
        <v>729</v>
      </c>
      <c r="S10" s="11" t="s">
        <v>729</v>
      </c>
      <c r="T10" s="11" t="s">
        <v>729</v>
      </c>
      <c r="U10" s="11" t="s">
        <v>729</v>
      </c>
      <c r="V10" s="12" t="s">
        <v>729</v>
      </c>
    </row>
    <row r="11" ht="65.5" customHeight="1" spans="1:22">
      <c r="A11" s="16"/>
      <c r="B11" s="6" t="s">
        <v>729</v>
      </c>
      <c r="C11" s="6" t="s">
        <v>729</v>
      </c>
      <c r="D11" s="18" t="s">
        <v>1619</v>
      </c>
      <c r="E11" s="6" t="s">
        <v>729</v>
      </c>
      <c r="F11" s="11" t="s">
        <v>756</v>
      </c>
      <c r="G11" s="11" t="s">
        <v>756</v>
      </c>
      <c r="H11" s="11" t="s">
        <v>756</v>
      </c>
      <c r="I11" s="11" t="s">
        <v>752</v>
      </c>
      <c r="J11" s="11" t="s">
        <v>729</v>
      </c>
      <c r="K11" s="11" t="s">
        <v>729</v>
      </c>
      <c r="L11" s="11" t="s">
        <v>729</v>
      </c>
      <c r="M11" s="11" t="s">
        <v>729</v>
      </c>
      <c r="N11" s="11" t="s">
        <v>729</v>
      </c>
      <c r="O11" s="11" t="s">
        <v>729</v>
      </c>
      <c r="P11" s="11" t="s">
        <v>729</v>
      </c>
      <c r="Q11" s="11" t="s">
        <v>729</v>
      </c>
      <c r="R11" s="11" t="s">
        <v>729</v>
      </c>
      <c r="S11" s="11" t="s">
        <v>729</v>
      </c>
      <c r="T11" s="11" t="s">
        <v>729</v>
      </c>
      <c r="U11" s="11" t="s">
        <v>729</v>
      </c>
      <c r="V11" s="12" t="s">
        <v>729</v>
      </c>
    </row>
    <row r="12" ht="15.5" customHeight="1" spans="1:22">
      <c r="A12" s="16" t="s">
        <v>692</v>
      </c>
      <c r="B12" s="17" t="s">
        <v>693</v>
      </c>
      <c r="C12" s="6" t="s">
        <v>729</v>
      </c>
      <c r="D12" s="6" t="s">
        <v>729</v>
      </c>
      <c r="E12" s="6" t="s">
        <v>729</v>
      </c>
      <c r="F12" s="6" t="s">
        <v>729</v>
      </c>
      <c r="G12" s="6" t="s">
        <v>729</v>
      </c>
      <c r="H12" s="6" t="s">
        <v>729</v>
      </c>
      <c r="I12" s="6" t="s">
        <v>729</v>
      </c>
      <c r="J12" s="6" t="s">
        <v>729</v>
      </c>
      <c r="K12" s="6" t="s">
        <v>729</v>
      </c>
      <c r="L12" s="6" t="s">
        <v>729</v>
      </c>
      <c r="M12" s="6" t="s">
        <v>729</v>
      </c>
      <c r="N12" s="6" t="s">
        <v>729</v>
      </c>
      <c r="O12" s="6" t="s">
        <v>729</v>
      </c>
      <c r="P12" s="6" t="s">
        <v>729</v>
      </c>
      <c r="Q12" s="6" t="s">
        <v>729</v>
      </c>
      <c r="R12" s="6" t="s">
        <v>729</v>
      </c>
      <c r="S12" s="6" t="s">
        <v>729</v>
      </c>
      <c r="T12" s="6" t="s">
        <v>729</v>
      </c>
      <c r="U12" s="6" t="s">
        <v>729</v>
      </c>
      <c r="V12" s="8" t="s">
        <v>729</v>
      </c>
    </row>
    <row r="13" ht="28" customHeight="1" spans="1:22">
      <c r="A13" s="16"/>
      <c r="B13" s="6" t="s">
        <v>729</v>
      </c>
      <c r="C13" s="6" t="s">
        <v>729</v>
      </c>
      <c r="D13" s="18" t="s">
        <v>1620</v>
      </c>
      <c r="E13" s="6" t="s">
        <v>729</v>
      </c>
      <c r="F13" s="11" t="s">
        <v>752</v>
      </c>
      <c r="G13" s="11" t="s">
        <v>756</v>
      </c>
      <c r="H13" s="11" t="s">
        <v>756</v>
      </c>
      <c r="I13" s="11" t="s">
        <v>756</v>
      </c>
      <c r="J13" s="11" t="s">
        <v>729</v>
      </c>
      <c r="K13" s="11" t="s">
        <v>729</v>
      </c>
      <c r="L13" s="11" t="s">
        <v>729</v>
      </c>
      <c r="M13" s="11" t="s">
        <v>729</v>
      </c>
      <c r="N13" s="11" t="s">
        <v>729</v>
      </c>
      <c r="O13" s="11" t="s">
        <v>729</v>
      </c>
      <c r="P13" s="11" t="s">
        <v>729</v>
      </c>
      <c r="Q13" s="11" t="s">
        <v>729</v>
      </c>
      <c r="R13" s="11" t="s">
        <v>729</v>
      </c>
      <c r="S13" s="11" t="s">
        <v>729</v>
      </c>
      <c r="T13" s="11" t="s">
        <v>729</v>
      </c>
      <c r="U13" s="11" t="s">
        <v>729</v>
      </c>
      <c r="V13" s="12" t="s">
        <v>729</v>
      </c>
    </row>
    <row r="14" ht="40.5" customHeight="1" spans="1:22">
      <c r="A14" s="16"/>
      <c r="B14" s="6" t="s">
        <v>729</v>
      </c>
      <c r="C14" s="6" t="s">
        <v>729</v>
      </c>
      <c r="D14" s="18" t="s">
        <v>1621</v>
      </c>
      <c r="E14" s="6" t="s">
        <v>729</v>
      </c>
      <c r="F14" s="11" t="s">
        <v>756</v>
      </c>
      <c r="G14" s="11" t="s">
        <v>752</v>
      </c>
      <c r="H14" s="11" t="s">
        <v>756</v>
      </c>
      <c r="I14" s="11" t="s">
        <v>756</v>
      </c>
      <c r="J14" s="11" t="s">
        <v>729</v>
      </c>
      <c r="K14" s="11" t="s">
        <v>729</v>
      </c>
      <c r="L14" s="11" t="s">
        <v>729</v>
      </c>
      <c r="M14" s="11" t="s">
        <v>729</v>
      </c>
      <c r="N14" s="11" t="s">
        <v>729</v>
      </c>
      <c r="O14" s="11" t="s">
        <v>729</v>
      </c>
      <c r="P14" s="11" t="s">
        <v>729</v>
      </c>
      <c r="Q14" s="11" t="s">
        <v>729</v>
      </c>
      <c r="R14" s="11" t="s">
        <v>729</v>
      </c>
      <c r="S14" s="11" t="s">
        <v>729</v>
      </c>
      <c r="T14" s="11" t="s">
        <v>729</v>
      </c>
      <c r="U14" s="11" t="s">
        <v>729</v>
      </c>
      <c r="V14" s="12" t="s">
        <v>729</v>
      </c>
    </row>
    <row r="15" ht="78" customHeight="1" spans="1:22">
      <c r="A15" s="16"/>
      <c r="B15" s="6" t="s">
        <v>729</v>
      </c>
      <c r="C15" s="6" t="s">
        <v>729</v>
      </c>
      <c r="D15" s="18" t="s">
        <v>1622</v>
      </c>
      <c r="E15" s="6" t="s">
        <v>729</v>
      </c>
      <c r="F15" s="11" t="s">
        <v>756</v>
      </c>
      <c r="G15" s="11" t="s">
        <v>756</v>
      </c>
      <c r="H15" s="11" t="s">
        <v>752</v>
      </c>
      <c r="I15" s="11" t="s">
        <v>756</v>
      </c>
      <c r="J15" s="11" t="s">
        <v>729</v>
      </c>
      <c r="K15" s="11" t="s">
        <v>729</v>
      </c>
      <c r="L15" s="11" t="s">
        <v>729</v>
      </c>
      <c r="M15" s="11" t="s">
        <v>729</v>
      </c>
      <c r="N15" s="11" t="s">
        <v>729</v>
      </c>
      <c r="O15" s="11" t="s">
        <v>729</v>
      </c>
      <c r="P15" s="11" t="s">
        <v>729</v>
      </c>
      <c r="Q15" s="11" t="s">
        <v>729</v>
      </c>
      <c r="R15" s="11" t="s">
        <v>729</v>
      </c>
      <c r="S15" s="11" t="s">
        <v>729</v>
      </c>
      <c r="T15" s="11" t="s">
        <v>729</v>
      </c>
      <c r="U15" s="11" t="s">
        <v>729</v>
      </c>
      <c r="V15" s="12" t="s">
        <v>729</v>
      </c>
    </row>
    <row r="16" ht="90.5" customHeight="1" spans="1:22">
      <c r="A16" s="16"/>
      <c r="B16" s="6" t="s">
        <v>729</v>
      </c>
      <c r="C16" s="6" t="s">
        <v>729</v>
      </c>
      <c r="D16" s="18" t="s">
        <v>1623</v>
      </c>
      <c r="E16" s="6" t="s">
        <v>729</v>
      </c>
      <c r="F16" s="11" t="s">
        <v>756</v>
      </c>
      <c r="G16" s="11" t="s">
        <v>756</v>
      </c>
      <c r="H16" s="11" t="s">
        <v>756</v>
      </c>
      <c r="I16" s="11" t="s">
        <v>752</v>
      </c>
      <c r="J16" s="11" t="s">
        <v>729</v>
      </c>
      <c r="K16" s="11" t="s">
        <v>729</v>
      </c>
      <c r="L16" s="11" t="s">
        <v>729</v>
      </c>
      <c r="M16" s="11" t="s">
        <v>729</v>
      </c>
      <c r="N16" s="11" t="s">
        <v>729</v>
      </c>
      <c r="O16" s="11" t="s">
        <v>729</v>
      </c>
      <c r="P16" s="11" t="s">
        <v>729</v>
      </c>
      <c r="Q16" s="11" t="s">
        <v>729</v>
      </c>
      <c r="R16" s="11" t="s">
        <v>729</v>
      </c>
      <c r="S16" s="11" t="s">
        <v>729</v>
      </c>
      <c r="T16" s="11" t="s">
        <v>729</v>
      </c>
      <c r="U16" s="11" t="s">
        <v>729</v>
      </c>
      <c r="V16" s="12" t="s">
        <v>729</v>
      </c>
    </row>
    <row r="17" ht="18" customHeight="1" spans="1:22">
      <c r="A17" s="19" t="s">
        <v>696</v>
      </c>
      <c r="B17" s="20" t="s">
        <v>765</v>
      </c>
      <c r="C17" s="20"/>
      <c r="D17" s="20"/>
      <c r="E17" s="6" t="s">
        <v>729</v>
      </c>
      <c r="F17" s="11" t="s">
        <v>670</v>
      </c>
      <c r="G17" s="11" t="s">
        <v>63</v>
      </c>
      <c r="H17" s="11" t="s">
        <v>63</v>
      </c>
      <c r="I17" s="11" t="s">
        <v>63</v>
      </c>
      <c r="J17" s="11" t="s">
        <v>729</v>
      </c>
      <c r="K17" s="11" t="s">
        <v>729</v>
      </c>
      <c r="L17" s="11" t="s">
        <v>729</v>
      </c>
      <c r="M17" s="11" t="s">
        <v>729</v>
      </c>
      <c r="N17" s="11" t="s">
        <v>729</v>
      </c>
      <c r="O17" s="11" t="s">
        <v>729</v>
      </c>
      <c r="P17" s="11" t="s">
        <v>729</v>
      </c>
      <c r="Q17" s="11" t="s">
        <v>729</v>
      </c>
      <c r="R17" s="11" t="s">
        <v>729</v>
      </c>
      <c r="S17" s="11" t="s">
        <v>729</v>
      </c>
      <c r="T17" s="11" t="s">
        <v>729</v>
      </c>
      <c r="U17" s="11" t="s">
        <v>729</v>
      </c>
      <c r="V17" s="12" t="s">
        <v>729</v>
      </c>
    </row>
    <row r="18" ht="18" customHeight="1" spans="1:22">
      <c r="A18" s="19"/>
      <c r="B18" s="20" t="s">
        <v>698</v>
      </c>
      <c r="C18" s="20"/>
      <c r="D18" s="20"/>
      <c r="E18" s="6" t="s">
        <v>729</v>
      </c>
      <c r="F18" s="11" t="s">
        <v>766</v>
      </c>
      <c r="G18" s="11" t="s">
        <v>766</v>
      </c>
      <c r="H18" s="11" t="s">
        <v>766</v>
      </c>
      <c r="I18" s="11" t="s">
        <v>766</v>
      </c>
      <c r="J18" s="11" t="s">
        <v>729</v>
      </c>
      <c r="K18" s="11" t="s">
        <v>729</v>
      </c>
      <c r="L18" s="11" t="s">
        <v>729</v>
      </c>
      <c r="M18" s="11" t="s">
        <v>729</v>
      </c>
      <c r="N18" s="11" t="s">
        <v>729</v>
      </c>
      <c r="O18" s="11" t="s">
        <v>729</v>
      </c>
      <c r="P18" s="11" t="s">
        <v>729</v>
      </c>
      <c r="Q18" s="11" t="s">
        <v>729</v>
      </c>
      <c r="R18" s="11" t="s">
        <v>729</v>
      </c>
      <c r="S18" s="11" t="s">
        <v>729</v>
      </c>
      <c r="T18" s="11" t="s">
        <v>729</v>
      </c>
      <c r="U18" s="11" t="s">
        <v>729</v>
      </c>
      <c r="V18" s="12" t="s">
        <v>729</v>
      </c>
    </row>
    <row r="19" ht="18" customHeight="1" spans="1:22">
      <c r="A19" s="19"/>
      <c r="B19" s="20" t="s">
        <v>699</v>
      </c>
      <c r="C19" s="20"/>
      <c r="D19" s="20"/>
      <c r="E19" s="6" t="s">
        <v>729</v>
      </c>
      <c r="F19" s="6" t="s">
        <v>729</v>
      </c>
      <c r="G19" s="6" t="s">
        <v>729</v>
      </c>
      <c r="H19" s="6" t="s">
        <v>729</v>
      </c>
      <c r="I19" s="6" t="s">
        <v>729</v>
      </c>
      <c r="J19" s="6" t="s">
        <v>729</v>
      </c>
      <c r="K19" s="6" t="s">
        <v>729</v>
      </c>
      <c r="L19" s="6" t="s">
        <v>729</v>
      </c>
      <c r="M19" s="6" t="s">
        <v>729</v>
      </c>
      <c r="N19" s="6" t="s">
        <v>729</v>
      </c>
      <c r="O19" s="6" t="s">
        <v>729</v>
      </c>
      <c r="P19" s="6" t="s">
        <v>729</v>
      </c>
      <c r="Q19" s="6" t="s">
        <v>729</v>
      </c>
      <c r="R19" s="6" t="s">
        <v>729</v>
      </c>
      <c r="S19" s="6" t="s">
        <v>729</v>
      </c>
      <c r="T19" s="6" t="s">
        <v>729</v>
      </c>
      <c r="U19" s="6" t="s">
        <v>729</v>
      </c>
      <c r="V19" s="8" t="s">
        <v>729</v>
      </c>
    </row>
    <row r="20" ht="18" customHeight="1" spans="1:22">
      <c r="A20" s="19"/>
      <c r="B20" s="21" t="s">
        <v>700</v>
      </c>
      <c r="C20" s="21"/>
      <c r="D20" s="21"/>
      <c r="E20" s="22" t="s">
        <v>729</v>
      </c>
      <c r="F20" s="22" t="s">
        <v>729</v>
      </c>
      <c r="G20" s="22" t="s">
        <v>729</v>
      </c>
      <c r="H20" s="22" t="s">
        <v>729</v>
      </c>
      <c r="I20" s="22" t="s">
        <v>729</v>
      </c>
      <c r="J20" s="22" t="s">
        <v>729</v>
      </c>
      <c r="K20" s="22" t="s">
        <v>729</v>
      </c>
      <c r="L20" s="22" t="s">
        <v>729</v>
      </c>
      <c r="M20" s="22" t="s">
        <v>729</v>
      </c>
      <c r="N20" s="22" t="s">
        <v>729</v>
      </c>
      <c r="O20" s="22" t="s">
        <v>729</v>
      </c>
      <c r="P20" s="22" t="s">
        <v>729</v>
      </c>
      <c r="Q20" s="22" t="s">
        <v>729</v>
      </c>
      <c r="R20" s="22" t="s">
        <v>729</v>
      </c>
      <c r="S20" s="22" t="s">
        <v>729</v>
      </c>
      <c r="T20" s="22" t="s">
        <v>729</v>
      </c>
      <c r="U20" s="22" t="s">
        <v>729</v>
      </c>
      <c r="V20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7:D17"/>
    <mergeCell ref="B18:D18"/>
    <mergeCell ref="B19:D19"/>
    <mergeCell ref="B20:D20"/>
    <mergeCell ref="A7:A11"/>
    <mergeCell ref="A12:A16"/>
    <mergeCell ref="A17:A20"/>
  </mergeCells>
  <dataValidations count="3">
    <dataValidation type="list" allowBlank="1" sqref="F17:V17">
      <formula1>"N,A,B"</formula1>
    </dataValidation>
    <dataValidation type="list" allowBlank="1" sqref="F18:V18">
      <formula1>"P,F"</formula1>
    </dataValidation>
    <dataValidation type="list" allowBlank="1" sqref="F8:V9 F10:V11 F13:V16">
      <formula1>"O,-"</formula1>
    </dataValidation>
  </dataValidations>
  <pageMargins left="0.7" right="0.7" top="0.75" bottom="0.75" header="0.3" footer="0.3"/>
  <pageSetup paperSize="1" orientation="portrait"/>
  <headerFooter/>
</worksheet>
</file>

<file path=xl/worksheets/sheet1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9"/>
  <sheetViews>
    <sheetView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570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606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1624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4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1</v>
      </c>
      <c r="M5" s="11">
        <v>1</v>
      </c>
      <c r="N5" s="11">
        <v>2</v>
      </c>
      <c r="O5" s="12">
        <v>4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687</v>
      </c>
      <c r="H6" s="14" t="s">
        <v>688</v>
      </c>
      <c r="I6" s="14" t="s">
        <v>689</v>
      </c>
      <c r="J6" s="14" t="s">
        <v>729</v>
      </c>
      <c r="K6" s="14" t="s">
        <v>729</v>
      </c>
      <c r="L6" s="14" t="s">
        <v>729</v>
      </c>
      <c r="M6" s="14" t="s">
        <v>729</v>
      </c>
      <c r="N6" s="14" t="s">
        <v>729</v>
      </c>
      <c r="O6" s="14" t="s">
        <v>729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15.5" customHeight="1" spans="1:22">
      <c r="A7" s="16" t="s">
        <v>690</v>
      </c>
      <c r="B7" s="17" t="s">
        <v>1557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53" customHeight="1" spans="1:22">
      <c r="A8" s="16"/>
      <c r="B8" s="6" t="s">
        <v>729</v>
      </c>
      <c r="C8" s="6" t="s">
        <v>729</v>
      </c>
      <c r="D8" s="18" t="s">
        <v>1625</v>
      </c>
      <c r="E8" s="6" t="s">
        <v>729</v>
      </c>
      <c r="F8" s="11" t="s">
        <v>752</v>
      </c>
      <c r="G8" s="11" t="s">
        <v>756</v>
      </c>
      <c r="H8" s="11" t="s">
        <v>756</v>
      </c>
      <c r="I8" s="11" t="s">
        <v>756</v>
      </c>
      <c r="J8" s="11" t="s">
        <v>729</v>
      </c>
      <c r="K8" s="11" t="s">
        <v>729</v>
      </c>
      <c r="L8" s="11" t="s">
        <v>729</v>
      </c>
      <c r="M8" s="11" t="s">
        <v>729</v>
      </c>
      <c r="N8" s="11" t="s">
        <v>729</v>
      </c>
      <c r="O8" s="11" t="s">
        <v>729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53" customHeight="1" spans="1:22">
      <c r="A9" s="16"/>
      <c r="B9" s="6" t="s">
        <v>729</v>
      </c>
      <c r="C9" s="6" t="s">
        <v>729</v>
      </c>
      <c r="D9" s="18" t="s">
        <v>1626</v>
      </c>
      <c r="E9" s="6" t="s">
        <v>729</v>
      </c>
      <c r="F9" s="11" t="s">
        <v>756</v>
      </c>
      <c r="G9" s="11" t="s">
        <v>752</v>
      </c>
      <c r="H9" s="11" t="s">
        <v>756</v>
      </c>
      <c r="I9" s="11" t="s">
        <v>756</v>
      </c>
      <c r="J9" s="11" t="s">
        <v>729</v>
      </c>
      <c r="K9" s="11" t="s">
        <v>729</v>
      </c>
      <c r="L9" s="11" t="s">
        <v>729</v>
      </c>
      <c r="M9" s="11" t="s">
        <v>729</v>
      </c>
      <c r="N9" s="11" t="s">
        <v>729</v>
      </c>
      <c r="O9" s="11" t="s">
        <v>729</v>
      </c>
      <c r="P9" s="11" t="s">
        <v>729</v>
      </c>
      <c r="Q9" s="11" t="s">
        <v>729</v>
      </c>
      <c r="R9" s="11" t="s">
        <v>729</v>
      </c>
      <c r="S9" s="11" t="s">
        <v>729</v>
      </c>
      <c r="T9" s="11" t="s">
        <v>729</v>
      </c>
      <c r="U9" s="11" t="s">
        <v>729</v>
      </c>
      <c r="V9" s="12" t="s">
        <v>729</v>
      </c>
    </row>
    <row r="10" ht="53" customHeight="1" spans="1:22">
      <c r="A10" s="16"/>
      <c r="B10" s="6" t="s">
        <v>729</v>
      </c>
      <c r="C10" s="6" t="s">
        <v>729</v>
      </c>
      <c r="D10" s="18" t="s">
        <v>1627</v>
      </c>
      <c r="E10" s="6" t="s">
        <v>729</v>
      </c>
      <c r="F10" s="11" t="s">
        <v>756</v>
      </c>
      <c r="G10" s="11" t="s">
        <v>756</v>
      </c>
      <c r="H10" s="11" t="s">
        <v>752</v>
      </c>
      <c r="I10" s="11" t="s">
        <v>756</v>
      </c>
      <c r="J10" s="11" t="s">
        <v>729</v>
      </c>
      <c r="K10" s="11" t="s">
        <v>729</v>
      </c>
      <c r="L10" s="11" t="s">
        <v>729</v>
      </c>
      <c r="M10" s="11" t="s">
        <v>729</v>
      </c>
      <c r="N10" s="11" t="s">
        <v>729</v>
      </c>
      <c r="O10" s="11" t="s">
        <v>729</v>
      </c>
      <c r="P10" s="11" t="s">
        <v>729</v>
      </c>
      <c r="Q10" s="11" t="s">
        <v>729</v>
      </c>
      <c r="R10" s="11" t="s">
        <v>729</v>
      </c>
      <c r="S10" s="11" t="s">
        <v>729</v>
      </c>
      <c r="T10" s="11" t="s">
        <v>729</v>
      </c>
      <c r="U10" s="11" t="s">
        <v>729</v>
      </c>
      <c r="V10" s="12" t="s">
        <v>729</v>
      </c>
    </row>
    <row r="11" ht="28" customHeight="1" spans="1:22">
      <c r="A11" s="16"/>
      <c r="B11" s="6" t="s">
        <v>729</v>
      </c>
      <c r="C11" s="6" t="s">
        <v>729</v>
      </c>
      <c r="D11" s="18" t="s">
        <v>1628</v>
      </c>
      <c r="E11" s="6" t="s">
        <v>729</v>
      </c>
      <c r="F11" s="11" t="s">
        <v>756</v>
      </c>
      <c r="G11" s="11" t="s">
        <v>756</v>
      </c>
      <c r="H11" s="11" t="s">
        <v>756</v>
      </c>
      <c r="I11" s="11" t="s">
        <v>752</v>
      </c>
      <c r="J11" s="11" t="s">
        <v>729</v>
      </c>
      <c r="K11" s="11" t="s">
        <v>729</v>
      </c>
      <c r="L11" s="11" t="s">
        <v>729</v>
      </c>
      <c r="M11" s="11" t="s">
        <v>729</v>
      </c>
      <c r="N11" s="11" t="s">
        <v>729</v>
      </c>
      <c r="O11" s="11" t="s">
        <v>729</v>
      </c>
      <c r="P11" s="11" t="s">
        <v>729</v>
      </c>
      <c r="Q11" s="11" t="s">
        <v>729</v>
      </c>
      <c r="R11" s="11" t="s">
        <v>729</v>
      </c>
      <c r="S11" s="11" t="s">
        <v>729</v>
      </c>
      <c r="T11" s="11" t="s">
        <v>729</v>
      </c>
      <c r="U11" s="11" t="s">
        <v>729</v>
      </c>
      <c r="V11" s="12" t="s">
        <v>729</v>
      </c>
    </row>
    <row r="12" ht="15.5" customHeight="1" spans="1:22">
      <c r="A12" s="16" t="s">
        <v>692</v>
      </c>
      <c r="B12" s="17" t="s">
        <v>693</v>
      </c>
      <c r="C12" s="6" t="s">
        <v>729</v>
      </c>
      <c r="D12" s="6" t="s">
        <v>729</v>
      </c>
      <c r="E12" s="6" t="s">
        <v>729</v>
      </c>
      <c r="F12" s="6" t="s">
        <v>729</v>
      </c>
      <c r="G12" s="6" t="s">
        <v>729</v>
      </c>
      <c r="H12" s="6" t="s">
        <v>729</v>
      </c>
      <c r="I12" s="6" t="s">
        <v>729</v>
      </c>
      <c r="J12" s="6" t="s">
        <v>729</v>
      </c>
      <c r="K12" s="6" t="s">
        <v>729</v>
      </c>
      <c r="L12" s="6" t="s">
        <v>729</v>
      </c>
      <c r="M12" s="6" t="s">
        <v>729</v>
      </c>
      <c r="N12" s="6" t="s">
        <v>729</v>
      </c>
      <c r="O12" s="6" t="s">
        <v>729</v>
      </c>
      <c r="P12" s="6" t="s">
        <v>729</v>
      </c>
      <c r="Q12" s="6" t="s">
        <v>729</v>
      </c>
      <c r="R12" s="6" t="s">
        <v>729</v>
      </c>
      <c r="S12" s="6" t="s">
        <v>729</v>
      </c>
      <c r="T12" s="6" t="s">
        <v>729</v>
      </c>
      <c r="U12" s="6" t="s">
        <v>729</v>
      </c>
      <c r="V12" s="8" t="s">
        <v>729</v>
      </c>
    </row>
    <row r="13" ht="53" customHeight="1" spans="1:22">
      <c r="A13" s="16"/>
      <c r="B13" s="6" t="s">
        <v>729</v>
      </c>
      <c r="C13" s="6" t="s">
        <v>729</v>
      </c>
      <c r="D13" s="18" t="s">
        <v>1629</v>
      </c>
      <c r="E13" s="6" t="s">
        <v>729</v>
      </c>
      <c r="F13" s="11" t="s">
        <v>752</v>
      </c>
      <c r="G13" s="11" t="s">
        <v>752</v>
      </c>
      <c r="H13" s="11" t="s">
        <v>756</v>
      </c>
      <c r="I13" s="11" t="s">
        <v>756</v>
      </c>
      <c r="J13" s="11" t="s">
        <v>729</v>
      </c>
      <c r="K13" s="11" t="s">
        <v>729</v>
      </c>
      <c r="L13" s="11" t="s">
        <v>729</v>
      </c>
      <c r="M13" s="11" t="s">
        <v>729</v>
      </c>
      <c r="N13" s="11" t="s">
        <v>729</v>
      </c>
      <c r="O13" s="11" t="s">
        <v>729</v>
      </c>
      <c r="P13" s="11" t="s">
        <v>729</v>
      </c>
      <c r="Q13" s="11" t="s">
        <v>729</v>
      </c>
      <c r="R13" s="11" t="s">
        <v>729</v>
      </c>
      <c r="S13" s="11" t="s">
        <v>729</v>
      </c>
      <c r="T13" s="11" t="s">
        <v>729</v>
      </c>
      <c r="U13" s="11" t="s">
        <v>729</v>
      </c>
      <c r="V13" s="12" t="s">
        <v>729</v>
      </c>
    </row>
    <row r="14" ht="40.5" customHeight="1" spans="1:22">
      <c r="A14" s="16"/>
      <c r="B14" s="6" t="s">
        <v>729</v>
      </c>
      <c r="C14" s="6" t="s">
        <v>729</v>
      </c>
      <c r="D14" s="18" t="s">
        <v>1630</v>
      </c>
      <c r="E14" s="6" t="s">
        <v>729</v>
      </c>
      <c r="F14" s="11" t="s">
        <v>756</v>
      </c>
      <c r="G14" s="11" t="s">
        <v>756</v>
      </c>
      <c r="H14" s="11" t="s">
        <v>752</v>
      </c>
      <c r="I14" s="11" t="s">
        <v>756</v>
      </c>
      <c r="J14" s="11" t="s">
        <v>729</v>
      </c>
      <c r="K14" s="11" t="s">
        <v>729</v>
      </c>
      <c r="L14" s="11" t="s">
        <v>729</v>
      </c>
      <c r="M14" s="11" t="s">
        <v>729</v>
      </c>
      <c r="N14" s="11" t="s">
        <v>729</v>
      </c>
      <c r="O14" s="11" t="s">
        <v>729</v>
      </c>
      <c r="P14" s="11" t="s">
        <v>729</v>
      </c>
      <c r="Q14" s="11" t="s">
        <v>729</v>
      </c>
      <c r="R14" s="11" t="s">
        <v>729</v>
      </c>
      <c r="S14" s="11" t="s">
        <v>729</v>
      </c>
      <c r="T14" s="11" t="s">
        <v>729</v>
      </c>
      <c r="U14" s="11" t="s">
        <v>729</v>
      </c>
      <c r="V14" s="12" t="s">
        <v>729</v>
      </c>
    </row>
    <row r="15" ht="90.5" customHeight="1" spans="1:22">
      <c r="A15" s="16"/>
      <c r="B15" s="6" t="s">
        <v>729</v>
      </c>
      <c r="C15" s="6" t="s">
        <v>729</v>
      </c>
      <c r="D15" s="18" t="s">
        <v>1631</v>
      </c>
      <c r="E15" s="6" t="s">
        <v>729</v>
      </c>
      <c r="F15" s="11" t="s">
        <v>756</v>
      </c>
      <c r="G15" s="11" t="s">
        <v>756</v>
      </c>
      <c r="H15" s="11" t="s">
        <v>756</v>
      </c>
      <c r="I15" s="11" t="s">
        <v>752</v>
      </c>
      <c r="J15" s="11" t="s">
        <v>729</v>
      </c>
      <c r="K15" s="11" t="s">
        <v>729</v>
      </c>
      <c r="L15" s="11" t="s">
        <v>729</v>
      </c>
      <c r="M15" s="11" t="s">
        <v>729</v>
      </c>
      <c r="N15" s="11" t="s">
        <v>729</v>
      </c>
      <c r="O15" s="11" t="s">
        <v>729</v>
      </c>
      <c r="P15" s="11" t="s">
        <v>729</v>
      </c>
      <c r="Q15" s="11" t="s">
        <v>729</v>
      </c>
      <c r="R15" s="11" t="s">
        <v>729</v>
      </c>
      <c r="S15" s="11" t="s">
        <v>729</v>
      </c>
      <c r="T15" s="11" t="s">
        <v>729</v>
      </c>
      <c r="U15" s="11" t="s">
        <v>729</v>
      </c>
      <c r="V15" s="12" t="s">
        <v>729</v>
      </c>
    </row>
    <row r="16" ht="18" customHeight="1" spans="1:22">
      <c r="A16" s="19" t="s">
        <v>696</v>
      </c>
      <c r="B16" s="20" t="s">
        <v>765</v>
      </c>
      <c r="C16" s="20"/>
      <c r="D16" s="20"/>
      <c r="E16" s="6" t="s">
        <v>729</v>
      </c>
      <c r="F16" s="11" t="s">
        <v>670</v>
      </c>
      <c r="G16" s="11" t="s">
        <v>671</v>
      </c>
      <c r="H16" s="11" t="s">
        <v>63</v>
      </c>
      <c r="I16" s="11" t="s">
        <v>671</v>
      </c>
      <c r="J16" s="11" t="s">
        <v>729</v>
      </c>
      <c r="K16" s="11" t="s">
        <v>729</v>
      </c>
      <c r="L16" s="11" t="s">
        <v>729</v>
      </c>
      <c r="M16" s="11" t="s">
        <v>729</v>
      </c>
      <c r="N16" s="11" t="s">
        <v>729</v>
      </c>
      <c r="O16" s="11" t="s">
        <v>729</v>
      </c>
      <c r="P16" s="11" t="s">
        <v>729</v>
      </c>
      <c r="Q16" s="11" t="s">
        <v>729</v>
      </c>
      <c r="R16" s="11" t="s">
        <v>729</v>
      </c>
      <c r="S16" s="11" t="s">
        <v>729</v>
      </c>
      <c r="T16" s="11" t="s">
        <v>729</v>
      </c>
      <c r="U16" s="11" t="s">
        <v>729</v>
      </c>
      <c r="V16" s="12" t="s">
        <v>729</v>
      </c>
    </row>
    <row r="17" ht="18" customHeight="1" spans="1:22">
      <c r="A17" s="19"/>
      <c r="B17" s="20" t="s">
        <v>698</v>
      </c>
      <c r="C17" s="20"/>
      <c r="D17" s="20"/>
      <c r="E17" s="6" t="s">
        <v>729</v>
      </c>
      <c r="F17" s="11" t="s">
        <v>766</v>
      </c>
      <c r="G17" s="11" t="s">
        <v>766</v>
      </c>
      <c r="H17" s="11" t="s">
        <v>766</v>
      </c>
      <c r="I17" s="11" t="s">
        <v>766</v>
      </c>
      <c r="J17" s="11" t="s">
        <v>729</v>
      </c>
      <c r="K17" s="11" t="s">
        <v>729</v>
      </c>
      <c r="L17" s="11" t="s">
        <v>729</v>
      </c>
      <c r="M17" s="11" t="s">
        <v>729</v>
      </c>
      <c r="N17" s="11" t="s">
        <v>729</v>
      </c>
      <c r="O17" s="11" t="s">
        <v>729</v>
      </c>
      <c r="P17" s="11" t="s">
        <v>729</v>
      </c>
      <c r="Q17" s="11" t="s">
        <v>729</v>
      </c>
      <c r="R17" s="11" t="s">
        <v>729</v>
      </c>
      <c r="S17" s="11" t="s">
        <v>729</v>
      </c>
      <c r="T17" s="11" t="s">
        <v>729</v>
      </c>
      <c r="U17" s="11" t="s">
        <v>729</v>
      </c>
      <c r="V17" s="12" t="s">
        <v>729</v>
      </c>
    </row>
    <row r="18" ht="18" customHeight="1" spans="1:22">
      <c r="A18" s="19"/>
      <c r="B18" s="20" t="s">
        <v>699</v>
      </c>
      <c r="C18" s="20"/>
      <c r="D18" s="20"/>
      <c r="E18" s="6" t="s">
        <v>729</v>
      </c>
      <c r="F18" s="6" t="s">
        <v>729</v>
      </c>
      <c r="G18" s="6" t="s">
        <v>729</v>
      </c>
      <c r="H18" s="6" t="s">
        <v>729</v>
      </c>
      <c r="I18" s="6" t="s">
        <v>729</v>
      </c>
      <c r="J18" s="6" t="s">
        <v>729</v>
      </c>
      <c r="K18" s="6" t="s">
        <v>729</v>
      </c>
      <c r="L18" s="6" t="s">
        <v>729</v>
      </c>
      <c r="M18" s="6" t="s">
        <v>729</v>
      </c>
      <c r="N18" s="6" t="s">
        <v>729</v>
      </c>
      <c r="O18" s="6" t="s">
        <v>729</v>
      </c>
      <c r="P18" s="6" t="s">
        <v>729</v>
      </c>
      <c r="Q18" s="6" t="s">
        <v>729</v>
      </c>
      <c r="R18" s="6" t="s">
        <v>729</v>
      </c>
      <c r="S18" s="6" t="s">
        <v>729</v>
      </c>
      <c r="T18" s="6" t="s">
        <v>729</v>
      </c>
      <c r="U18" s="6" t="s">
        <v>729</v>
      </c>
      <c r="V18" s="8" t="s">
        <v>729</v>
      </c>
    </row>
    <row r="19" ht="18" customHeight="1" spans="1:22">
      <c r="A19" s="19"/>
      <c r="B19" s="21" t="s">
        <v>700</v>
      </c>
      <c r="C19" s="21"/>
      <c r="D19" s="21"/>
      <c r="E19" s="22" t="s">
        <v>729</v>
      </c>
      <c r="F19" s="22" t="s">
        <v>729</v>
      </c>
      <c r="G19" s="22" t="s">
        <v>729</v>
      </c>
      <c r="H19" s="22" t="s">
        <v>729</v>
      </c>
      <c r="I19" s="22" t="s">
        <v>729</v>
      </c>
      <c r="J19" s="22" t="s">
        <v>729</v>
      </c>
      <c r="K19" s="22" t="s">
        <v>729</v>
      </c>
      <c r="L19" s="22" t="s">
        <v>729</v>
      </c>
      <c r="M19" s="22" t="s">
        <v>729</v>
      </c>
      <c r="N19" s="22" t="s">
        <v>729</v>
      </c>
      <c r="O19" s="22" t="s">
        <v>729</v>
      </c>
      <c r="P19" s="22" t="s">
        <v>729</v>
      </c>
      <c r="Q19" s="22" t="s">
        <v>729</v>
      </c>
      <c r="R19" s="22" t="s">
        <v>729</v>
      </c>
      <c r="S19" s="22" t="s">
        <v>729</v>
      </c>
      <c r="T19" s="22" t="s">
        <v>729</v>
      </c>
      <c r="U19" s="22" t="s">
        <v>729</v>
      </c>
      <c r="V19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6:D16"/>
    <mergeCell ref="B17:D17"/>
    <mergeCell ref="B18:D18"/>
    <mergeCell ref="B19:D19"/>
    <mergeCell ref="A7:A11"/>
    <mergeCell ref="A12:A15"/>
    <mergeCell ref="A16:A19"/>
  </mergeCells>
  <dataValidations count="3">
    <dataValidation type="list" allowBlank="1" sqref="F16:V16">
      <formula1>"N,A,B"</formula1>
    </dataValidation>
    <dataValidation type="list" allowBlank="1" sqref="F17:V17">
      <formula1>"P,F"</formula1>
    </dataValidation>
    <dataValidation type="list" allowBlank="1" sqref="F8:V9 F10:V11 F13:V15">
      <formula1>"O,-"</formula1>
    </dataValidation>
  </dataValidations>
  <pageMargins left="0.7" right="0.7" top="0.75" bottom="0.75" header="0.3" footer="0.3"/>
  <pageSetup paperSize="1" orientation="portrait"/>
  <headerFooter/>
</worksheet>
</file>

<file path=xl/worksheets/sheet1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1"/>
  <sheetViews>
    <sheetView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570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611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1632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5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1</v>
      </c>
      <c r="M5" s="11">
        <v>4</v>
      </c>
      <c r="N5" s="11">
        <v>0</v>
      </c>
      <c r="O5" s="12">
        <v>5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687</v>
      </c>
      <c r="H6" s="14" t="s">
        <v>688</v>
      </c>
      <c r="I6" s="14" t="s">
        <v>689</v>
      </c>
      <c r="J6" s="14" t="s">
        <v>863</v>
      </c>
      <c r="K6" s="14" t="s">
        <v>729</v>
      </c>
      <c r="L6" s="14" t="s">
        <v>729</v>
      </c>
      <c r="M6" s="14" t="s">
        <v>729</v>
      </c>
      <c r="N6" s="14" t="s">
        <v>729</v>
      </c>
      <c r="O6" s="14" t="s">
        <v>729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15.5" customHeight="1" spans="1:22">
      <c r="A7" s="16" t="s">
        <v>690</v>
      </c>
      <c r="B7" s="17" t="s">
        <v>1557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40.5" customHeight="1" spans="1:22">
      <c r="A8" s="16"/>
      <c r="B8" s="6" t="s">
        <v>729</v>
      </c>
      <c r="C8" s="6" t="s">
        <v>729</v>
      </c>
      <c r="D8" s="18" t="s">
        <v>1633</v>
      </c>
      <c r="E8" s="6" t="s">
        <v>729</v>
      </c>
      <c r="F8" s="11" t="s">
        <v>752</v>
      </c>
      <c r="G8" s="11" t="s">
        <v>756</v>
      </c>
      <c r="H8" s="11" t="s">
        <v>756</v>
      </c>
      <c r="I8" s="11" t="s">
        <v>756</v>
      </c>
      <c r="J8" s="11" t="s">
        <v>756</v>
      </c>
      <c r="K8" s="11" t="s">
        <v>729</v>
      </c>
      <c r="L8" s="11" t="s">
        <v>729</v>
      </c>
      <c r="M8" s="11" t="s">
        <v>729</v>
      </c>
      <c r="N8" s="11" t="s">
        <v>729</v>
      </c>
      <c r="O8" s="11" t="s">
        <v>729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28" customHeight="1" spans="1:22">
      <c r="A9" s="16"/>
      <c r="B9" s="6" t="s">
        <v>729</v>
      </c>
      <c r="C9" s="6" t="s">
        <v>729</v>
      </c>
      <c r="D9" s="18" t="s">
        <v>1634</v>
      </c>
      <c r="E9" s="6" t="s">
        <v>729</v>
      </c>
      <c r="F9" s="11" t="s">
        <v>756</v>
      </c>
      <c r="G9" s="11" t="s">
        <v>752</v>
      </c>
      <c r="H9" s="11" t="s">
        <v>756</v>
      </c>
      <c r="I9" s="11" t="s">
        <v>756</v>
      </c>
      <c r="J9" s="11" t="s">
        <v>756</v>
      </c>
      <c r="K9" s="11" t="s">
        <v>729</v>
      </c>
      <c r="L9" s="11" t="s">
        <v>729</v>
      </c>
      <c r="M9" s="11" t="s">
        <v>729</v>
      </c>
      <c r="N9" s="11" t="s">
        <v>729</v>
      </c>
      <c r="O9" s="11" t="s">
        <v>729</v>
      </c>
      <c r="P9" s="11" t="s">
        <v>729</v>
      </c>
      <c r="Q9" s="11" t="s">
        <v>729</v>
      </c>
      <c r="R9" s="11" t="s">
        <v>729</v>
      </c>
      <c r="S9" s="11" t="s">
        <v>729</v>
      </c>
      <c r="T9" s="11" t="s">
        <v>729</v>
      </c>
      <c r="U9" s="11" t="s">
        <v>729</v>
      </c>
      <c r="V9" s="12" t="s">
        <v>729</v>
      </c>
    </row>
    <row r="10" ht="28" customHeight="1" spans="1:22">
      <c r="A10" s="16"/>
      <c r="B10" s="6" t="s">
        <v>729</v>
      </c>
      <c r="C10" s="6" t="s">
        <v>729</v>
      </c>
      <c r="D10" s="18" t="s">
        <v>1635</v>
      </c>
      <c r="E10" s="6" t="s">
        <v>729</v>
      </c>
      <c r="F10" s="11" t="s">
        <v>756</v>
      </c>
      <c r="G10" s="11" t="s">
        <v>756</v>
      </c>
      <c r="H10" s="11" t="s">
        <v>752</v>
      </c>
      <c r="I10" s="11" t="s">
        <v>756</v>
      </c>
      <c r="J10" s="11" t="s">
        <v>756</v>
      </c>
      <c r="K10" s="11" t="s">
        <v>729</v>
      </c>
      <c r="L10" s="11" t="s">
        <v>729</v>
      </c>
      <c r="M10" s="11" t="s">
        <v>729</v>
      </c>
      <c r="N10" s="11" t="s">
        <v>729</v>
      </c>
      <c r="O10" s="11" t="s">
        <v>729</v>
      </c>
      <c r="P10" s="11" t="s">
        <v>729</v>
      </c>
      <c r="Q10" s="11" t="s">
        <v>729</v>
      </c>
      <c r="R10" s="11" t="s">
        <v>729</v>
      </c>
      <c r="S10" s="11" t="s">
        <v>729</v>
      </c>
      <c r="T10" s="11" t="s">
        <v>729</v>
      </c>
      <c r="U10" s="11" t="s">
        <v>729</v>
      </c>
      <c r="V10" s="12" t="s">
        <v>729</v>
      </c>
    </row>
    <row r="11" ht="28" customHeight="1" spans="1:22">
      <c r="A11" s="16"/>
      <c r="B11" s="6" t="s">
        <v>729</v>
      </c>
      <c r="C11" s="6" t="s">
        <v>729</v>
      </c>
      <c r="D11" s="18" t="s">
        <v>1636</v>
      </c>
      <c r="E11" s="6" t="s">
        <v>729</v>
      </c>
      <c r="F11" s="11" t="s">
        <v>756</v>
      </c>
      <c r="G11" s="11" t="s">
        <v>756</v>
      </c>
      <c r="H11" s="11" t="s">
        <v>756</v>
      </c>
      <c r="I11" s="11" t="s">
        <v>752</v>
      </c>
      <c r="J11" s="11" t="s">
        <v>756</v>
      </c>
      <c r="K11" s="11" t="s">
        <v>729</v>
      </c>
      <c r="L11" s="11" t="s">
        <v>729</v>
      </c>
      <c r="M11" s="11" t="s">
        <v>729</v>
      </c>
      <c r="N11" s="11" t="s">
        <v>729</v>
      </c>
      <c r="O11" s="11" t="s">
        <v>729</v>
      </c>
      <c r="P11" s="11" t="s">
        <v>729</v>
      </c>
      <c r="Q11" s="11" t="s">
        <v>729</v>
      </c>
      <c r="R11" s="11" t="s">
        <v>729</v>
      </c>
      <c r="S11" s="11" t="s">
        <v>729</v>
      </c>
      <c r="T11" s="11" t="s">
        <v>729</v>
      </c>
      <c r="U11" s="11" t="s">
        <v>729</v>
      </c>
      <c r="V11" s="12" t="s">
        <v>729</v>
      </c>
    </row>
    <row r="12" ht="78" customHeight="1" spans="1:22">
      <c r="A12" s="16"/>
      <c r="B12" s="6" t="s">
        <v>729</v>
      </c>
      <c r="C12" s="6" t="s">
        <v>729</v>
      </c>
      <c r="D12" s="18" t="s">
        <v>1637</v>
      </c>
      <c r="E12" s="6" t="s">
        <v>729</v>
      </c>
      <c r="F12" s="11" t="s">
        <v>756</v>
      </c>
      <c r="G12" s="11" t="s">
        <v>756</v>
      </c>
      <c r="H12" s="11" t="s">
        <v>756</v>
      </c>
      <c r="I12" s="11" t="s">
        <v>756</v>
      </c>
      <c r="J12" s="11" t="s">
        <v>752</v>
      </c>
      <c r="K12" s="11" t="s">
        <v>729</v>
      </c>
      <c r="L12" s="11" t="s">
        <v>729</v>
      </c>
      <c r="M12" s="11" t="s">
        <v>729</v>
      </c>
      <c r="N12" s="11" t="s">
        <v>729</v>
      </c>
      <c r="O12" s="11" t="s">
        <v>729</v>
      </c>
      <c r="P12" s="11" t="s">
        <v>729</v>
      </c>
      <c r="Q12" s="11" t="s">
        <v>729</v>
      </c>
      <c r="R12" s="11" t="s">
        <v>729</v>
      </c>
      <c r="S12" s="11" t="s">
        <v>729</v>
      </c>
      <c r="T12" s="11" t="s">
        <v>729</v>
      </c>
      <c r="U12" s="11" t="s">
        <v>729</v>
      </c>
      <c r="V12" s="12" t="s">
        <v>729</v>
      </c>
    </row>
    <row r="13" ht="15.5" customHeight="1" spans="1:22">
      <c r="A13" s="16" t="s">
        <v>692</v>
      </c>
      <c r="B13" s="17" t="s">
        <v>693</v>
      </c>
      <c r="C13" s="6" t="s">
        <v>729</v>
      </c>
      <c r="D13" s="6" t="s">
        <v>729</v>
      </c>
      <c r="E13" s="6" t="s">
        <v>729</v>
      </c>
      <c r="F13" s="6" t="s">
        <v>729</v>
      </c>
      <c r="G13" s="6" t="s">
        <v>729</v>
      </c>
      <c r="H13" s="6" t="s">
        <v>729</v>
      </c>
      <c r="I13" s="6" t="s">
        <v>729</v>
      </c>
      <c r="J13" s="6" t="s">
        <v>729</v>
      </c>
      <c r="K13" s="6" t="s">
        <v>729</v>
      </c>
      <c r="L13" s="6" t="s">
        <v>729</v>
      </c>
      <c r="M13" s="6" t="s">
        <v>729</v>
      </c>
      <c r="N13" s="6" t="s">
        <v>729</v>
      </c>
      <c r="O13" s="6" t="s">
        <v>729</v>
      </c>
      <c r="P13" s="6" t="s">
        <v>729</v>
      </c>
      <c r="Q13" s="6" t="s">
        <v>729</v>
      </c>
      <c r="R13" s="6" t="s">
        <v>729</v>
      </c>
      <c r="S13" s="6" t="s">
        <v>729</v>
      </c>
      <c r="T13" s="6" t="s">
        <v>729</v>
      </c>
      <c r="U13" s="6" t="s">
        <v>729</v>
      </c>
      <c r="V13" s="8" t="s">
        <v>729</v>
      </c>
    </row>
    <row r="14" ht="28" customHeight="1" spans="1:22">
      <c r="A14" s="16"/>
      <c r="B14" s="6" t="s">
        <v>729</v>
      </c>
      <c r="C14" s="6" t="s">
        <v>729</v>
      </c>
      <c r="D14" s="18" t="s">
        <v>1638</v>
      </c>
      <c r="E14" s="6" t="s">
        <v>729</v>
      </c>
      <c r="F14" s="11" t="s">
        <v>752</v>
      </c>
      <c r="G14" s="11" t="s">
        <v>756</v>
      </c>
      <c r="H14" s="11" t="s">
        <v>756</v>
      </c>
      <c r="I14" s="11" t="s">
        <v>756</v>
      </c>
      <c r="J14" s="11" t="s">
        <v>756</v>
      </c>
      <c r="K14" s="11" t="s">
        <v>729</v>
      </c>
      <c r="L14" s="11" t="s">
        <v>729</v>
      </c>
      <c r="M14" s="11" t="s">
        <v>729</v>
      </c>
      <c r="N14" s="11" t="s">
        <v>729</v>
      </c>
      <c r="O14" s="11" t="s">
        <v>729</v>
      </c>
      <c r="P14" s="11" t="s">
        <v>729</v>
      </c>
      <c r="Q14" s="11" t="s">
        <v>729</v>
      </c>
      <c r="R14" s="11" t="s">
        <v>729</v>
      </c>
      <c r="S14" s="11" t="s">
        <v>729</v>
      </c>
      <c r="T14" s="11" t="s">
        <v>729</v>
      </c>
      <c r="U14" s="11" t="s">
        <v>729</v>
      </c>
      <c r="V14" s="12" t="s">
        <v>729</v>
      </c>
    </row>
    <row r="15" ht="28" customHeight="1" spans="1:22">
      <c r="A15" s="16"/>
      <c r="B15" s="6" t="s">
        <v>729</v>
      </c>
      <c r="C15" s="6" t="s">
        <v>729</v>
      </c>
      <c r="D15" s="18" t="s">
        <v>1639</v>
      </c>
      <c r="E15" s="6" t="s">
        <v>729</v>
      </c>
      <c r="F15" s="11" t="s">
        <v>756</v>
      </c>
      <c r="G15" s="11" t="s">
        <v>752</v>
      </c>
      <c r="H15" s="11" t="s">
        <v>756</v>
      </c>
      <c r="I15" s="11" t="s">
        <v>756</v>
      </c>
      <c r="J15" s="11" t="s">
        <v>756</v>
      </c>
      <c r="K15" s="11" t="s">
        <v>729</v>
      </c>
      <c r="L15" s="11" t="s">
        <v>729</v>
      </c>
      <c r="M15" s="11" t="s">
        <v>729</v>
      </c>
      <c r="N15" s="11" t="s">
        <v>729</v>
      </c>
      <c r="O15" s="11" t="s">
        <v>729</v>
      </c>
      <c r="P15" s="11" t="s">
        <v>729</v>
      </c>
      <c r="Q15" s="11" t="s">
        <v>729</v>
      </c>
      <c r="R15" s="11" t="s">
        <v>729</v>
      </c>
      <c r="S15" s="11" t="s">
        <v>729</v>
      </c>
      <c r="T15" s="11" t="s">
        <v>729</v>
      </c>
      <c r="U15" s="11" t="s">
        <v>729</v>
      </c>
      <c r="V15" s="12" t="s">
        <v>729</v>
      </c>
    </row>
    <row r="16" ht="40.5" customHeight="1" spans="1:22">
      <c r="A16" s="16"/>
      <c r="B16" s="6" t="s">
        <v>729</v>
      </c>
      <c r="C16" s="6" t="s">
        <v>729</v>
      </c>
      <c r="D16" s="18" t="s">
        <v>1640</v>
      </c>
      <c r="E16" s="6" t="s">
        <v>729</v>
      </c>
      <c r="F16" s="11" t="s">
        <v>756</v>
      </c>
      <c r="G16" s="11" t="s">
        <v>756</v>
      </c>
      <c r="H16" s="11" t="s">
        <v>752</v>
      </c>
      <c r="I16" s="11" t="s">
        <v>752</v>
      </c>
      <c r="J16" s="11" t="s">
        <v>756</v>
      </c>
      <c r="K16" s="11" t="s">
        <v>729</v>
      </c>
      <c r="L16" s="11" t="s">
        <v>729</v>
      </c>
      <c r="M16" s="11" t="s">
        <v>729</v>
      </c>
      <c r="N16" s="11" t="s">
        <v>729</v>
      </c>
      <c r="O16" s="11" t="s">
        <v>729</v>
      </c>
      <c r="P16" s="11" t="s">
        <v>729</v>
      </c>
      <c r="Q16" s="11" t="s">
        <v>729</v>
      </c>
      <c r="R16" s="11" t="s">
        <v>729</v>
      </c>
      <c r="S16" s="11" t="s">
        <v>729</v>
      </c>
      <c r="T16" s="11" t="s">
        <v>729</v>
      </c>
      <c r="U16" s="11" t="s">
        <v>729</v>
      </c>
      <c r="V16" s="12" t="s">
        <v>729</v>
      </c>
    </row>
    <row r="17" ht="78" customHeight="1" spans="1:22">
      <c r="A17" s="16"/>
      <c r="B17" s="6" t="s">
        <v>729</v>
      </c>
      <c r="C17" s="6" t="s">
        <v>729</v>
      </c>
      <c r="D17" s="18" t="s">
        <v>1641</v>
      </c>
      <c r="E17" s="6" t="s">
        <v>729</v>
      </c>
      <c r="F17" s="11" t="s">
        <v>756</v>
      </c>
      <c r="G17" s="11" t="s">
        <v>756</v>
      </c>
      <c r="H17" s="11" t="s">
        <v>756</v>
      </c>
      <c r="I17" s="11" t="s">
        <v>756</v>
      </c>
      <c r="J17" s="11" t="s">
        <v>752</v>
      </c>
      <c r="K17" s="11" t="s">
        <v>729</v>
      </c>
      <c r="L17" s="11" t="s">
        <v>729</v>
      </c>
      <c r="M17" s="11" t="s">
        <v>729</v>
      </c>
      <c r="N17" s="11" t="s">
        <v>729</v>
      </c>
      <c r="O17" s="11" t="s">
        <v>729</v>
      </c>
      <c r="P17" s="11" t="s">
        <v>729</v>
      </c>
      <c r="Q17" s="11" t="s">
        <v>729</v>
      </c>
      <c r="R17" s="11" t="s">
        <v>729</v>
      </c>
      <c r="S17" s="11" t="s">
        <v>729</v>
      </c>
      <c r="T17" s="11" t="s">
        <v>729</v>
      </c>
      <c r="U17" s="11" t="s">
        <v>729</v>
      </c>
      <c r="V17" s="12" t="s">
        <v>729</v>
      </c>
    </row>
    <row r="18" ht="18" customHeight="1" spans="1:22">
      <c r="A18" s="19" t="s">
        <v>696</v>
      </c>
      <c r="B18" s="20" t="s">
        <v>765</v>
      </c>
      <c r="C18" s="20"/>
      <c r="D18" s="20"/>
      <c r="E18" s="6" t="s">
        <v>729</v>
      </c>
      <c r="F18" s="11" t="s">
        <v>670</v>
      </c>
      <c r="G18" s="11" t="s">
        <v>63</v>
      </c>
      <c r="H18" s="11" t="s">
        <v>63</v>
      </c>
      <c r="I18" s="11" t="s">
        <v>63</v>
      </c>
      <c r="J18" s="11" t="s">
        <v>63</v>
      </c>
      <c r="K18" s="11" t="s">
        <v>729</v>
      </c>
      <c r="L18" s="11" t="s">
        <v>729</v>
      </c>
      <c r="M18" s="11" t="s">
        <v>729</v>
      </c>
      <c r="N18" s="11" t="s">
        <v>729</v>
      </c>
      <c r="O18" s="11" t="s">
        <v>729</v>
      </c>
      <c r="P18" s="11" t="s">
        <v>729</v>
      </c>
      <c r="Q18" s="11" t="s">
        <v>729</v>
      </c>
      <c r="R18" s="11" t="s">
        <v>729</v>
      </c>
      <c r="S18" s="11" t="s">
        <v>729</v>
      </c>
      <c r="T18" s="11" t="s">
        <v>729</v>
      </c>
      <c r="U18" s="11" t="s">
        <v>729</v>
      </c>
      <c r="V18" s="12" t="s">
        <v>729</v>
      </c>
    </row>
    <row r="19" ht="18" customHeight="1" spans="1:22">
      <c r="A19" s="19"/>
      <c r="B19" s="20" t="s">
        <v>698</v>
      </c>
      <c r="C19" s="20"/>
      <c r="D19" s="20"/>
      <c r="E19" s="6" t="s">
        <v>729</v>
      </c>
      <c r="F19" s="11" t="s">
        <v>766</v>
      </c>
      <c r="G19" s="11" t="s">
        <v>766</v>
      </c>
      <c r="H19" s="11" t="s">
        <v>766</v>
      </c>
      <c r="I19" s="11" t="s">
        <v>766</v>
      </c>
      <c r="J19" s="11" t="s">
        <v>766</v>
      </c>
      <c r="K19" s="11" t="s">
        <v>729</v>
      </c>
      <c r="L19" s="11" t="s">
        <v>729</v>
      </c>
      <c r="M19" s="11" t="s">
        <v>729</v>
      </c>
      <c r="N19" s="11" t="s">
        <v>729</v>
      </c>
      <c r="O19" s="11" t="s">
        <v>729</v>
      </c>
      <c r="P19" s="11" t="s">
        <v>729</v>
      </c>
      <c r="Q19" s="11" t="s">
        <v>729</v>
      </c>
      <c r="R19" s="11" t="s">
        <v>729</v>
      </c>
      <c r="S19" s="11" t="s">
        <v>729</v>
      </c>
      <c r="T19" s="11" t="s">
        <v>729</v>
      </c>
      <c r="U19" s="11" t="s">
        <v>729</v>
      </c>
      <c r="V19" s="12" t="s">
        <v>729</v>
      </c>
    </row>
    <row r="20" ht="18" customHeight="1" spans="1:22">
      <c r="A20" s="19"/>
      <c r="B20" s="20" t="s">
        <v>699</v>
      </c>
      <c r="C20" s="20"/>
      <c r="D20" s="20"/>
      <c r="E20" s="6" t="s">
        <v>729</v>
      </c>
      <c r="F20" s="6" t="s">
        <v>729</v>
      </c>
      <c r="G20" s="6" t="s">
        <v>729</v>
      </c>
      <c r="H20" s="6" t="s">
        <v>729</v>
      </c>
      <c r="I20" s="6" t="s">
        <v>729</v>
      </c>
      <c r="J20" s="6" t="s">
        <v>729</v>
      </c>
      <c r="K20" s="6" t="s">
        <v>729</v>
      </c>
      <c r="L20" s="6" t="s">
        <v>729</v>
      </c>
      <c r="M20" s="6" t="s">
        <v>729</v>
      </c>
      <c r="N20" s="6" t="s">
        <v>729</v>
      </c>
      <c r="O20" s="6" t="s">
        <v>729</v>
      </c>
      <c r="P20" s="6" t="s">
        <v>729</v>
      </c>
      <c r="Q20" s="6" t="s">
        <v>729</v>
      </c>
      <c r="R20" s="6" t="s">
        <v>729</v>
      </c>
      <c r="S20" s="6" t="s">
        <v>729</v>
      </c>
      <c r="T20" s="6" t="s">
        <v>729</v>
      </c>
      <c r="U20" s="6" t="s">
        <v>729</v>
      </c>
      <c r="V20" s="8" t="s">
        <v>729</v>
      </c>
    </row>
    <row r="21" ht="18" customHeight="1" spans="1:22">
      <c r="A21" s="19"/>
      <c r="B21" s="21" t="s">
        <v>700</v>
      </c>
      <c r="C21" s="21"/>
      <c r="D21" s="21"/>
      <c r="E21" s="22" t="s">
        <v>729</v>
      </c>
      <c r="F21" s="22" t="s">
        <v>729</v>
      </c>
      <c r="G21" s="22" t="s">
        <v>729</v>
      </c>
      <c r="H21" s="22" t="s">
        <v>729</v>
      </c>
      <c r="I21" s="22" t="s">
        <v>729</v>
      </c>
      <c r="J21" s="22" t="s">
        <v>729</v>
      </c>
      <c r="K21" s="22" t="s">
        <v>729</v>
      </c>
      <c r="L21" s="22" t="s">
        <v>729</v>
      </c>
      <c r="M21" s="22" t="s">
        <v>729</v>
      </c>
      <c r="N21" s="22" t="s">
        <v>729</v>
      </c>
      <c r="O21" s="22" t="s">
        <v>729</v>
      </c>
      <c r="P21" s="22" t="s">
        <v>729</v>
      </c>
      <c r="Q21" s="22" t="s">
        <v>729</v>
      </c>
      <c r="R21" s="22" t="s">
        <v>729</v>
      </c>
      <c r="S21" s="22" t="s">
        <v>729</v>
      </c>
      <c r="T21" s="22" t="s">
        <v>729</v>
      </c>
      <c r="U21" s="22" t="s">
        <v>729</v>
      </c>
      <c r="V21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8:D18"/>
    <mergeCell ref="B19:D19"/>
    <mergeCell ref="B20:D20"/>
    <mergeCell ref="B21:D21"/>
    <mergeCell ref="A7:A12"/>
    <mergeCell ref="A13:A17"/>
    <mergeCell ref="A18:A21"/>
  </mergeCells>
  <dataValidations count="3">
    <dataValidation type="list" allowBlank="1" sqref="F18:V18">
      <formula1>"N,A,B"</formula1>
    </dataValidation>
    <dataValidation type="list" allowBlank="1" sqref="F19:V19">
      <formula1>"P,F"</formula1>
    </dataValidation>
    <dataValidation type="list" allowBlank="1" sqref="F10:V12 F14:V17 F8:V9">
      <formula1>"O,-"</formula1>
    </dataValidation>
  </dataValidations>
  <pageMargins left="0.7" right="0.7" top="0.75" bottom="0.75" header="0.3" footer="0.3"/>
  <pageSetup paperSize="1" orientation="portrait"/>
  <headerFooter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1"/>
  <sheetViews>
    <sheetView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570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616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28" customHeight="1" spans="1:22">
      <c r="A3" s="5" t="s">
        <v>684</v>
      </c>
      <c r="B3" s="8" t="s">
        <v>1642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4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2</v>
      </c>
      <c r="M5" s="11">
        <v>1</v>
      </c>
      <c r="N5" s="11">
        <v>1</v>
      </c>
      <c r="O5" s="12">
        <v>4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687</v>
      </c>
      <c r="H6" s="14" t="s">
        <v>688</v>
      </c>
      <c r="I6" s="14" t="s">
        <v>689</v>
      </c>
      <c r="J6" s="14" t="s">
        <v>729</v>
      </c>
      <c r="K6" s="14" t="s">
        <v>729</v>
      </c>
      <c r="L6" s="14" t="s">
        <v>729</v>
      </c>
      <c r="M6" s="14" t="s">
        <v>729</v>
      </c>
      <c r="N6" s="14" t="s">
        <v>729</v>
      </c>
      <c r="O6" s="14" t="s">
        <v>729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15.5" customHeight="1" spans="1:22">
      <c r="A7" s="16" t="s">
        <v>690</v>
      </c>
      <c r="B7" s="17" t="s">
        <v>1557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40.5" customHeight="1" spans="1:22">
      <c r="A8" s="16"/>
      <c r="B8" s="6" t="s">
        <v>729</v>
      </c>
      <c r="C8" s="6" t="s">
        <v>729</v>
      </c>
      <c r="D8" s="18" t="s">
        <v>1643</v>
      </c>
      <c r="E8" s="6" t="s">
        <v>729</v>
      </c>
      <c r="F8" s="11" t="s">
        <v>752</v>
      </c>
      <c r="G8" s="11" t="s">
        <v>756</v>
      </c>
      <c r="H8" s="11" t="s">
        <v>756</v>
      </c>
      <c r="I8" s="11" t="s">
        <v>756</v>
      </c>
      <c r="J8" s="11" t="s">
        <v>729</v>
      </c>
      <c r="K8" s="11" t="s">
        <v>729</v>
      </c>
      <c r="L8" s="11" t="s">
        <v>729</v>
      </c>
      <c r="M8" s="11" t="s">
        <v>729</v>
      </c>
      <c r="N8" s="11" t="s">
        <v>729</v>
      </c>
      <c r="O8" s="11" t="s">
        <v>729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65.5" customHeight="1" spans="1:22">
      <c r="A9" s="16"/>
      <c r="B9" s="6" t="s">
        <v>729</v>
      </c>
      <c r="C9" s="6" t="s">
        <v>729</v>
      </c>
      <c r="D9" s="18" t="s">
        <v>1644</v>
      </c>
      <c r="E9" s="6" t="s">
        <v>729</v>
      </c>
      <c r="F9" s="11" t="s">
        <v>756</v>
      </c>
      <c r="G9" s="11" t="s">
        <v>752</v>
      </c>
      <c r="H9" s="11" t="s">
        <v>756</v>
      </c>
      <c r="I9" s="11" t="s">
        <v>756</v>
      </c>
      <c r="J9" s="11" t="s">
        <v>729</v>
      </c>
      <c r="K9" s="11" t="s">
        <v>729</v>
      </c>
      <c r="L9" s="11" t="s">
        <v>729</v>
      </c>
      <c r="M9" s="11" t="s">
        <v>729</v>
      </c>
      <c r="N9" s="11" t="s">
        <v>729</v>
      </c>
      <c r="O9" s="11" t="s">
        <v>729</v>
      </c>
      <c r="P9" s="11" t="s">
        <v>729</v>
      </c>
      <c r="Q9" s="11" t="s">
        <v>729</v>
      </c>
      <c r="R9" s="11" t="s">
        <v>729</v>
      </c>
      <c r="S9" s="11" t="s">
        <v>729</v>
      </c>
      <c r="T9" s="11" t="s">
        <v>729</v>
      </c>
      <c r="U9" s="11" t="s">
        <v>729</v>
      </c>
      <c r="V9" s="12" t="s">
        <v>729</v>
      </c>
    </row>
    <row r="10" ht="53" customHeight="1" spans="1:22">
      <c r="A10" s="16"/>
      <c r="B10" s="6" t="s">
        <v>729</v>
      </c>
      <c r="C10" s="6" t="s">
        <v>729</v>
      </c>
      <c r="D10" s="18" t="s">
        <v>1645</v>
      </c>
      <c r="E10" s="6" t="s">
        <v>729</v>
      </c>
      <c r="F10" s="11" t="s">
        <v>756</v>
      </c>
      <c r="G10" s="11" t="s">
        <v>756</v>
      </c>
      <c r="H10" s="11" t="s">
        <v>752</v>
      </c>
      <c r="I10" s="11" t="s">
        <v>756</v>
      </c>
      <c r="J10" s="11" t="s">
        <v>729</v>
      </c>
      <c r="K10" s="11" t="s">
        <v>729</v>
      </c>
      <c r="L10" s="11" t="s">
        <v>729</v>
      </c>
      <c r="M10" s="11" t="s">
        <v>729</v>
      </c>
      <c r="N10" s="11" t="s">
        <v>729</v>
      </c>
      <c r="O10" s="11" t="s">
        <v>729</v>
      </c>
      <c r="P10" s="11" t="s">
        <v>729</v>
      </c>
      <c r="Q10" s="11" t="s">
        <v>729</v>
      </c>
      <c r="R10" s="11" t="s">
        <v>729</v>
      </c>
      <c r="S10" s="11" t="s">
        <v>729</v>
      </c>
      <c r="T10" s="11" t="s">
        <v>729</v>
      </c>
      <c r="U10" s="11" t="s">
        <v>729</v>
      </c>
      <c r="V10" s="12" t="s">
        <v>729</v>
      </c>
    </row>
    <row r="11" ht="65.5" customHeight="1" spans="1:22">
      <c r="A11" s="16"/>
      <c r="B11" s="6" t="s">
        <v>729</v>
      </c>
      <c r="C11" s="6" t="s">
        <v>729</v>
      </c>
      <c r="D11" s="18" t="s">
        <v>1646</v>
      </c>
      <c r="E11" s="6" t="s">
        <v>729</v>
      </c>
      <c r="F11" s="11" t="s">
        <v>756</v>
      </c>
      <c r="G11" s="11" t="s">
        <v>756</v>
      </c>
      <c r="H11" s="11" t="s">
        <v>756</v>
      </c>
      <c r="I11" s="11" t="s">
        <v>752</v>
      </c>
      <c r="J11" s="11" t="s">
        <v>729</v>
      </c>
      <c r="K11" s="11" t="s">
        <v>729</v>
      </c>
      <c r="L11" s="11" t="s">
        <v>729</v>
      </c>
      <c r="M11" s="11" t="s">
        <v>729</v>
      </c>
      <c r="N11" s="11" t="s">
        <v>729</v>
      </c>
      <c r="O11" s="11" t="s">
        <v>729</v>
      </c>
      <c r="P11" s="11" t="s">
        <v>729</v>
      </c>
      <c r="Q11" s="11" t="s">
        <v>729</v>
      </c>
      <c r="R11" s="11" t="s">
        <v>729</v>
      </c>
      <c r="S11" s="11" t="s">
        <v>729</v>
      </c>
      <c r="T11" s="11" t="s">
        <v>729</v>
      </c>
      <c r="U11" s="11" t="s">
        <v>729</v>
      </c>
      <c r="V11" s="12" t="s">
        <v>729</v>
      </c>
    </row>
    <row r="12" ht="15.5" customHeight="1" spans="1:22">
      <c r="A12" s="16" t="s">
        <v>692</v>
      </c>
      <c r="B12" s="17" t="s">
        <v>693</v>
      </c>
      <c r="C12" s="6" t="s">
        <v>729</v>
      </c>
      <c r="D12" s="6" t="s">
        <v>729</v>
      </c>
      <c r="E12" s="6" t="s">
        <v>729</v>
      </c>
      <c r="F12" s="6" t="s">
        <v>729</v>
      </c>
      <c r="G12" s="6" t="s">
        <v>729</v>
      </c>
      <c r="H12" s="6" t="s">
        <v>729</v>
      </c>
      <c r="I12" s="6" t="s">
        <v>729</v>
      </c>
      <c r="J12" s="6" t="s">
        <v>729</v>
      </c>
      <c r="K12" s="6" t="s">
        <v>729</v>
      </c>
      <c r="L12" s="6" t="s">
        <v>729</v>
      </c>
      <c r="M12" s="6" t="s">
        <v>729</v>
      </c>
      <c r="N12" s="6" t="s">
        <v>729</v>
      </c>
      <c r="O12" s="6" t="s">
        <v>729</v>
      </c>
      <c r="P12" s="6" t="s">
        <v>729</v>
      </c>
      <c r="Q12" s="6" t="s">
        <v>729</v>
      </c>
      <c r="R12" s="6" t="s">
        <v>729</v>
      </c>
      <c r="S12" s="6" t="s">
        <v>729</v>
      </c>
      <c r="T12" s="6" t="s">
        <v>729</v>
      </c>
      <c r="U12" s="6" t="s">
        <v>729</v>
      </c>
      <c r="V12" s="8" t="s">
        <v>729</v>
      </c>
    </row>
    <row r="13" ht="53" customHeight="1" spans="1:22">
      <c r="A13" s="16"/>
      <c r="B13" s="6" t="s">
        <v>729</v>
      </c>
      <c r="C13" s="6" t="s">
        <v>729</v>
      </c>
      <c r="D13" s="18" t="s">
        <v>1647</v>
      </c>
      <c r="E13" s="6" t="s">
        <v>729</v>
      </c>
      <c r="F13" s="11" t="s">
        <v>752</v>
      </c>
      <c r="G13" s="11" t="s">
        <v>756</v>
      </c>
      <c r="H13" s="11" t="s">
        <v>756</v>
      </c>
      <c r="I13" s="11" t="s">
        <v>756</v>
      </c>
      <c r="J13" s="11" t="s">
        <v>729</v>
      </c>
      <c r="K13" s="11" t="s">
        <v>729</v>
      </c>
      <c r="L13" s="11" t="s">
        <v>729</v>
      </c>
      <c r="M13" s="11" t="s">
        <v>729</v>
      </c>
      <c r="N13" s="11" t="s">
        <v>729</v>
      </c>
      <c r="O13" s="11" t="s">
        <v>729</v>
      </c>
      <c r="P13" s="11" t="s">
        <v>729</v>
      </c>
      <c r="Q13" s="11" t="s">
        <v>729</v>
      </c>
      <c r="R13" s="11" t="s">
        <v>729</v>
      </c>
      <c r="S13" s="11" t="s">
        <v>729</v>
      </c>
      <c r="T13" s="11" t="s">
        <v>729</v>
      </c>
      <c r="U13" s="11" t="s">
        <v>729</v>
      </c>
      <c r="V13" s="12" t="s">
        <v>729</v>
      </c>
    </row>
    <row r="14" ht="53" customHeight="1" spans="1:22">
      <c r="A14" s="16"/>
      <c r="B14" s="6" t="s">
        <v>729</v>
      </c>
      <c r="C14" s="6" t="s">
        <v>729</v>
      </c>
      <c r="D14" s="18" t="s">
        <v>1648</v>
      </c>
      <c r="E14" s="6" t="s">
        <v>729</v>
      </c>
      <c r="F14" s="11" t="s">
        <v>756</v>
      </c>
      <c r="G14" s="11" t="s">
        <v>752</v>
      </c>
      <c r="H14" s="11" t="s">
        <v>756</v>
      </c>
      <c r="I14" s="11" t="s">
        <v>756</v>
      </c>
      <c r="J14" s="11" t="s">
        <v>729</v>
      </c>
      <c r="K14" s="11" t="s">
        <v>729</v>
      </c>
      <c r="L14" s="11" t="s">
        <v>729</v>
      </c>
      <c r="M14" s="11" t="s">
        <v>729</v>
      </c>
      <c r="N14" s="11" t="s">
        <v>729</v>
      </c>
      <c r="O14" s="11" t="s">
        <v>729</v>
      </c>
      <c r="P14" s="11" t="s">
        <v>729</v>
      </c>
      <c r="Q14" s="11" t="s">
        <v>729</v>
      </c>
      <c r="R14" s="11" t="s">
        <v>729</v>
      </c>
      <c r="S14" s="11" t="s">
        <v>729</v>
      </c>
      <c r="T14" s="11" t="s">
        <v>729</v>
      </c>
      <c r="U14" s="11" t="s">
        <v>729</v>
      </c>
      <c r="V14" s="12" t="s">
        <v>729</v>
      </c>
    </row>
    <row r="15" ht="53" customHeight="1" spans="1:22">
      <c r="A15" s="16"/>
      <c r="B15" s="6" t="s">
        <v>729</v>
      </c>
      <c r="C15" s="6" t="s">
        <v>729</v>
      </c>
      <c r="D15" s="18" t="s">
        <v>1649</v>
      </c>
      <c r="E15" s="6" t="s">
        <v>729</v>
      </c>
      <c r="F15" s="11" t="s">
        <v>756</v>
      </c>
      <c r="G15" s="11" t="s">
        <v>756</v>
      </c>
      <c r="H15" s="11" t="s">
        <v>752</v>
      </c>
      <c r="I15" s="11" t="s">
        <v>756</v>
      </c>
      <c r="J15" s="11" t="s">
        <v>729</v>
      </c>
      <c r="K15" s="11" t="s">
        <v>729</v>
      </c>
      <c r="L15" s="11" t="s">
        <v>729</v>
      </c>
      <c r="M15" s="11" t="s">
        <v>729</v>
      </c>
      <c r="N15" s="11" t="s">
        <v>729</v>
      </c>
      <c r="O15" s="11" t="s">
        <v>729</v>
      </c>
      <c r="P15" s="11" t="s">
        <v>729</v>
      </c>
      <c r="Q15" s="11" t="s">
        <v>729</v>
      </c>
      <c r="R15" s="11" t="s">
        <v>729</v>
      </c>
      <c r="S15" s="11" t="s">
        <v>729</v>
      </c>
      <c r="T15" s="11" t="s">
        <v>729</v>
      </c>
      <c r="U15" s="11" t="s">
        <v>729</v>
      </c>
      <c r="V15" s="12" t="s">
        <v>729</v>
      </c>
    </row>
    <row r="16" ht="15.5" customHeight="1" spans="1:22">
      <c r="A16" s="16"/>
      <c r="B16" s="17" t="s">
        <v>694</v>
      </c>
      <c r="C16" s="6" t="s">
        <v>729</v>
      </c>
      <c r="D16" s="6" t="s">
        <v>729</v>
      </c>
      <c r="E16" s="6" t="s">
        <v>729</v>
      </c>
      <c r="F16" s="6" t="s">
        <v>729</v>
      </c>
      <c r="G16" s="6" t="s">
        <v>729</v>
      </c>
      <c r="H16" s="6" t="s">
        <v>729</v>
      </c>
      <c r="I16" s="6" t="s">
        <v>729</v>
      </c>
      <c r="J16" s="6" t="s">
        <v>729</v>
      </c>
      <c r="K16" s="6" t="s">
        <v>729</v>
      </c>
      <c r="L16" s="6" t="s">
        <v>729</v>
      </c>
      <c r="M16" s="6" t="s">
        <v>729</v>
      </c>
      <c r="N16" s="6" t="s">
        <v>729</v>
      </c>
      <c r="O16" s="6" t="s">
        <v>729</v>
      </c>
      <c r="P16" s="6" t="s">
        <v>729</v>
      </c>
      <c r="Q16" s="6" t="s">
        <v>729</v>
      </c>
      <c r="R16" s="6" t="s">
        <v>729</v>
      </c>
      <c r="S16" s="6" t="s">
        <v>729</v>
      </c>
      <c r="T16" s="6" t="s">
        <v>729</v>
      </c>
      <c r="U16" s="6" t="s">
        <v>729</v>
      </c>
      <c r="V16" s="8" t="s">
        <v>729</v>
      </c>
    </row>
    <row r="17" ht="90.5" customHeight="1" spans="1:22">
      <c r="A17" s="16"/>
      <c r="B17" s="6" t="s">
        <v>729</v>
      </c>
      <c r="C17" s="6" t="s">
        <v>729</v>
      </c>
      <c r="D17" s="18" t="s">
        <v>1650</v>
      </c>
      <c r="E17" s="6" t="s">
        <v>729</v>
      </c>
      <c r="F17" s="11" t="s">
        <v>756</v>
      </c>
      <c r="G17" s="11" t="s">
        <v>756</v>
      </c>
      <c r="H17" s="11" t="s">
        <v>756</v>
      </c>
      <c r="I17" s="11" t="s">
        <v>752</v>
      </c>
      <c r="J17" s="11" t="s">
        <v>729</v>
      </c>
      <c r="K17" s="11" t="s">
        <v>729</v>
      </c>
      <c r="L17" s="11" t="s">
        <v>729</v>
      </c>
      <c r="M17" s="11" t="s">
        <v>729</v>
      </c>
      <c r="N17" s="11" t="s">
        <v>729</v>
      </c>
      <c r="O17" s="11" t="s">
        <v>729</v>
      </c>
      <c r="P17" s="11" t="s">
        <v>729</v>
      </c>
      <c r="Q17" s="11" t="s">
        <v>729</v>
      </c>
      <c r="R17" s="11" t="s">
        <v>729</v>
      </c>
      <c r="S17" s="11" t="s">
        <v>729</v>
      </c>
      <c r="T17" s="11" t="s">
        <v>729</v>
      </c>
      <c r="U17" s="11" t="s">
        <v>729</v>
      </c>
      <c r="V17" s="12" t="s">
        <v>729</v>
      </c>
    </row>
    <row r="18" ht="18" customHeight="1" spans="1:22">
      <c r="A18" s="19" t="s">
        <v>696</v>
      </c>
      <c r="B18" s="20" t="s">
        <v>765</v>
      </c>
      <c r="C18" s="20"/>
      <c r="D18" s="20"/>
      <c r="E18" s="6" t="s">
        <v>729</v>
      </c>
      <c r="F18" s="11" t="s">
        <v>670</v>
      </c>
      <c r="G18" s="11" t="s">
        <v>670</v>
      </c>
      <c r="H18" s="11" t="s">
        <v>63</v>
      </c>
      <c r="I18" s="11" t="s">
        <v>671</v>
      </c>
      <c r="J18" s="11" t="s">
        <v>729</v>
      </c>
      <c r="K18" s="11" t="s">
        <v>729</v>
      </c>
      <c r="L18" s="11" t="s">
        <v>729</v>
      </c>
      <c r="M18" s="11" t="s">
        <v>729</v>
      </c>
      <c r="N18" s="11" t="s">
        <v>729</v>
      </c>
      <c r="O18" s="11" t="s">
        <v>729</v>
      </c>
      <c r="P18" s="11" t="s">
        <v>729</v>
      </c>
      <c r="Q18" s="11" t="s">
        <v>729</v>
      </c>
      <c r="R18" s="11" t="s">
        <v>729</v>
      </c>
      <c r="S18" s="11" t="s">
        <v>729</v>
      </c>
      <c r="T18" s="11" t="s">
        <v>729</v>
      </c>
      <c r="U18" s="11" t="s">
        <v>729</v>
      </c>
      <c r="V18" s="12" t="s">
        <v>729</v>
      </c>
    </row>
    <row r="19" ht="18" customHeight="1" spans="1:22">
      <c r="A19" s="19"/>
      <c r="B19" s="20" t="s">
        <v>698</v>
      </c>
      <c r="C19" s="20"/>
      <c r="D19" s="20"/>
      <c r="E19" s="6" t="s">
        <v>729</v>
      </c>
      <c r="F19" s="11" t="s">
        <v>766</v>
      </c>
      <c r="G19" s="11" t="s">
        <v>766</v>
      </c>
      <c r="H19" s="11" t="s">
        <v>766</v>
      </c>
      <c r="I19" s="11" t="s">
        <v>766</v>
      </c>
      <c r="J19" s="11" t="s">
        <v>729</v>
      </c>
      <c r="K19" s="11" t="s">
        <v>729</v>
      </c>
      <c r="L19" s="11" t="s">
        <v>729</v>
      </c>
      <c r="M19" s="11" t="s">
        <v>729</v>
      </c>
      <c r="N19" s="11" t="s">
        <v>729</v>
      </c>
      <c r="O19" s="11" t="s">
        <v>729</v>
      </c>
      <c r="P19" s="11" t="s">
        <v>729</v>
      </c>
      <c r="Q19" s="11" t="s">
        <v>729</v>
      </c>
      <c r="R19" s="11" t="s">
        <v>729</v>
      </c>
      <c r="S19" s="11" t="s">
        <v>729</v>
      </c>
      <c r="T19" s="11" t="s">
        <v>729</v>
      </c>
      <c r="U19" s="11" t="s">
        <v>729</v>
      </c>
      <c r="V19" s="12" t="s">
        <v>729</v>
      </c>
    </row>
    <row r="20" ht="18" customHeight="1" spans="1:22">
      <c r="A20" s="19"/>
      <c r="B20" s="20" t="s">
        <v>699</v>
      </c>
      <c r="C20" s="20"/>
      <c r="D20" s="20"/>
      <c r="E20" s="6" t="s">
        <v>729</v>
      </c>
      <c r="F20" s="6" t="s">
        <v>729</v>
      </c>
      <c r="G20" s="6" t="s">
        <v>729</v>
      </c>
      <c r="H20" s="6" t="s">
        <v>729</v>
      </c>
      <c r="I20" s="6" t="s">
        <v>729</v>
      </c>
      <c r="J20" s="6" t="s">
        <v>729</v>
      </c>
      <c r="K20" s="6" t="s">
        <v>729</v>
      </c>
      <c r="L20" s="6" t="s">
        <v>729</v>
      </c>
      <c r="M20" s="6" t="s">
        <v>729</v>
      </c>
      <c r="N20" s="6" t="s">
        <v>729</v>
      </c>
      <c r="O20" s="6" t="s">
        <v>729</v>
      </c>
      <c r="P20" s="6" t="s">
        <v>729</v>
      </c>
      <c r="Q20" s="6" t="s">
        <v>729</v>
      </c>
      <c r="R20" s="6" t="s">
        <v>729</v>
      </c>
      <c r="S20" s="6" t="s">
        <v>729</v>
      </c>
      <c r="T20" s="6" t="s">
        <v>729</v>
      </c>
      <c r="U20" s="6" t="s">
        <v>729</v>
      </c>
      <c r="V20" s="8" t="s">
        <v>729</v>
      </c>
    </row>
    <row r="21" ht="18" customHeight="1" spans="1:22">
      <c r="A21" s="19"/>
      <c r="B21" s="21" t="s">
        <v>700</v>
      </c>
      <c r="C21" s="21"/>
      <c r="D21" s="21"/>
      <c r="E21" s="22" t="s">
        <v>729</v>
      </c>
      <c r="F21" s="22" t="s">
        <v>729</v>
      </c>
      <c r="G21" s="22" t="s">
        <v>729</v>
      </c>
      <c r="H21" s="22" t="s">
        <v>729</v>
      </c>
      <c r="I21" s="22" t="s">
        <v>729</v>
      </c>
      <c r="J21" s="22" t="s">
        <v>729</v>
      </c>
      <c r="K21" s="22" t="s">
        <v>729</v>
      </c>
      <c r="L21" s="22" t="s">
        <v>729</v>
      </c>
      <c r="M21" s="22" t="s">
        <v>729</v>
      </c>
      <c r="N21" s="22" t="s">
        <v>729</v>
      </c>
      <c r="O21" s="22" t="s">
        <v>729</v>
      </c>
      <c r="P21" s="22" t="s">
        <v>729</v>
      </c>
      <c r="Q21" s="22" t="s">
        <v>729</v>
      </c>
      <c r="R21" s="22" t="s">
        <v>729</v>
      </c>
      <c r="S21" s="22" t="s">
        <v>729</v>
      </c>
      <c r="T21" s="22" t="s">
        <v>729</v>
      </c>
      <c r="U21" s="22" t="s">
        <v>729</v>
      </c>
      <c r="V21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8:D18"/>
    <mergeCell ref="B19:D19"/>
    <mergeCell ref="B20:D20"/>
    <mergeCell ref="B21:D21"/>
    <mergeCell ref="A7:A11"/>
    <mergeCell ref="A12:A17"/>
    <mergeCell ref="A18:A21"/>
  </mergeCells>
  <dataValidations count="3">
    <dataValidation type="list" allowBlank="1" sqref="F17:V17 F8:V9 F10:V11 F13:V15">
      <formula1>"O,-"</formula1>
    </dataValidation>
    <dataValidation type="list" allowBlank="1" sqref="F18:V18">
      <formula1>"N,A,B"</formula1>
    </dataValidation>
    <dataValidation type="list" allowBlank="1" sqref="F19:V19">
      <formula1>"P,F"</formula1>
    </dataValidation>
  </dataValidations>
  <pageMargins left="0.7" right="0.7" top="0.75" bottom="0.75" header="0.3" footer="0.3"/>
  <pageSetup paperSize="1" orientation="portrait"/>
  <headerFooter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9"/>
  <sheetViews>
    <sheetView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570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621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1651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3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1</v>
      </c>
      <c r="M5" s="11">
        <v>2</v>
      </c>
      <c r="N5" s="11">
        <v>0</v>
      </c>
      <c r="O5" s="12">
        <v>3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687</v>
      </c>
      <c r="H6" s="14" t="s">
        <v>688</v>
      </c>
      <c r="I6" s="14" t="s">
        <v>729</v>
      </c>
      <c r="J6" s="14" t="s">
        <v>729</v>
      </c>
      <c r="K6" s="14" t="s">
        <v>729</v>
      </c>
      <c r="L6" s="14" t="s">
        <v>729</v>
      </c>
      <c r="M6" s="14" t="s">
        <v>729</v>
      </c>
      <c r="N6" s="14" t="s">
        <v>729</v>
      </c>
      <c r="O6" s="14" t="s">
        <v>729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15.5" customHeight="1" spans="1:22">
      <c r="A7" s="16" t="s">
        <v>690</v>
      </c>
      <c r="B7" s="17" t="s">
        <v>1652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65.5" customHeight="1" spans="1:22">
      <c r="A8" s="16"/>
      <c r="B8" s="6" t="s">
        <v>729</v>
      </c>
      <c r="C8" s="6" t="s">
        <v>729</v>
      </c>
      <c r="D8" s="18" t="s">
        <v>1653</v>
      </c>
      <c r="E8" s="6" t="s">
        <v>729</v>
      </c>
      <c r="F8" s="11" t="s">
        <v>752</v>
      </c>
      <c r="G8" s="11" t="s">
        <v>756</v>
      </c>
      <c r="H8" s="11" t="s">
        <v>756</v>
      </c>
      <c r="I8" s="11" t="s">
        <v>729</v>
      </c>
      <c r="J8" s="11" t="s">
        <v>729</v>
      </c>
      <c r="K8" s="11" t="s">
        <v>729</v>
      </c>
      <c r="L8" s="11" t="s">
        <v>729</v>
      </c>
      <c r="M8" s="11" t="s">
        <v>729</v>
      </c>
      <c r="N8" s="11" t="s">
        <v>729</v>
      </c>
      <c r="O8" s="11" t="s">
        <v>729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53" customHeight="1" spans="1:22">
      <c r="A9" s="16"/>
      <c r="B9" s="6" t="s">
        <v>729</v>
      </c>
      <c r="C9" s="6" t="s">
        <v>729</v>
      </c>
      <c r="D9" s="18" t="s">
        <v>1654</v>
      </c>
      <c r="E9" s="6" t="s">
        <v>729</v>
      </c>
      <c r="F9" s="11" t="s">
        <v>756</v>
      </c>
      <c r="G9" s="11" t="s">
        <v>752</v>
      </c>
      <c r="H9" s="11" t="s">
        <v>756</v>
      </c>
      <c r="I9" s="11" t="s">
        <v>729</v>
      </c>
      <c r="J9" s="11" t="s">
        <v>729</v>
      </c>
      <c r="K9" s="11" t="s">
        <v>729</v>
      </c>
      <c r="L9" s="11" t="s">
        <v>729</v>
      </c>
      <c r="M9" s="11" t="s">
        <v>729</v>
      </c>
      <c r="N9" s="11" t="s">
        <v>729</v>
      </c>
      <c r="O9" s="11" t="s">
        <v>729</v>
      </c>
      <c r="P9" s="11" t="s">
        <v>729</v>
      </c>
      <c r="Q9" s="11" t="s">
        <v>729</v>
      </c>
      <c r="R9" s="11" t="s">
        <v>729</v>
      </c>
      <c r="S9" s="11" t="s">
        <v>729</v>
      </c>
      <c r="T9" s="11" t="s">
        <v>729</v>
      </c>
      <c r="U9" s="11" t="s">
        <v>729</v>
      </c>
      <c r="V9" s="12" t="s">
        <v>729</v>
      </c>
    </row>
    <row r="10" ht="78" customHeight="1" spans="1:22">
      <c r="A10" s="16"/>
      <c r="B10" s="6" t="s">
        <v>729</v>
      </c>
      <c r="C10" s="6" t="s">
        <v>729</v>
      </c>
      <c r="D10" s="18" t="s">
        <v>1655</v>
      </c>
      <c r="E10" s="6" t="s">
        <v>729</v>
      </c>
      <c r="F10" s="11" t="s">
        <v>756</v>
      </c>
      <c r="G10" s="11" t="s">
        <v>756</v>
      </c>
      <c r="H10" s="11" t="s">
        <v>752</v>
      </c>
      <c r="I10" s="11" t="s">
        <v>729</v>
      </c>
      <c r="J10" s="11" t="s">
        <v>729</v>
      </c>
      <c r="K10" s="11" t="s">
        <v>729</v>
      </c>
      <c r="L10" s="11" t="s">
        <v>729</v>
      </c>
      <c r="M10" s="11" t="s">
        <v>729</v>
      </c>
      <c r="N10" s="11" t="s">
        <v>729</v>
      </c>
      <c r="O10" s="11" t="s">
        <v>729</v>
      </c>
      <c r="P10" s="11" t="s">
        <v>729</v>
      </c>
      <c r="Q10" s="11" t="s">
        <v>729</v>
      </c>
      <c r="R10" s="11" t="s">
        <v>729</v>
      </c>
      <c r="S10" s="11" t="s">
        <v>729</v>
      </c>
      <c r="T10" s="11" t="s">
        <v>729</v>
      </c>
      <c r="U10" s="11" t="s">
        <v>729</v>
      </c>
      <c r="V10" s="12" t="s">
        <v>729</v>
      </c>
    </row>
    <row r="11" ht="15.5" customHeight="1" spans="1:22">
      <c r="A11" s="16" t="s">
        <v>692</v>
      </c>
      <c r="B11" s="17" t="s">
        <v>693</v>
      </c>
      <c r="C11" s="6" t="s">
        <v>729</v>
      </c>
      <c r="D11" s="6" t="s">
        <v>729</v>
      </c>
      <c r="E11" s="6" t="s">
        <v>729</v>
      </c>
      <c r="F11" s="6" t="s">
        <v>729</v>
      </c>
      <c r="G11" s="6" t="s">
        <v>729</v>
      </c>
      <c r="H11" s="6" t="s">
        <v>729</v>
      </c>
      <c r="I11" s="6" t="s">
        <v>729</v>
      </c>
      <c r="J11" s="6" t="s">
        <v>729</v>
      </c>
      <c r="K11" s="6" t="s">
        <v>729</v>
      </c>
      <c r="L11" s="6" t="s">
        <v>729</v>
      </c>
      <c r="M11" s="6" t="s">
        <v>729</v>
      </c>
      <c r="N11" s="6" t="s">
        <v>729</v>
      </c>
      <c r="O11" s="6" t="s">
        <v>729</v>
      </c>
      <c r="P11" s="6" t="s">
        <v>729</v>
      </c>
      <c r="Q11" s="6" t="s">
        <v>729</v>
      </c>
      <c r="R11" s="6" t="s">
        <v>729</v>
      </c>
      <c r="S11" s="6" t="s">
        <v>729</v>
      </c>
      <c r="T11" s="6" t="s">
        <v>729</v>
      </c>
      <c r="U11" s="6" t="s">
        <v>729</v>
      </c>
      <c r="V11" s="8" t="s">
        <v>729</v>
      </c>
    </row>
    <row r="12" ht="90.5" customHeight="1" spans="1:22">
      <c r="A12" s="16"/>
      <c r="B12" s="6" t="s">
        <v>729</v>
      </c>
      <c r="C12" s="6" t="s">
        <v>729</v>
      </c>
      <c r="D12" s="18" t="s">
        <v>1656</v>
      </c>
      <c r="E12" s="6" t="s">
        <v>729</v>
      </c>
      <c r="F12" s="11" t="s">
        <v>752</v>
      </c>
      <c r="G12" s="11" t="s">
        <v>756</v>
      </c>
      <c r="H12" s="11" t="s">
        <v>756</v>
      </c>
      <c r="I12" s="11" t="s">
        <v>729</v>
      </c>
      <c r="J12" s="11" t="s">
        <v>729</v>
      </c>
      <c r="K12" s="11" t="s">
        <v>729</v>
      </c>
      <c r="L12" s="11" t="s">
        <v>729</v>
      </c>
      <c r="M12" s="11" t="s">
        <v>729</v>
      </c>
      <c r="N12" s="11" t="s">
        <v>729</v>
      </c>
      <c r="O12" s="11" t="s">
        <v>729</v>
      </c>
      <c r="P12" s="11" t="s">
        <v>729</v>
      </c>
      <c r="Q12" s="11" t="s">
        <v>729</v>
      </c>
      <c r="R12" s="11" t="s">
        <v>729</v>
      </c>
      <c r="S12" s="11" t="s">
        <v>729</v>
      </c>
      <c r="T12" s="11" t="s">
        <v>729</v>
      </c>
      <c r="U12" s="11" t="s">
        <v>729</v>
      </c>
      <c r="V12" s="12" t="s">
        <v>729</v>
      </c>
    </row>
    <row r="13" ht="78" customHeight="1" spans="1:22">
      <c r="A13" s="16"/>
      <c r="B13" s="6" t="s">
        <v>729</v>
      </c>
      <c r="C13" s="6" t="s">
        <v>729</v>
      </c>
      <c r="D13" s="18" t="s">
        <v>1657</v>
      </c>
      <c r="E13" s="6" t="s">
        <v>729</v>
      </c>
      <c r="F13" s="11" t="s">
        <v>756</v>
      </c>
      <c r="G13" s="11" t="s">
        <v>752</v>
      </c>
      <c r="H13" s="11" t="s">
        <v>752</v>
      </c>
      <c r="I13" s="11" t="s">
        <v>729</v>
      </c>
      <c r="J13" s="11" t="s">
        <v>729</v>
      </c>
      <c r="K13" s="11" t="s">
        <v>729</v>
      </c>
      <c r="L13" s="11" t="s">
        <v>729</v>
      </c>
      <c r="M13" s="11" t="s">
        <v>729</v>
      </c>
      <c r="N13" s="11" t="s">
        <v>729</v>
      </c>
      <c r="O13" s="11" t="s">
        <v>729</v>
      </c>
      <c r="P13" s="11" t="s">
        <v>729</v>
      </c>
      <c r="Q13" s="11" t="s">
        <v>729</v>
      </c>
      <c r="R13" s="11" t="s">
        <v>729</v>
      </c>
      <c r="S13" s="11" t="s">
        <v>729</v>
      </c>
      <c r="T13" s="11" t="s">
        <v>729</v>
      </c>
      <c r="U13" s="11" t="s">
        <v>729</v>
      </c>
      <c r="V13" s="12" t="s">
        <v>729</v>
      </c>
    </row>
    <row r="14" ht="15.5" customHeight="1" spans="1:22">
      <c r="A14" s="16"/>
      <c r="B14" s="17" t="s">
        <v>694</v>
      </c>
      <c r="C14" s="6" t="s">
        <v>729</v>
      </c>
      <c r="D14" s="6" t="s">
        <v>729</v>
      </c>
      <c r="E14" s="6" t="s">
        <v>729</v>
      </c>
      <c r="F14" s="6" t="s">
        <v>729</v>
      </c>
      <c r="G14" s="6" t="s">
        <v>729</v>
      </c>
      <c r="H14" s="6" t="s">
        <v>729</v>
      </c>
      <c r="I14" s="6" t="s">
        <v>729</v>
      </c>
      <c r="J14" s="6" t="s">
        <v>729</v>
      </c>
      <c r="K14" s="6" t="s">
        <v>729</v>
      </c>
      <c r="L14" s="6" t="s">
        <v>729</v>
      </c>
      <c r="M14" s="6" t="s">
        <v>729</v>
      </c>
      <c r="N14" s="6" t="s">
        <v>729</v>
      </c>
      <c r="O14" s="6" t="s">
        <v>729</v>
      </c>
      <c r="P14" s="6" t="s">
        <v>729</v>
      </c>
      <c r="Q14" s="6" t="s">
        <v>729</v>
      </c>
      <c r="R14" s="6" t="s">
        <v>729</v>
      </c>
      <c r="S14" s="6" t="s">
        <v>729</v>
      </c>
      <c r="T14" s="6" t="s">
        <v>729</v>
      </c>
      <c r="U14" s="6" t="s">
        <v>729</v>
      </c>
      <c r="V14" s="8" t="s">
        <v>729</v>
      </c>
    </row>
    <row r="15" ht="103" customHeight="1" spans="1:22">
      <c r="A15" s="16"/>
      <c r="B15" s="6" t="s">
        <v>729</v>
      </c>
      <c r="C15" s="6" t="s">
        <v>729</v>
      </c>
      <c r="D15" s="18" t="s">
        <v>1658</v>
      </c>
      <c r="E15" s="6" t="s">
        <v>729</v>
      </c>
      <c r="F15" s="11" t="s">
        <v>756</v>
      </c>
      <c r="G15" s="11" t="s">
        <v>752</v>
      </c>
      <c r="H15" s="11" t="s">
        <v>752</v>
      </c>
      <c r="I15" s="11" t="s">
        <v>729</v>
      </c>
      <c r="J15" s="11" t="s">
        <v>729</v>
      </c>
      <c r="K15" s="11" t="s">
        <v>729</v>
      </c>
      <c r="L15" s="11" t="s">
        <v>729</v>
      </c>
      <c r="M15" s="11" t="s">
        <v>729</v>
      </c>
      <c r="N15" s="11" t="s">
        <v>729</v>
      </c>
      <c r="O15" s="11" t="s">
        <v>729</v>
      </c>
      <c r="P15" s="11" t="s">
        <v>729</v>
      </c>
      <c r="Q15" s="11" t="s">
        <v>729</v>
      </c>
      <c r="R15" s="11" t="s">
        <v>729</v>
      </c>
      <c r="S15" s="11" t="s">
        <v>729</v>
      </c>
      <c r="T15" s="11" t="s">
        <v>729</v>
      </c>
      <c r="U15" s="11" t="s">
        <v>729</v>
      </c>
      <c r="V15" s="12" t="s">
        <v>729</v>
      </c>
    </row>
    <row r="16" ht="18" customHeight="1" spans="1:22">
      <c r="A16" s="19" t="s">
        <v>696</v>
      </c>
      <c r="B16" s="20" t="s">
        <v>765</v>
      </c>
      <c r="C16" s="20"/>
      <c r="D16" s="20"/>
      <c r="E16" s="6" t="s">
        <v>729</v>
      </c>
      <c r="F16" s="11" t="s">
        <v>670</v>
      </c>
      <c r="G16" s="11" t="s">
        <v>63</v>
      </c>
      <c r="H16" s="11" t="s">
        <v>63</v>
      </c>
      <c r="I16" s="11" t="s">
        <v>729</v>
      </c>
      <c r="J16" s="11" t="s">
        <v>729</v>
      </c>
      <c r="K16" s="11" t="s">
        <v>729</v>
      </c>
      <c r="L16" s="11" t="s">
        <v>729</v>
      </c>
      <c r="M16" s="11" t="s">
        <v>729</v>
      </c>
      <c r="N16" s="11" t="s">
        <v>729</v>
      </c>
      <c r="O16" s="11" t="s">
        <v>729</v>
      </c>
      <c r="P16" s="11" t="s">
        <v>729</v>
      </c>
      <c r="Q16" s="11" t="s">
        <v>729</v>
      </c>
      <c r="R16" s="11" t="s">
        <v>729</v>
      </c>
      <c r="S16" s="11" t="s">
        <v>729</v>
      </c>
      <c r="T16" s="11" t="s">
        <v>729</v>
      </c>
      <c r="U16" s="11" t="s">
        <v>729</v>
      </c>
      <c r="V16" s="12" t="s">
        <v>729</v>
      </c>
    </row>
    <row r="17" ht="18" customHeight="1" spans="1:22">
      <c r="A17" s="19"/>
      <c r="B17" s="20" t="s">
        <v>698</v>
      </c>
      <c r="C17" s="20"/>
      <c r="D17" s="20"/>
      <c r="E17" s="6" t="s">
        <v>729</v>
      </c>
      <c r="F17" s="11" t="s">
        <v>766</v>
      </c>
      <c r="G17" s="11" t="s">
        <v>766</v>
      </c>
      <c r="H17" s="11" t="s">
        <v>766</v>
      </c>
      <c r="I17" s="11" t="s">
        <v>729</v>
      </c>
      <c r="J17" s="11" t="s">
        <v>729</v>
      </c>
      <c r="K17" s="11" t="s">
        <v>729</v>
      </c>
      <c r="L17" s="11" t="s">
        <v>729</v>
      </c>
      <c r="M17" s="11" t="s">
        <v>729</v>
      </c>
      <c r="N17" s="11" t="s">
        <v>729</v>
      </c>
      <c r="O17" s="11" t="s">
        <v>729</v>
      </c>
      <c r="P17" s="11" t="s">
        <v>729</v>
      </c>
      <c r="Q17" s="11" t="s">
        <v>729</v>
      </c>
      <c r="R17" s="11" t="s">
        <v>729</v>
      </c>
      <c r="S17" s="11" t="s">
        <v>729</v>
      </c>
      <c r="T17" s="11" t="s">
        <v>729</v>
      </c>
      <c r="U17" s="11" t="s">
        <v>729</v>
      </c>
      <c r="V17" s="12" t="s">
        <v>729</v>
      </c>
    </row>
    <row r="18" ht="18" customHeight="1" spans="1:22">
      <c r="A18" s="19"/>
      <c r="B18" s="20" t="s">
        <v>699</v>
      </c>
      <c r="C18" s="20"/>
      <c r="D18" s="20"/>
      <c r="E18" s="6" t="s">
        <v>729</v>
      </c>
      <c r="F18" s="6" t="s">
        <v>729</v>
      </c>
      <c r="G18" s="6" t="s">
        <v>729</v>
      </c>
      <c r="H18" s="6" t="s">
        <v>729</v>
      </c>
      <c r="I18" s="6" t="s">
        <v>729</v>
      </c>
      <c r="J18" s="6" t="s">
        <v>729</v>
      </c>
      <c r="K18" s="6" t="s">
        <v>729</v>
      </c>
      <c r="L18" s="6" t="s">
        <v>729</v>
      </c>
      <c r="M18" s="6" t="s">
        <v>729</v>
      </c>
      <c r="N18" s="6" t="s">
        <v>729</v>
      </c>
      <c r="O18" s="6" t="s">
        <v>729</v>
      </c>
      <c r="P18" s="6" t="s">
        <v>729</v>
      </c>
      <c r="Q18" s="6" t="s">
        <v>729</v>
      </c>
      <c r="R18" s="6" t="s">
        <v>729</v>
      </c>
      <c r="S18" s="6" t="s">
        <v>729</v>
      </c>
      <c r="T18" s="6" t="s">
        <v>729</v>
      </c>
      <c r="U18" s="6" t="s">
        <v>729</v>
      </c>
      <c r="V18" s="8" t="s">
        <v>729</v>
      </c>
    </row>
    <row r="19" ht="18" customHeight="1" spans="1:22">
      <c r="A19" s="19"/>
      <c r="B19" s="21" t="s">
        <v>700</v>
      </c>
      <c r="C19" s="21"/>
      <c r="D19" s="21"/>
      <c r="E19" s="22" t="s">
        <v>729</v>
      </c>
      <c r="F19" s="22" t="s">
        <v>729</v>
      </c>
      <c r="G19" s="22" t="s">
        <v>729</v>
      </c>
      <c r="H19" s="22" t="s">
        <v>729</v>
      </c>
      <c r="I19" s="22" t="s">
        <v>729</v>
      </c>
      <c r="J19" s="22" t="s">
        <v>729</v>
      </c>
      <c r="K19" s="22" t="s">
        <v>729</v>
      </c>
      <c r="L19" s="22" t="s">
        <v>729</v>
      </c>
      <c r="M19" s="22" t="s">
        <v>729</v>
      </c>
      <c r="N19" s="22" t="s">
        <v>729</v>
      </c>
      <c r="O19" s="22" t="s">
        <v>729</v>
      </c>
      <c r="P19" s="22" t="s">
        <v>729</v>
      </c>
      <c r="Q19" s="22" t="s">
        <v>729</v>
      </c>
      <c r="R19" s="22" t="s">
        <v>729</v>
      </c>
      <c r="S19" s="22" t="s">
        <v>729</v>
      </c>
      <c r="T19" s="22" t="s">
        <v>729</v>
      </c>
      <c r="U19" s="22" t="s">
        <v>729</v>
      </c>
      <c r="V19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6:D16"/>
    <mergeCell ref="B17:D17"/>
    <mergeCell ref="B18:D18"/>
    <mergeCell ref="B19:D19"/>
    <mergeCell ref="A7:A10"/>
    <mergeCell ref="A11:A15"/>
    <mergeCell ref="A16:A19"/>
  </mergeCells>
  <dataValidations count="3">
    <dataValidation type="list" allowBlank="1" sqref="F10:V10 F15:V15 F8:V9 F12:V13">
      <formula1>"O,-"</formula1>
    </dataValidation>
    <dataValidation type="list" allowBlank="1" sqref="F16:V16">
      <formula1>"N,A,B"</formula1>
    </dataValidation>
    <dataValidation type="list" allowBlank="1" sqref="F17:V17">
      <formula1>"P,F"</formula1>
    </dataValidation>
  </dataValidations>
  <pageMargins left="0.7" right="0.7" top="0.75" bottom="0.75" header="0.3" footer="0.3"/>
  <pageSetup paperSize="1" orientation="portrait"/>
  <headerFooter/>
</worksheet>
</file>

<file path=xl/worksheets/sheet1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7"/>
  <sheetViews>
    <sheetView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570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626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28" customHeight="1" spans="1:22">
      <c r="A3" s="5" t="s">
        <v>684</v>
      </c>
      <c r="B3" s="8" t="s">
        <v>1659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3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1</v>
      </c>
      <c r="M5" s="11">
        <v>2</v>
      </c>
      <c r="N5" s="11">
        <v>0</v>
      </c>
      <c r="O5" s="12">
        <v>3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687</v>
      </c>
      <c r="H6" s="14" t="s">
        <v>688</v>
      </c>
      <c r="I6" s="14" t="s">
        <v>729</v>
      </c>
      <c r="J6" s="14" t="s">
        <v>729</v>
      </c>
      <c r="K6" s="14" t="s">
        <v>729</v>
      </c>
      <c r="L6" s="14" t="s">
        <v>729</v>
      </c>
      <c r="M6" s="14" t="s">
        <v>729</v>
      </c>
      <c r="N6" s="14" t="s">
        <v>729</v>
      </c>
      <c r="O6" s="14" t="s">
        <v>729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15.5" customHeight="1" spans="1:22">
      <c r="A7" s="16" t="s">
        <v>690</v>
      </c>
      <c r="B7" s="17" t="s">
        <v>1023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65.5" customHeight="1" spans="1:22">
      <c r="A8" s="16"/>
      <c r="B8" s="6" t="s">
        <v>729</v>
      </c>
      <c r="C8" s="6" t="s">
        <v>729</v>
      </c>
      <c r="D8" s="18" t="s">
        <v>1660</v>
      </c>
      <c r="E8" s="6" t="s">
        <v>729</v>
      </c>
      <c r="F8" s="11" t="s">
        <v>752</v>
      </c>
      <c r="G8" s="11" t="s">
        <v>756</v>
      </c>
      <c r="H8" s="11" t="s">
        <v>756</v>
      </c>
      <c r="I8" s="11" t="s">
        <v>729</v>
      </c>
      <c r="J8" s="11" t="s">
        <v>729</v>
      </c>
      <c r="K8" s="11" t="s">
        <v>729</v>
      </c>
      <c r="L8" s="11" t="s">
        <v>729</v>
      </c>
      <c r="M8" s="11" t="s">
        <v>729</v>
      </c>
      <c r="N8" s="11" t="s">
        <v>729</v>
      </c>
      <c r="O8" s="11" t="s">
        <v>729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65.5" customHeight="1" spans="1:22">
      <c r="A9" s="16"/>
      <c r="B9" s="6" t="s">
        <v>729</v>
      </c>
      <c r="C9" s="6" t="s">
        <v>729</v>
      </c>
      <c r="D9" s="18" t="s">
        <v>1661</v>
      </c>
      <c r="E9" s="6" t="s">
        <v>729</v>
      </c>
      <c r="F9" s="11" t="s">
        <v>756</v>
      </c>
      <c r="G9" s="11" t="s">
        <v>752</v>
      </c>
      <c r="H9" s="11" t="s">
        <v>756</v>
      </c>
      <c r="I9" s="11" t="s">
        <v>729</v>
      </c>
      <c r="J9" s="11" t="s">
        <v>729</v>
      </c>
      <c r="K9" s="11" t="s">
        <v>729</v>
      </c>
      <c r="L9" s="11" t="s">
        <v>729</v>
      </c>
      <c r="M9" s="11" t="s">
        <v>729</v>
      </c>
      <c r="N9" s="11" t="s">
        <v>729</v>
      </c>
      <c r="O9" s="11" t="s">
        <v>729</v>
      </c>
      <c r="P9" s="11" t="s">
        <v>729</v>
      </c>
      <c r="Q9" s="11" t="s">
        <v>729</v>
      </c>
      <c r="R9" s="11" t="s">
        <v>729</v>
      </c>
      <c r="S9" s="11" t="s">
        <v>729</v>
      </c>
      <c r="T9" s="11" t="s">
        <v>729</v>
      </c>
      <c r="U9" s="11" t="s">
        <v>729</v>
      </c>
      <c r="V9" s="12" t="s">
        <v>729</v>
      </c>
    </row>
    <row r="10" ht="90.5" customHeight="1" spans="1:22">
      <c r="A10" s="16"/>
      <c r="B10" s="6" t="s">
        <v>729</v>
      </c>
      <c r="C10" s="6" t="s">
        <v>729</v>
      </c>
      <c r="D10" s="18" t="s">
        <v>1662</v>
      </c>
      <c r="E10" s="6" t="s">
        <v>729</v>
      </c>
      <c r="F10" s="11" t="s">
        <v>756</v>
      </c>
      <c r="G10" s="11" t="s">
        <v>756</v>
      </c>
      <c r="H10" s="11" t="s">
        <v>752</v>
      </c>
      <c r="I10" s="11" t="s">
        <v>729</v>
      </c>
      <c r="J10" s="11" t="s">
        <v>729</v>
      </c>
      <c r="K10" s="11" t="s">
        <v>729</v>
      </c>
      <c r="L10" s="11" t="s">
        <v>729</v>
      </c>
      <c r="M10" s="11" t="s">
        <v>729</v>
      </c>
      <c r="N10" s="11" t="s">
        <v>729</v>
      </c>
      <c r="O10" s="11" t="s">
        <v>729</v>
      </c>
      <c r="P10" s="11" t="s">
        <v>729</v>
      </c>
      <c r="Q10" s="11" t="s">
        <v>729</v>
      </c>
      <c r="R10" s="11" t="s">
        <v>729</v>
      </c>
      <c r="S10" s="11" t="s">
        <v>729</v>
      </c>
      <c r="T10" s="11" t="s">
        <v>729</v>
      </c>
      <c r="U10" s="11" t="s">
        <v>729</v>
      </c>
      <c r="V10" s="12" t="s">
        <v>729</v>
      </c>
    </row>
    <row r="11" ht="15.5" customHeight="1" spans="1:22">
      <c r="A11" s="16" t="s">
        <v>692</v>
      </c>
      <c r="B11" s="17" t="s">
        <v>693</v>
      </c>
      <c r="C11" s="6" t="s">
        <v>729</v>
      </c>
      <c r="D11" s="6" t="s">
        <v>729</v>
      </c>
      <c r="E11" s="6" t="s">
        <v>729</v>
      </c>
      <c r="F11" s="6" t="s">
        <v>729</v>
      </c>
      <c r="G11" s="6" t="s">
        <v>729</v>
      </c>
      <c r="H11" s="6" t="s">
        <v>729</v>
      </c>
      <c r="I11" s="6" t="s">
        <v>729</v>
      </c>
      <c r="J11" s="6" t="s">
        <v>729</v>
      </c>
      <c r="K11" s="6" t="s">
        <v>729</v>
      </c>
      <c r="L11" s="6" t="s">
        <v>729</v>
      </c>
      <c r="M11" s="6" t="s">
        <v>729</v>
      </c>
      <c r="N11" s="6" t="s">
        <v>729</v>
      </c>
      <c r="O11" s="6" t="s">
        <v>729</v>
      </c>
      <c r="P11" s="6" t="s">
        <v>729</v>
      </c>
      <c r="Q11" s="6" t="s">
        <v>729</v>
      </c>
      <c r="R11" s="6" t="s">
        <v>729</v>
      </c>
      <c r="S11" s="6" t="s">
        <v>729</v>
      </c>
      <c r="T11" s="6" t="s">
        <v>729</v>
      </c>
      <c r="U11" s="6" t="s">
        <v>729</v>
      </c>
      <c r="V11" s="8" t="s">
        <v>729</v>
      </c>
    </row>
    <row r="12" ht="53" customHeight="1" spans="1:22">
      <c r="A12" s="16"/>
      <c r="B12" s="6" t="s">
        <v>729</v>
      </c>
      <c r="C12" s="6" t="s">
        <v>729</v>
      </c>
      <c r="D12" s="18" t="s">
        <v>1663</v>
      </c>
      <c r="E12" s="6" t="s">
        <v>729</v>
      </c>
      <c r="F12" s="11" t="s">
        <v>752</v>
      </c>
      <c r="G12" s="11" t="s">
        <v>756</v>
      </c>
      <c r="H12" s="11" t="s">
        <v>756</v>
      </c>
      <c r="I12" s="11" t="s">
        <v>729</v>
      </c>
      <c r="J12" s="11" t="s">
        <v>729</v>
      </c>
      <c r="K12" s="11" t="s">
        <v>729</v>
      </c>
      <c r="L12" s="11" t="s">
        <v>729</v>
      </c>
      <c r="M12" s="11" t="s">
        <v>729</v>
      </c>
      <c r="N12" s="11" t="s">
        <v>729</v>
      </c>
      <c r="O12" s="11" t="s">
        <v>729</v>
      </c>
      <c r="P12" s="11" t="s">
        <v>729</v>
      </c>
      <c r="Q12" s="11" t="s">
        <v>729</v>
      </c>
      <c r="R12" s="11" t="s">
        <v>729</v>
      </c>
      <c r="S12" s="11" t="s">
        <v>729</v>
      </c>
      <c r="T12" s="11" t="s">
        <v>729</v>
      </c>
      <c r="U12" s="11" t="s">
        <v>729</v>
      </c>
      <c r="V12" s="12" t="s">
        <v>729</v>
      </c>
    </row>
    <row r="13" ht="103" customHeight="1" spans="1:22">
      <c r="A13" s="16"/>
      <c r="B13" s="6" t="s">
        <v>729</v>
      </c>
      <c r="C13" s="6" t="s">
        <v>729</v>
      </c>
      <c r="D13" s="18" t="s">
        <v>1664</v>
      </c>
      <c r="E13" s="6" t="s">
        <v>729</v>
      </c>
      <c r="F13" s="11" t="s">
        <v>756</v>
      </c>
      <c r="G13" s="11" t="s">
        <v>752</v>
      </c>
      <c r="H13" s="11" t="s">
        <v>752</v>
      </c>
      <c r="I13" s="11" t="s">
        <v>729</v>
      </c>
      <c r="J13" s="11" t="s">
        <v>729</v>
      </c>
      <c r="K13" s="11" t="s">
        <v>729</v>
      </c>
      <c r="L13" s="11" t="s">
        <v>729</v>
      </c>
      <c r="M13" s="11" t="s">
        <v>729</v>
      </c>
      <c r="N13" s="11" t="s">
        <v>729</v>
      </c>
      <c r="O13" s="11" t="s">
        <v>729</v>
      </c>
      <c r="P13" s="11" t="s">
        <v>729</v>
      </c>
      <c r="Q13" s="11" t="s">
        <v>729</v>
      </c>
      <c r="R13" s="11" t="s">
        <v>729</v>
      </c>
      <c r="S13" s="11" t="s">
        <v>729</v>
      </c>
      <c r="T13" s="11" t="s">
        <v>729</v>
      </c>
      <c r="U13" s="11" t="s">
        <v>729</v>
      </c>
      <c r="V13" s="12" t="s">
        <v>729</v>
      </c>
    </row>
    <row r="14" ht="18" customHeight="1" spans="1:22">
      <c r="A14" s="19" t="s">
        <v>696</v>
      </c>
      <c r="B14" s="20" t="s">
        <v>765</v>
      </c>
      <c r="C14" s="20"/>
      <c r="D14" s="20"/>
      <c r="E14" s="6" t="s">
        <v>729</v>
      </c>
      <c r="F14" s="11" t="s">
        <v>670</v>
      </c>
      <c r="G14" s="11" t="s">
        <v>63</v>
      </c>
      <c r="H14" s="11" t="s">
        <v>63</v>
      </c>
      <c r="I14" s="11" t="s">
        <v>729</v>
      </c>
      <c r="J14" s="11" t="s">
        <v>729</v>
      </c>
      <c r="K14" s="11" t="s">
        <v>729</v>
      </c>
      <c r="L14" s="11" t="s">
        <v>729</v>
      </c>
      <c r="M14" s="11" t="s">
        <v>729</v>
      </c>
      <c r="N14" s="11" t="s">
        <v>729</v>
      </c>
      <c r="O14" s="11" t="s">
        <v>729</v>
      </c>
      <c r="P14" s="11" t="s">
        <v>729</v>
      </c>
      <c r="Q14" s="11" t="s">
        <v>729</v>
      </c>
      <c r="R14" s="11" t="s">
        <v>729</v>
      </c>
      <c r="S14" s="11" t="s">
        <v>729</v>
      </c>
      <c r="T14" s="11" t="s">
        <v>729</v>
      </c>
      <c r="U14" s="11" t="s">
        <v>729</v>
      </c>
      <c r="V14" s="12" t="s">
        <v>729</v>
      </c>
    </row>
    <row r="15" ht="18" customHeight="1" spans="1:22">
      <c r="A15" s="19"/>
      <c r="B15" s="20" t="s">
        <v>698</v>
      </c>
      <c r="C15" s="20"/>
      <c r="D15" s="20"/>
      <c r="E15" s="6" t="s">
        <v>729</v>
      </c>
      <c r="F15" s="11" t="s">
        <v>766</v>
      </c>
      <c r="G15" s="11" t="s">
        <v>766</v>
      </c>
      <c r="H15" s="11" t="s">
        <v>766</v>
      </c>
      <c r="I15" s="11" t="s">
        <v>729</v>
      </c>
      <c r="J15" s="11" t="s">
        <v>729</v>
      </c>
      <c r="K15" s="11" t="s">
        <v>729</v>
      </c>
      <c r="L15" s="11" t="s">
        <v>729</v>
      </c>
      <c r="M15" s="11" t="s">
        <v>729</v>
      </c>
      <c r="N15" s="11" t="s">
        <v>729</v>
      </c>
      <c r="O15" s="11" t="s">
        <v>729</v>
      </c>
      <c r="P15" s="11" t="s">
        <v>729</v>
      </c>
      <c r="Q15" s="11" t="s">
        <v>729</v>
      </c>
      <c r="R15" s="11" t="s">
        <v>729</v>
      </c>
      <c r="S15" s="11" t="s">
        <v>729</v>
      </c>
      <c r="T15" s="11" t="s">
        <v>729</v>
      </c>
      <c r="U15" s="11" t="s">
        <v>729</v>
      </c>
      <c r="V15" s="12" t="s">
        <v>729</v>
      </c>
    </row>
    <row r="16" ht="18" customHeight="1" spans="1:22">
      <c r="A16" s="19"/>
      <c r="B16" s="20" t="s">
        <v>699</v>
      </c>
      <c r="C16" s="20"/>
      <c r="D16" s="20"/>
      <c r="E16" s="6" t="s">
        <v>729</v>
      </c>
      <c r="F16" s="6" t="s">
        <v>729</v>
      </c>
      <c r="G16" s="6" t="s">
        <v>729</v>
      </c>
      <c r="H16" s="6" t="s">
        <v>729</v>
      </c>
      <c r="I16" s="6" t="s">
        <v>729</v>
      </c>
      <c r="J16" s="6" t="s">
        <v>729</v>
      </c>
      <c r="K16" s="6" t="s">
        <v>729</v>
      </c>
      <c r="L16" s="6" t="s">
        <v>729</v>
      </c>
      <c r="M16" s="6" t="s">
        <v>729</v>
      </c>
      <c r="N16" s="6" t="s">
        <v>729</v>
      </c>
      <c r="O16" s="6" t="s">
        <v>729</v>
      </c>
      <c r="P16" s="6" t="s">
        <v>729</v>
      </c>
      <c r="Q16" s="6" t="s">
        <v>729</v>
      </c>
      <c r="R16" s="6" t="s">
        <v>729</v>
      </c>
      <c r="S16" s="6" t="s">
        <v>729</v>
      </c>
      <c r="T16" s="6" t="s">
        <v>729</v>
      </c>
      <c r="U16" s="6" t="s">
        <v>729</v>
      </c>
      <c r="V16" s="8" t="s">
        <v>729</v>
      </c>
    </row>
    <row r="17" ht="18" customHeight="1" spans="1:22">
      <c r="A17" s="19"/>
      <c r="B17" s="21" t="s">
        <v>700</v>
      </c>
      <c r="C17" s="21"/>
      <c r="D17" s="21"/>
      <c r="E17" s="22" t="s">
        <v>729</v>
      </c>
      <c r="F17" s="22" t="s">
        <v>729</v>
      </c>
      <c r="G17" s="22" t="s">
        <v>729</v>
      </c>
      <c r="H17" s="22" t="s">
        <v>729</v>
      </c>
      <c r="I17" s="22" t="s">
        <v>729</v>
      </c>
      <c r="J17" s="22" t="s">
        <v>729</v>
      </c>
      <c r="K17" s="22" t="s">
        <v>729</v>
      </c>
      <c r="L17" s="22" t="s">
        <v>729</v>
      </c>
      <c r="M17" s="22" t="s">
        <v>729</v>
      </c>
      <c r="N17" s="22" t="s">
        <v>729</v>
      </c>
      <c r="O17" s="22" t="s">
        <v>729</v>
      </c>
      <c r="P17" s="22" t="s">
        <v>729</v>
      </c>
      <c r="Q17" s="22" t="s">
        <v>729</v>
      </c>
      <c r="R17" s="22" t="s">
        <v>729</v>
      </c>
      <c r="S17" s="22" t="s">
        <v>729</v>
      </c>
      <c r="T17" s="22" t="s">
        <v>729</v>
      </c>
      <c r="U17" s="22" t="s">
        <v>729</v>
      </c>
      <c r="V17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4:D14"/>
    <mergeCell ref="B15:D15"/>
    <mergeCell ref="B16:D16"/>
    <mergeCell ref="B17:D17"/>
    <mergeCell ref="A7:A10"/>
    <mergeCell ref="A11:A13"/>
    <mergeCell ref="A14:A17"/>
  </mergeCells>
  <dataValidations count="3">
    <dataValidation type="list" allowBlank="1" sqref="F10:V10 F8:V9 F12:V13">
      <formula1>"O,-"</formula1>
    </dataValidation>
    <dataValidation type="list" allowBlank="1" sqref="F14:V14">
      <formula1>"N,A,B"</formula1>
    </dataValidation>
    <dataValidation type="list" allowBlank="1" sqref="F15:V15">
      <formula1>"P,F"</formula1>
    </dataValidation>
  </dataValidations>
  <pageMargins left="0.7" right="0.7" top="0.75" bottom="0.75" header="0.3" footer="0.3"/>
  <pageSetup paperSize="1" orientation="portrait"/>
  <headerFooter/>
</worksheet>
</file>

<file path=xl/worksheets/sheet1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0"/>
  <sheetViews>
    <sheetView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570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631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1665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4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3</v>
      </c>
      <c r="M5" s="11">
        <v>0</v>
      </c>
      <c r="N5" s="11">
        <v>1</v>
      </c>
      <c r="O5" s="12">
        <v>4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687</v>
      </c>
      <c r="H6" s="14" t="s">
        <v>688</v>
      </c>
      <c r="I6" s="14" t="s">
        <v>689</v>
      </c>
      <c r="J6" s="14" t="s">
        <v>729</v>
      </c>
      <c r="K6" s="14" t="s">
        <v>729</v>
      </c>
      <c r="L6" s="14" t="s">
        <v>729</v>
      </c>
      <c r="M6" s="14" t="s">
        <v>729</v>
      </c>
      <c r="N6" s="14" t="s">
        <v>729</v>
      </c>
      <c r="O6" s="14" t="s">
        <v>729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15.5" customHeight="1" spans="1:22">
      <c r="A7" s="16" t="s">
        <v>690</v>
      </c>
      <c r="B7" s="17" t="s">
        <v>1557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53" customHeight="1" spans="1:22">
      <c r="A8" s="16"/>
      <c r="B8" s="6" t="s">
        <v>729</v>
      </c>
      <c r="C8" s="6" t="s">
        <v>729</v>
      </c>
      <c r="D8" s="18" t="s">
        <v>1666</v>
      </c>
      <c r="E8" s="6" t="s">
        <v>729</v>
      </c>
      <c r="F8" s="11" t="s">
        <v>752</v>
      </c>
      <c r="G8" s="11" t="s">
        <v>756</v>
      </c>
      <c r="H8" s="11" t="s">
        <v>756</v>
      </c>
      <c r="I8" s="11" t="s">
        <v>756</v>
      </c>
      <c r="J8" s="11" t="s">
        <v>729</v>
      </c>
      <c r="K8" s="11" t="s">
        <v>729</v>
      </c>
      <c r="L8" s="11" t="s">
        <v>729</v>
      </c>
      <c r="M8" s="11" t="s">
        <v>729</v>
      </c>
      <c r="N8" s="11" t="s">
        <v>729</v>
      </c>
      <c r="O8" s="11" t="s">
        <v>729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28" customHeight="1" spans="1:22">
      <c r="A9" s="16"/>
      <c r="B9" s="6" t="s">
        <v>729</v>
      </c>
      <c r="C9" s="6" t="s">
        <v>729</v>
      </c>
      <c r="D9" s="18" t="s">
        <v>1667</v>
      </c>
      <c r="E9" s="6" t="s">
        <v>729</v>
      </c>
      <c r="F9" s="11" t="s">
        <v>756</v>
      </c>
      <c r="G9" s="11" t="s">
        <v>752</v>
      </c>
      <c r="H9" s="11" t="s">
        <v>756</v>
      </c>
      <c r="I9" s="11" t="s">
        <v>756</v>
      </c>
      <c r="J9" s="11" t="s">
        <v>729</v>
      </c>
      <c r="K9" s="11" t="s">
        <v>729</v>
      </c>
      <c r="L9" s="11" t="s">
        <v>729</v>
      </c>
      <c r="M9" s="11" t="s">
        <v>729</v>
      </c>
      <c r="N9" s="11" t="s">
        <v>729</v>
      </c>
      <c r="O9" s="11" t="s">
        <v>729</v>
      </c>
      <c r="P9" s="11" t="s">
        <v>729</v>
      </c>
      <c r="Q9" s="11" t="s">
        <v>729</v>
      </c>
      <c r="R9" s="11" t="s">
        <v>729</v>
      </c>
      <c r="S9" s="11" t="s">
        <v>729</v>
      </c>
      <c r="T9" s="11" t="s">
        <v>729</v>
      </c>
      <c r="U9" s="11" t="s">
        <v>729</v>
      </c>
      <c r="V9" s="12" t="s">
        <v>729</v>
      </c>
    </row>
    <row r="10" ht="40.5" customHeight="1" spans="1:22">
      <c r="A10" s="16"/>
      <c r="B10" s="6" t="s">
        <v>729</v>
      </c>
      <c r="C10" s="6" t="s">
        <v>729</v>
      </c>
      <c r="D10" s="18" t="s">
        <v>1668</v>
      </c>
      <c r="E10" s="6" t="s">
        <v>729</v>
      </c>
      <c r="F10" s="11" t="s">
        <v>756</v>
      </c>
      <c r="G10" s="11" t="s">
        <v>756</v>
      </c>
      <c r="H10" s="11" t="s">
        <v>752</v>
      </c>
      <c r="I10" s="11" t="s">
        <v>756</v>
      </c>
      <c r="J10" s="11" t="s">
        <v>729</v>
      </c>
      <c r="K10" s="11" t="s">
        <v>729</v>
      </c>
      <c r="L10" s="11" t="s">
        <v>729</v>
      </c>
      <c r="M10" s="11" t="s">
        <v>729</v>
      </c>
      <c r="N10" s="11" t="s">
        <v>729</v>
      </c>
      <c r="O10" s="11" t="s">
        <v>729</v>
      </c>
      <c r="P10" s="11" t="s">
        <v>729</v>
      </c>
      <c r="Q10" s="11" t="s">
        <v>729</v>
      </c>
      <c r="R10" s="11" t="s">
        <v>729</v>
      </c>
      <c r="S10" s="11" t="s">
        <v>729</v>
      </c>
      <c r="T10" s="11" t="s">
        <v>729</v>
      </c>
      <c r="U10" s="11" t="s">
        <v>729</v>
      </c>
      <c r="V10" s="12" t="s">
        <v>729</v>
      </c>
    </row>
    <row r="11" ht="53" customHeight="1" spans="1:22">
      <c r="A11" s="16"/>
      <c r="B11" s="6" t="s">
        <v>729</v>
      </c>
      <c r="C11" s="6" t="s">
        <v>729</v>
      </c>
      <c r="D11" s="18" t="s">
        <v>1669</v>
      </c>
      <c r="E11" s="6" t="s">
        <v>729</v>
      </c>
      <c r="F11" s="11" t="s">
        <v>756</v>
      </c>
      <c r="G11" s="11" t="s">
        <v>756</v>
      </c>
      <c r="H11" s="11" t="s">
        <v>756</v>
      </c>
      <c r="I11" s="11" t="s">
        <v>752</v>
      </c>
      <c r="J11" s="11" t="s">
        <v>729</v>
      </c>
      <c r="K11" s="11" t="s">
        <v>729</v>
      </c>
      <c r="L11" s="11" t="s">
        <v>729</v>
      </c>
      <c r="M11" s="11" t="s">
        <v>729</v>
      </c>
      <c r="N11" s="11" t="s">
        <v>729</v>
      </c>
      <c r="O11" s="11" t="s">
        <v>729</v>
      </c>
      <c r="P11" s="11" t="s">
        <v>729</v>
      </c>
      <c r="Q11" s="11" t="s">
        <v>729</v>
      </c>
      <c r="R11" s="11" t="s">
        <v>729</v>
      </c>
      <c r="S11" s="11" t="s">
        <v>729</v>
      </c>
      <c r="T11" s="11" t="s">
        <v>729</v>
      </c>
      <c r="U11" s="11" t="s">
        <v>729</v>
      </c>
      <c r="V11" s="12" t="s">
        <v>729</v>
      </c>
    </row>
    <row r="12" ht="15.5" customHeight="1" spans="1:22">
      <c r="A12" s="16" t="s">
        <v>692</v>
      </c>
      <c r="B12" s="17" t="s">
        <v>693</v>
      </c>
      <c r="C12" s="6" t="s">
        <v>729</v>
      </c>
      <c r="D12" s="6" t="s">
        <v>729</v>
      </c>
      <c r="E12" s="6" t="s">
        <v>729</v>
      </c>
      <c r="F12" s="6" t="s">
        <v>729</v>
      </c>
      <c r="G12" s="6" t="s">
        <v>729</v>
      </c>
      <c r="H12" s="6" t="s">
        <v>729</v>
      </c>
      <c r="I12" s="6" t="s">
        <v>729</v>
      </c>
      <c r="J12" s="6" t="s">
        <v>729</v>
      </c>
      <c r="K12" s="6" t="s">
        <v>729</v>
      </c>
      <c r="L12" s="6" t="s">
        <v>729</v>
      </c>
      <c r="M12" s="6" t="s">
        <v>729</v>
      </c>
      <c r="N12" s="6" t="s">
        <v>729</v>
      </c>
      <c r="O12" s="6" t="s">
        <v>729</v>
      </c>
      <c r="P12" s="6" t="s">
        <v>729</v>
      </c>
      <c r="Q12" s="6" t="s">
        <v>729</v>
      </c>
      <c r="R12" s="6" t="s">
        <v>729</v>
      </c>
      <c r="S12" s="6" t="s">
        <v>729</v>
      </c>
      <c r="T12" s="6" t="s">
        <v>729</v>
      </c>
      <c r="U12" s="6" t="s">
        <v>729</v>
      </c>
      <c r="V12" s="8" t="s">
        <v>729</v>
      </c>
    </row>
    <row r="13" ht="65.5" customHeight="1" spans="1:22">
      <c r="A13" s="16"/>
      <c r="B13" s="6" t="s">
        <v>729</v>
      </c>
      <c r="C13" s="6" t="s">
        <v>729</v>
      </c>
      <c r="D13" s="18" t="s">
        <v>1670</v>
      </c>
      <c r="E13" s="6" t="s">
        <v>729</v>
      </c>
      <c r="F13" s="11" t="s">
        <v>752</v>
      </c>
      <c r="G13" s="11" t="s">
        <v>752</v>
      </c>
      <c r="H13" s="11" t="s">
        <v>752</v>
      </c>
      <c r="I13" s="11" t="s">
        <v>756</v>
      </c>
      <c r="J13" s="11" t="s">
        <v>729</v>
      </c>
      <c r="K13" s="11" t="s">
        <v>729</v>
      </c>
      <c r="L13" s="11" t="s">
        <v>729</v>
      </c>
      <c r="M13" s="11" t="s">
        <v>729</v>
      </c>
      <c r="N13" s="11" t="s">
        <v>729</v>
      </c>
      <c r="O13" s="11" t="s">
        <v>729</v>
      </c>
      <c r="P13" s="11" t="s">
        <v>729</v>
      </c>
      <c r="Q13" s="11" t="s">
        <v>729</v>
      </c>
      <c r="R13" s="11" t="s">
        <v>729</v>
      </c>
      <c r="S13" s="11" t="s">
        <v>729</v>
      </c>
      <c r="T13" s="11" t="s">
        <v>729</v>
      </c>
      <c r="U13" s="11" t="s">
        <v>729</v>
      </c>
      <c r="V13" s="12" t="s">
        <v>729</v>
      </c>
    </row>
    <row r="14" ht="78" customHeight="1" spans="1:22">
      <c r="A14" s="16"/>
      <c r="B14" s="6" t="s">
        <v>729</v>
      </c>
      <c r="C14" s="6" t="s">
        <v>729</v>
      </c>
      <c r="D14" s="18" t="s">
        <v>1671</v>
      </c>
      <c r="E14" s="6" t="s">
        <v>729</v>
      </c>
      <c r="F14" s="11" t="s">
        <v>756</v>
      </c>
      <c r="G14" s="11" t="s">
        <v>756</v>
      </c>
      <c r="H14" s="11" t="s">
        <v>756</v>
      </c>
      <c r="I14" s="11" t="s">
        <v>752</v>
      </c>
      <c r="J14" s="11" t="s">
        <v>729</v>
      </c>
      <c r="K14" s="11" t="s">
        <v>729</v>
      </c>
      <c r="L14" s="11" t="s">
        <v>729</v>
      </c>
      <c r="M14" s="11" t="s">
        <v>729</v>
      </c>
      <c r="N14" s="11" t="s">
        <v>729</v>
      </c>
      <c r="O14" s="11" t="s">
        <v>729</v>
      </c>
      <c r="P14" s="11" t="s">
        <v>729</v>
      </c>
      <c r="Q14" s="11" t="s">
        <v>729</v>
      </c>
      <c r="R14" s="11" t="s">
        <v>729</v>
      </c>
      <c r="S14" s="11" t="s">
        <v>729</v>
      </c>
      <c r="T14" s="11" t="s">
        <v>729</v>
      </c>
      <c r="U14" s="11" t="s">
        <v>729</v>
      </c>
      <c r="V14" s="12" t="s">
        <v>729</v>
      </c>
    </row>
    <row r="15" ht="15.5" customHeight="1" spans="1:22">
      <c r="A15" s="16"/>
      <c r="B15" s="17" t="s">
        <v>694</v>
      </c>
      <c r="C15" s="6" t="s">
        <v>729</v>
      </c>
      <c r="D15" s="6" t="s">
        <v>729</v>
      </c>
      <c r="E15" s="6" t="s">
        <v>729</v>
      </c>
      <c r="F15" s="6" t="s">
        <v>729</v>
      </c>
      <c r="G15" s="6" t="s">
        <v>729</v>
      </c>
      <c r="H15" s="6" t="s">
        <v>729</v>
      </c>
      <c r="I15" s="6" t="s">
        <v>729</v>
      </c>
      <c r="J15" s="6" t="s">
        <v>729</v>
      </c>
      <c r="K15" s="6" t="s">
        <v>729</v>
      </c>
      <c r="L15" s="6" t="s">
        <v>729</v>
      </c>
      <c r="M15" s="6" t="s">
        <v>729</v>
      </c>
      <c r="N15" s="6" t="s">
        <v>729</v>
      </c>
      <c r="O15" s="6" t="s">
        <v>729</v>
      </c>
      <c r="P15" s="6" t="s">
        <v>729</v>
      </c>
      <c r="Q15" s="6" t="s">
        <v>729</v>
      </c>
      <c r="R15" s="6" t="s">
        <v>729</v>
      </c>
      <c r="S15" s="6" t="s">
        <v>729</v>
      </c>
      <c r="T15" s="6" t="s">
        <v>729</v>
      </c>
      <c r="U15" s="6" t="s">
        <v>729</v>
      </c>
      <c r="V15" s="8" t="s">
        <v>729</v>
      </c>
    </row>
    <row r="16" ht="65.5" customHeight="1" spans="1:22">
      <c r="A16" s="16"/>
      <c r="B16" s="6" t="s">
        <v>729</v>
      </c>
      <c r="C16" s="6" t="s">
        <v>729</v>
      </c>
      <c r="D16" s="18" t="s">
        <v>1672</v>
      </c>
      <c r="E16" s="6" t="s">
        <v>729</v>
      </c>
      <c r="F16" s="11" t="s">
        <v>752</v>
      </c>
      <c r="G16" s="11" t="s">
        <v>752</v>
      </c>
      <c r="H16" s="11" t="s">
        <v>752</v>
      </c>
      <c r="I16" s="11" t="s">
        <v>756</v>
      </c>
      <c r="J16" s="11" t="s">
        <v>729</v>
      </c>
      <c r="K16" s="11" t="s">
        <v>729</v>
      </c>
      <c r="L16" s="11" t="s">
        <v>729</v>
      </c>
      <c r="M16" s="11" t="s">
        <v>729</v>
      </c>
      <c r="N16" s="11" t="s">
        <v>729</v>
      </c>
      <c r="O16" s="11" t="s">
        <v>729</v>
      </c>
      <c r="P16" s="11" t="s">
        <v>729</v>
      </c>
      <c r="Q16" s="11" t="s">
        <v>729</v>
      </c>
      <c r="R16" s="11" t="s">
        <v>729</v>
      </c>
      <c r="S16" s="11" t="s">
        <v>729</v>
      </c>
      <c r="T16" s="11" t="s">
        <v>729</v>
      </c>
      <c r="U16" s="11" t="s">
        <v>729</v>
      </c>
      <c r="V16" s="12" t="s">
        <v>729</v>
      </c>
    </row>
    <row r="17" ht="18" customHeight="1" spans="1:22">
      <c r="A17" s="19" t="s">
        <v>696</v>
      </c>
      <c r="B17" s="20" t="s">
        <v>765</v>
      </c>
      <c r="C17" s="20"/>
      <c r="D17" s="20"/>
      <c r="E17" s="6" t="s">
        <v>729</v>
      </c>
      <c r="F17" s="11" t="s">
        <v>670</v>
      </c>
      <c r="G17" s="11" t="s">
        <v>670</v>
      </c>
      <c r="H17" s="11" t="s">
        <v>670</v>
      </c>
      <c r="I17" s="11" t="s">
        <v>671</v>
      </c>
      <c r="J17" s="11" t="s">
        <v>729</v>
      </c>
      <c r="K17" s="11" t="s">
        <v>729</v>
      </c>
      <c r="L17" s="11" t="s">
        <v>729</v>
      </c>
      <c r="M17" s="11" t="s">
        <v>729</v>
      </c>
      <c r="N17" s="11" t="s">
        <v>729</v>
      </c>
      <c r="O17" s="11" t="s">
        <v>729</v>
      </c>
      <c r="P17" s="11" t="s">
        <v>729</v>
      </c>
      <c r="Q17" s="11" t="s">
        <v>729</v>
      </c>
      <c r="R17" s="11" t="s">
        <v>729</v>
      </c>
      <c r="S17" s="11" t="s">
        <v>729</v>
      </c>
      <c r="T17" s="11" t="s">
        <v>729</v>
      </c>
      <c r="U17" s="11" t="s">
        <v>729</v>
      </c>
      <c r="V17" s="12" t="s">
        <v>729</v>
      </c>
    </row>
    <row r="18" ht="18" customHeight="1" spans="1:22">
      <c r="A18" s="19"/>
      <c r="B18" s="20" t="s">
        <v>698</v>
      </c>
      <c r="C18" s="20"/>
      <c r="D18" s="20"/>
      <c r="E18" s="6" t="s">
        <v>729</v>
      </c>
      <c r="F18" s="11" t="s">
        <v>766</v>
      </c>
      <c r="G18" s="11" t="s">
        <v>766</v>
      </c>
      <c r="H18" s="11" t="s">
        <v>766</v>
      </c>
      <c r="I18" s="11" t="s">
        <v>766</v>
      </c>
      <c r="J18" s="11" t="s">
        <v>729</v>
      </c>
      <c r="K18" s="11" t="s">
        <v>729</v>
      </c>
      <c r="L18" s="11" t="s">
        <v>729</v>
      </c>
      <c r="M18" s="11" t="s">
        <v>729</v>
      </c>
      <c r="N18" s="11" t="s">
        <v>729</v>
      </c>
      <c r="O18" s="11" t="s">
        <v>729</v>
      </c>
      <c r="P18" s="11" t="s">
        <v>729</v>
      </c>
      <c r="Q18" s="11" t="s">
        <v>729</v>
      </c>
      <c r="R18" s="11" t="s">
        <v>729</v>
      </c>
      <c r="S18" s="11" t="s">
        <v>729</v>
      </c>
      <c r="T18" s="11" t="s">
        <v>729</v>
      </c>
      <c r="U18" s="11" t="s">
        <v>729</v>
      </c>
      <c r="V18" s="12" t="s">
        <v>729</v>
      </c>
    </row>
    <row r="19" ht="18" customHeight="1" spans="1:22">
      <c r="A19" s="19"/>
      <c r="B19" s="20" t="s">
        <v>699</v>
      </c>
      <c r="C19" s="20"/>
      <c r="D19" s="20"/>
      <c r="E19" s="6" t="s">
        <v>729</v>
      </c>
      <c r="F19" s="6" t="s">
        <v>729</v>
      </c>
      <c r="G19" s="6" t="s">
        <v>729</v>
      </c>
      <c r="H19" s="6" t="s">
        <v>729</v>
      </c>
      <c r="I19" s="6" t="s">
        <v>729</v>
      </c>
      <c r="J19" s="6" t="s">
        <v>729</v>
      </c>
      <c r="K19" s="6" t="s">
        <v>729</v>
      </c>
      <c r="L19" s="6" t="s">
        <v>729</v>
      </c>
      <c r="M19" s="6" t="s">
        <v>729</v>
      </c>
      <c r="N19" s="6" t="s">
        <v>729</v>
      </c>
      <c r="O19" s="6" t="s">
        <v>729</v>
      </c>
      <c r="P19" s="6" t="s">
        <v>729</v>
      </c>
      <c r="Q19" s="6" t="s">
        <v>729</v>
      </c>
      <c r="R19" s="6" t="s">
        <v>729</v>
      </c>
      <c r="S19" s="6" t="s">
        <v>729</v>
      </c>
      <c r="T19" s="6" t="s">
        <v>729</v>
      </c>
      <c r="U19" s="6" t="s">
        <v>729</v>
      </c>
      <c r="V19" s="8" t="s">
        <v>729</v>
      </c>
    </row>
    <row r="20" ht="18" customHeight="1" spans="1:22">
      <c r="A20" s="19"/>
      <c r="B20" s="21" t="s">
        <v>700</v>
      </c>
      <c r="C20" s="21"/>
      <c r="D20" s="21"/>
      <c r="E20" s="22" t="s">
        <v>729</v>
      </c>
      <c r="F20" s="22" t="s">
        <v>729</v>
      </c>
      <c r="G20" s="22" t="s">
        <v>729</v>
      </c>
      <c r="H20" s="22" t="s">
        <v>729</v>
      </c>
      <c r="I20" s="22" t="s">
        <v>729</v>
      </c>
      <c r="J20" s="22" t="s">
        <v>729</v>
      </c>
      <c r="K20" s="22" t="s">
        <v>729</v>
      </c>
      <c r="L20" s="22" t="s">
        <v>729</v>
      </c>
      <c r="M20" s="22" t="s">
        <v>729</v>
      </c>
      <c r="N20" s="22" t="s">
        <v>729</v>
      </c>
      <c r="O20" s="22" t="s">
        <v>729</v>
      </c>
      <c r="P20" s="22" t="s">
        <v>729</v>
      </c>
      <c r="Q20" s="22" t="s">
        <v>729</v>
      </c>
      <c r="R20" s="22" t="s">
        <v>729</v>
      </c>
      <c r="S20" s="22" t="s">
        <v>729</v>
      </c>
      <c r="T20" s="22" t="s">
        <v>729</v>
      </c>
      <c r="U20" s="22" t="s">
        <v>729</v>
      </c>
      <c r="V20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7:D17"/>
    <mergeCell ref="B18:D18"/>
    <mergeCell ref="B19:D19"/>
    <mergeCell ref="B20:D20"/>
    <mergeCell ref="A7:A11"/>
    <mergeCell ref="A12:A16"/>
    <mergeCell ref="A17:A20"/>
  </mergeCells>
  <dataValidations count="3">
    <dataValidation type="list" allowBlank="1" sqref="F16:V16 F8:V9 F10:V11 F13:V14">
      <formula1>"O,-"</formula1>
    </dataValidation>
    <dataValidation type="list" allowBlank="1" sqref="F17:V17">
      <formula1>"N,A,B"</formula1>
    </dataValidation>
    <dataValidation type="list" allowBlank="1" sqref="F18:V18">
      <formula1>"P,F"</formula1>
    </dataValidation>
  </dataValidations>
  <pageMargins left="0.7" right="0.7" top="0.75" bottom="0.75" header="0.3" footer="0.3"/>
  <pageSetup paperSize="1" orientation="portrait"/>
  <headerFooter/>
</worksheet>
</file>

<file path=xl/worksheets/sheet1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6"/>
  <sheetViews>
    <sheetView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570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636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1673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2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1</v>
      </c>
      <c r="M5" s="11">
        <v>0</v>
      </c>
      <c r="N5" s="11">
        <v>1</v>
      </c>
      <c r="O5" s="12">
        <v>2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687</v>
      </c>
      <c r="H6" s="14" t="s">
        <v>729</v>
      </c>
      <c r="I6" s="14" t="s">
        <v>729</v>
      </c>
      <c r="J6" s="14" t="s">
        <v>729</v>
      </c>
      <c r="K6" s="14" t="s">
        <v>729</v>
      </c>
      <c r="L6" s="14" t="s">
        <v>729</v>
      </c>
      <c r="M6" s="14" t="s">
        <v>729</v>
      </c>
      <c r="N6" s="14" t="s">
        <v>729</v>
      </c>
      <c r="O6" s="14" t="s">
        <v>729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15.5" customHeight="1" spans="1:22">
      <c r="A7" s="16" t="s">
        <v>690</v>
      </c>
      <c r="B7" s="17" t="s">
        <v>1023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53" customHeight="1" spans="1:22">
      <c r="A8" s="16"/>
      <c r="B8" s="6" t="s">
        <v>729</v>
      </c>
      <c r="C8" s="6" t="s">
        <v>729</v>
      </c>
      <c r="D8" s="18" t="s">
        <v>1674</v>
      </c>
      <c r="E8" s="6" t="s">
        <v>729</v>
      </c>
      <c r="F8" s="11" t="s">
        <v>752</v>
      </c>
      <c r="G8" s="11" t="s">
        <v>756</v>
      </c>
      <c r="H8" s="11" t="s">
        <v>729</v>
      </c>
      <c r="I8" s="11" t="s">
        <v>729</v>
      </c>
      <c r="J8" s="11" t="s">
        <v>729</v>
      </c>
      <c r="K8" s="11" t="s">
        <v>729</v>
      </c>
      <c r="L8" s="11" t="s">
        <v>729</v>
      </c>
      <c r="M8" s="11" t="s">
        <v>729</v>
      </c>
      <c r="N8" s="11" t="s">
        <v>729</v>
      </c>
      <c r="O8" s="11" t="s">
        <v>729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65.5" customHeight="1" spans="1:22">
      <c r="A9" s="16"/>
      <c r="B9" s="6" t="s">
        <v>729</v>
      </c>
      <c r="C9" s="6" t="s">
        <v>729</v>
      </c>
      <c r="D9" s="18" t="s">
        <v>1675</v>
      </c>
      <c r="E9" s="6" t="s">
        <v>729</v>
      </c>
      <c r="F9" s="11" t="s">
        <v>756</v>
      </c>
      <c r="G9" s="11" t="s">
        <v>752</v>
      </c>
      <c r="H9" s="11" t="s">
        <v>729</v>
      </c>
      <c r="I9" s="11" t="s">
        <v>729</v>
      </c>
      <c r="J9" s="11" t="s">
        <v>729</v>
      </c>
      <c r="K9" s="11" t="s">
        <v>729</v>
      </c>
      <c r="L9" s="11" t="s">
        <v>729</v>
      </c>
      <c r="M9" s="11" t="s">
        <v>729</v>
      </c>
      <c r="N9" s="11" t="s">
        <v>729</v>
      </c>
      <c r="O9" s="11" t="s">
        <v>729</v>
      </c>
      <c r="P9" s="11" t="s">
        <v>729</v>
      </c>
      <c r="Q9" s="11" t="s">
        <v>729</v>
      </c>
      <c r="R9" s="11" t="s">
        <v>729</v>
      </c>
      <c r="S9" s="11" t="s">
        <v>729</v>
      </c>
      <c r="T9" s="11" t="s">
        <v>729</v>
      </c>
      <c r="U9" s="11" t="s">
        <v>729</v>
      </c>
      <c r="V9" s="12" t="s">
        <v>729</v>
      </c>
    </row>
    <row r="10" ht="15.5" customHeight="1" spans="1:22">
      <c r="A10" s="16" t="s">
        <v>692</v>
      </c>
      <c r="B10" s="17" t="s">
        <v>693</v>
      </c>
      <c r="C10" s="6" t="s">
        <v>729</v>
      </c>
      <c r="D10" s="6" t="s">
        <v>729</v>
      </c>
      <c r="E10" s="6" t="s">
        <v>729</v>
      </c>
      <c r="F10" s="6" t="s">
        <v>729</v>
      </c>
      <c r="G10" s="6" t="s">
        <v>729</v>
      </c>
      <c r="H10" s="6" t="s">
        <v>729</v>
      </c>
      <c r="I10" s="6" t="s">
        <v>729</v>
      </c>
      <c r="J10" s="6" t="s">
        <v>729</v>
      </c>
      <c r="K10" s="6" t="s">
        <v>729</v>
      </c>
      <c r="L10" s="6" t="s">
        <v>729</v>
      </c>
      <c r="M10" s="6" t="s">
        <v>729</v>
      </c>
      <c r="N10" s="6" t="s">
        <v>729</v>
      </c>
      <c r="O10" s="6" t="s">
        <v>729</v>
      </c>
      <c r="P10" s="6" t="s">
        <v>729</v>
      </c>
      <c r="Q10" s="6" t="s">
        <v>729</v>
      </c>
      <c r="R10" s="6" t="s">
        <v>729</v>
      </c>
      <c r="S10" s="6" t="s">
        <v>729</v>
      </c>
      <c r="T10" s="6" t="s">
        <v>729</v>
      </c>
      <c r="U10" s="6" t="s">
        <v>729</v>
      </c>
      <c r="V10" s="8" t="s">
        <v>729</v>
      </c>
    </row>
    <row r="11" ht="90.5" customHeight="1" spans="1:22">
      <c r="A11" s="16"/>
      <c r="B11" s="6" t="s">
        <v>729</v>
      </c>
      <c r="C11" s="6" t="s">
        <v>729</v>
      </c>
      <c r="D11" s="18" t="s">
        <v>1676</v>
      </c>
      <c r="E11" s="6" t="s">
        <v>729</v>
      </c>
      <c r="F11" s="11" t="s">
        <v>752</v>
      </c>
      <c r="G11" s="11" t="s">
        <v>756</v>
      </c>
      <c r="H11" s="11" t="s">
        <v>729</v>
      </c>
      <c r="I11" s="11" t="s">
        <v>729</v>
      </c>
      <c r="J11" s="11" t="s">
        <v>729</v>
      </c>
      <c r="K11" s="11" t="s">
        <v>729</v>
      </c>
      <c r="L11" s="11" t="s">
        <v>729</v>
      </c>
      <c r="M11" s="11" t="s">
        <v>729</v>
      </c>
      <c r="N11" s="11" t="s">
        <v>729</v>
      </c>
      <c r="O11" s="11" t="s">
        <v>729</v>
      </c>
      <c r="P11" s="11" t="s">
        <v>729</v>
      </c>
      <c r="Q11" s="11" t="s">
        <v>729</v>
      </c>
      <c r="R11" s="11" t="s">
        <v>729</v>
      </c>
      <c r="S11" s="11" t="s">
        <v>729</v>
      </c>
      <c r="T11" s="11" t="s">
        <v>729</v>
      </c>
      <c r="U11" s="11" t="s">
        <v>729</v>
      </c>
      <c r="V11" s="12" t="s">
        <v>729</v>
      </c>
    </row>
    <row r="12" ht="90.5" customHeight="1" spans="1:22">
      <c r="A12" s="16"/>
      <c r="B12" s="6" t="s">
        <v>729</v>
      </c>
      <c r="C12" s="6" t="s">
        <v>729</v>
      </c>
      <c r="D12" s="18" t="s">
        <v>1677</v>
      </c>
      <c r="E12" s="6" t="s">
        <v>729</v>
      </c>
      <c r="F12" s="11" t="s">
        <v>756</v>
      </c>
      <c r="G12" s="11" t="s">
        <v>752</v>
      </c>
      <c r="H12" s="11" t="s">
        <v>729</v>
      </c>
      <c r="I12" s="11" t="s">
        <v>729</v>
      </c>
      <c r="J12" s="11" t="s">
        <v>729</v>
      </c>
      <c r="K12" s="11" t="s">
        <v>729</v>
      </c>
      <c r="L12" s="11" t="s">
        <v>729</v>
      </c>
      <c r="M12" s="11" t="s">
        <v>729</v>
      </c>
      <c r="N12" s="11" t="s">
        <v>729</v>
      </c>
      <c r="O12" s="11" t="s">
        <v>729</v>
      </c>
      <c r="P12" s="11" t="s">
        <v>729</v>
      </c>
      <c r="Q12" s="11" t="s">
        <v>729</v>
      </c>
      <c r="R12" s="11" t="s">
        <v>729</v>
      </c>
      <c r="S12" s="11" t="s">
        <v>729</v>
      </c>
      <c r="T12" s="11" t="s">
        <v>729</v>
      </c>
      <c r="U12" s="11" t="s">
        <v>729</v>
      </c>
      <c r="V12" s="12" t="s">
        <v>729</v>
      </c>
    </row>
    <row r="13" ht="18" customHeight="1" spans="1:22">
      <c r="A13" s="19" t="s">
        <v>696</v>
      </c>
      <c r="B13" s="20" t="s">
        <v>765</v>
      </c>
      <c r="C13" s="20"/>
      <c r="D13" s="20"/>
      <c r="E13" s="6" t="s">
        <v>729</v>
      </c>
      <c r="F13" s="11" t="s">
        <v>670</v>
      </c>
      <c r="G13" s="11" t="s">
        <v>671</v>
      </c>
      <c r="H13" s="11" t="s">
        <v>729</v>
      </c>
      <c r="I13" s="11" t="s">
        <v>729</v>
      </c>
      <c r="J13" s="11" t="s">
        <v>729</v>
      </c>
      <c r="K13" s="11" t="s">
        <v>729</v>
      </c>
      <c r="L13" s="11" t="s">
        <v>729</v>
      </c>
      <c r="M13" s="11" t="s">
        <v>729</v>
      </c>
      <c r="N13" s="11" t="s">
        <v>729</v>
      </c>
      <c r="O13" s="11" t="s">
        <v>729</v>
      </c>
      <c r="P13" s="11" t="s">
        <v>729</v>
      </c>
      <c r="Q13" s="11" t="s">
        <v>729</v>
      </c>
      <c r="R13" s="11" t="s">
        <v>729</v>
      </c>
      <c r="S13" s="11" t="s">
        <v>729</v>
      </c>
      <c r="T13" s="11" t="s">
        <v>729</v>
      </c>
      <c r="U13" s="11" t="s">
        <v>729</v>
      </c>
      <c r="V13" s="12" t="s">
        <v>729</v>
      </c>
    </row>
    <row r="14" ht="18" customHeight="1" spans="1:22">
      <c r="A14" s="19"/>
      <c r="B14" s="20" t="s">
        <v>698</v>
      </c>
      <c r="C14" s="20"/>
      <c r="D14" s="20"/>
      <c r="E14" s="6" t="s">
        <v>729</v>
      </c>
      <c r="F14" s="11" t="s">
        <v>766</v>
      </c>
      <c r="G14" s="11" t="s">
        <v>766</v>
      </c>
      <c r="H14" s="11" t="s">
        <v>729</v>
      </c>
      <c r="I14" s="11" t="s">
        <v>729</v>
      </c>
      <c r="J14" s="11" t="s">
        <v>729</v>
      </c>
      <c r="K14" s="11" t="s">
        <v>729</v>
      </c>
      <c r="L14" s="11" t="s">
        <v>729</v>
      </c>
      <c r="M14" s="11" t="s">
        <v>729</v>
      </c>
      <c r="N14" s="11" t="s">
        <v>729</v>
      </c>
      <c r="O14" s="11" t="s">
        <v>729</v>
      </c>
      <c r="P14" s="11" t="s">
        <v>729</v>
      </c>
      <c r="Q14" s="11" t="s">
        <v>729</v>
      </c>
      <c r="R14" s="11" t="s">
        <v>729</v>
      </c>
      <c r="S14" s="11" t="s">
        <v>729</v>
      </c>
      <c r="T14" s="11" t="s">
        <v>729</v>
      </c>
      <c r="U14" s="11" t="s">
        <v>729</v>
      </c>
      <c r="V14" s="12" t="s">
        <v>729</v>
      </c>
    </row>
    <row r="15" ht="18" customHeight="1" spans="1:22">
      <c r="A15" s="19"/>
      <c r="B15" s="20" t="s">
        <v>699</v>
      </c>
      <c r="C15" s="20"/>
      <c r="D15" s="20"/>
      <c r="E15" s="6" t="s">
        <v>729</v>
      </c>
      <c r="F15" s="6" t="s">
        <v>729</v>
      </c>
      <c r="G15" s="6" t="s">
        <v>729</v>
      </c>
      <c r="H15" s="6" t="s">
        <v>729</v>
      </c>
      <c r="I15" s="6" t="s">
        <v>729</v>
      </c>
      <c r="J15" s="6" t="s">
        <v>729</v>
      </c>
      <c r="K15" s="6" t="s">
        <v>729</v>
      </c>
      <c r="L15" s="6" t="s">
        <v>729</v>
      </c>
      <c r="M15" s="6" t="s">
        <v>729</v>
      </c>
      <c r="N15" s="6" t="s">
        <v>729</v>
      </c>
      <c r="O15" s="6" t="s">
        <v>729</v>
      </c>
      <c r="P15" s="6" t="s">
        <v>729</v>
      </c>
      <c r="Q15" s="6" t="s">
        <v>729</v>
      </c>
      <c r="R15" s="6" t="s">
        <v>729</v>
      </c>
      <c r="S15" s="6" t="s">
        <v>729</v>
      </c>
      <c r="T15" s="6" t="s">
        <v>729</v>
      </c>
      <c r="U15" s="6" t="s">
        <v>729</v>
      </c>
      <c r="V15" s="8" t="s">
        <v>729</v>
      </c>
    </row>
    <row r="16" ht="18" customHeight="1" spans="1:22">
      <c r="A16" s="19"/>
      <c r="B16" s="21" t="s">
        <v>700</v>
      </c>
      <c r="C16" s="21"/>
      <c r="D16" s="21"/>
      <c r="E16" s="22" t="s">
        <v>729</v>
      </c>
      <c r="F16" s="22" t="s">
        <v>729</v>
      </c>
      <c r="G16" s="22" t="s">
        <v>729</v>
      </c>
      <c r="H16" s="22" t="s">
        <v>729</v>
      </c>
      <c r="I16" s="22" t="s">
        <v>729</v>
      </c>
      <c r="J16" s="22" t="s">
        <v>729</v>
      </c>
      <c r="K16" s="22" t="s">
        <v>729</v>
      </c>
      <c r="L16" s="22" t="s">
        <v>729</v>
      </c>
      <c r="M16" s="22" t="s">
        <v>729</v>
      </c>
      <c r="N16" s="22" t="s">
        <v>729</v>
      </c>
      <c r="O16" s="22" t="s">
        <v>729</v>
      </c>
      <c r="P16" s="22" t="s">
        <v>729</v>
      </c>
      <c r="Q16" s="22" t="s">
        <v>729</v>
      </c>
      <c r="R16" s="22" t="s">
        <v>729</v>
      </c>
      <c r="S16" s="22" t="s">
        <v>729</v>
      </c>
      <c r="T16" s="22" t="s">
        <v>729</v>
      </c>
      <c r="U16" s="22" t="s">
        <v>729</v>
      </c>
      <c r="V16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3:D13"/>
    <mergeCell ref="B14:D14"/>
    <mergeCell ref="B15:D15"/>
    <mergeCell ref="B16:D16"/>
    <mergeCell ref="A7:A9"/>
    <mergeCell ref="A10:A12"/>
    <mergeCell ref="A13:A16"/>
  </mergeCells>
  <dataValidations count="3">
    <dataValidation type="list" allowBlank="1" sqref="F13:V13">
      <formula1>"N,A,B"</formula1>
    </dataValidation>
    <dataValidation type="list" allowBlank="1" sqref="F14:V14">
      <formula1>"P,F"</formula1>
    </dataValidation>
    <dataValidation type="list" allowBlank="1" sqref="F11:V12 F8:V9">
      <formula1>"O,-"</formula1>
    </dataValidation>
  </dataValidations>
  <pageMargins left="0.7" right="0.7" top="0.75" bottom="0.75" header="0.3" footer="0.3"/>
  <pageSetup paperSize="1" orientation="portrait"/>
  <headerFooter/>
</worksheet>
</file>

<file path=xl/worksheets/sheet1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6"/>
  <sheetViews>
    <sheetView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570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641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1678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2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1</v>
      </c>
      <c r="M5" s="11">
        <v>0</v>
      </c>
      <c r="N5" s="11">
        <v>1</v>
      </c>
      <c r="O5" s="12">
        <v>2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687</v>
      </c>
      <c r="H6" s="14" t="s">
        <v>729</v>
      </c>
      <c r="I6" s="14" t="s">
        <v>729</v>
      </c>
      <c r="J6" s="14" t="s">
        <v>729</v>
      </c>
      <c r="K6" s="14" t="s">
        <v>729</v>
      </c>
      <c r="L6" s="14" t="s">
        <v>729</v>
      </c>
      <c r="M6" s="14" t="s">
        <v>729</v>
      </c>
      <c r="N6" s="14" t="s">
        <v>729</v>
      </c>
      <c r="O6" s="14" t="s">
        <v>729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15.5" customHeight="1" spans="1:22">
      <c r="A7" s="16" t="s">
        <v>690</v>
      </c>
      <c r="B7" s="17" t="s">
        <v>1679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90.5" customHeight="1" spans="1:22">
      <c r="A8" s="16"/>
      <c r="B8" s="6" t="s">
        <v>729</v>
      </c>
      <c r="C8" s="6" t="s">
        <v>729</v>
      </c>
      <c r="D8" s="18" t="s">
        <v>1680</v>
      </c>
      <c r="E8" s="6" t="s">
        <v>729</v>
      </c>
      <c r="F8" s="11" t="s">
        <v>752</v>
      </c>
      <c r="G8" s="11" t="s">
        <v>756</v>
      </c>
      <c r="H8" s="11" t="s">
        <v>729</v>
      </c>
      <c r="I8" s="11" t="s">
        <v>729</v>
      </c>
      <c r="J8" s="11" t="s">
        <v>729</v>
      </c>
      <c r="K8" s="11" t="s">
        <v>729</v>
      </c>
      <c r="L8" s="11" t="s">
        <v>729</v>
      </c>
      <c r="M8" s="11" t="s">
        <v>729</v>
      </c>
      <c r="N8" s="11" t="s">
        <v>729</v>
      </c>
      <c r="O8" s="11" t="s">
        <v>729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78" customHeight="1" spans="1:22">
      <c r="A9" s="16"/>
      <c r="B9" s="6" t="s">
        <v>729</v>
      </c>
      <c r="C9" s="6" t="s">
        <v>729</v>
      </c>
      <c r="D9" s="18" t="s">
        <v>1681</v>
      </c>
      <c r="E9" s="6" t="s">
        <v>729</v>
      </c>
      <c r="F9" s="11" t="s">
        <v>756</v>
      </c>
      <c r="G9" s="11" t="s">
        <v>752</v>
      </c>
      <c r="H9" s="11" t="s">
        <v>729</v>
      </c>
      <c r="I9" s="11" t="s">
        <v>729</v>
      </c>
      <c r="J9" s="11" t="s">
        <v>729</v>
      </c>
      <c r="K9" s="11" t="s">
        <v>729</v>
      </c>
      <c r="L9" s="11" t="s">
        <v>729</v>
      </c>
      <c r="M9" s="11" t="s">
        <v>729</v>
      </c>
      <c r="N9" s="11" t="s">
        <v>729</v>
      </c>
      <c r="O9" s="11" t="s">
        <v>729</v>
      </c>
      <c r="P9" s="11" t="s">
        <v>729</v>
      </c>
      <c r="Q9" s="11" t="s">
        <v>729</v>
      </c>
      <c r="R9" s="11" t="s">
        <v>729</v>
      </c>
      <c r="S9" s="11" t="s">
        <v>729</v>
      </c>
      <c r="T9" s="11" t="s">
        <v>729</v>
      </c>
      <c r="U9" s="11" t="s">
        <v>729</v>
      </c>
      <c r="V9" s="12" t="s">
        <v>729</v>
      </c>
    </row>
    <row r="10" ht="15.5" customHeight="1" spans="1:22">
      <c r="A10" s="16" t="s">
        <v>692</v>
      </c>
      <c r="B10" s="17" t="s">
        <v>693</v>
      </c>
      <c r="C10" s="6" t="s">
        <v>729</v>
      </c>
      <c r="D10" s="6" t="s">
        <v>729</v>
      </c>
      <c r="E10" s="6" t="s">
        <v>729</v>
      </c>
      <c r="F10" s="6" t="s">
        <v>729</v>
      </c>
      <c r="G10" s="6" t="s">
        <v>729</v>
      </c>
      <c r="H10" s="6" t="s">
        <v>729</v>
      </c>
      <c r="I10" s="6" t="s">
        <v>729</v>
      </c>
      <c r="J10" s="6" t="s">
        <v>729</v>
      </c>
      <c r="K10" s="6" t="s">
        <v>729</v>
      </c>
      <c r="L10" s="6" t="s">
        <v>729</v>
      </c>
      <c r="M10" s="6" t="s">
        <v>729</v>
      </c>
      <c r="N10" s="6" t="s">
        <v>729</v>
      </c>
      <c r="O10" s="6" t="s">
        <v>729</v>
      </c>
      <c r="P10" s="6" t="s">
        <v>729</v>
      </c>
      <c r="Q10" s="6" t="s">
        <v>729</v>
      </c>
      <c r="R10" s="6" t="s">
        <v>729</v>
      </c>
      <c r="S10" s="6" t="s">
        <v>729</v>
      </c>
      <c r="T10" s="6" t="s">
        <v>729</v>
      </c>
      <c r="U10" s="6" t="s">
        <v>729</v>
      </c>
      <c r="V10" s="8" t="s">
        <v>729</v>
      </c>
    </row>
    <row r="11" ht="53" customHeight="1" spans="1:22">
      <c r="A11" s="16"/>
      <c r="B11" s="6" t="s">
        <v>729</v>
      </c>
      <c r="C11" s="6" t="s">
        <v>729</v>
      </c>
      <c r="D11" s="18" t="s">
        <v>1682</v>
      </c>
      <c r="E11" s="6" t="s">
        <v>729</v>
      </c>
      <c r="F11" s="11" t="s">
        <v>752</v>
      </c>
      <c r="G11" s="11" t="s">
        <v>756</v>
      </c>
      <c r="H11" s="11" t="s">
        <v>729</v>
      </c>
      <c r="I11" s="11" t="s">
        <v>729</v>
      </c>
      <c r="J11" s="11" t="s">
        <v>729</v>
      </c>
      <c r="K11" s="11" t="s">
        <v>729</v>
      </c>
      <c r="L11" s="11" t="s">
        <v>729</v>
      </c>
      <c r="M11" s="11" t="s">
        <v>729</v>
      </c>
      <c r="N11" s="11" t="s">
        <v>729</v>
      </c>
      <c r="O11" s="11" t="s">
        <v>729</v>
      </c>
      <c r="P11" s="11" t="s">
        <v>729</v>
      </c>
      <c r="Q11" s="11" t="s">
        <v>729</v>
      </c>
      <c r="R11" s="11" t="s">
        <v>729</v>
      </c>
      <c r="S11" s="11" t="s">
        <v>729</v>
      </c>
      <c r="T11" s="11" t="s">
        <v>729</v>
      </c>
      <c r="U11" s="11" t="s">
        <v>729</v>
      </c>
      <c r="V11" s="12" t="s">
        <v>729</v>
      </c>
    </row>
    <row r="12" ht="128" customHeight="1" spans="1:22">
      <c r="A12" s="16"/>
      <c r="B12" s="6" t="s">
        <v>729</v>
      </c>
      <c r="C12" s="6" t="s">
        <v>729</v>
      </c>
      <c r="D12" s="18" t="s">
        <v>1683</v>
      </c>
      <c r="E12" s="6" t="s">
        <v>729</v>
      </c>
      <c r="F12" s="11" t="s">
        <v>756</v>
      </c>
      <c r="G12" s="11" t="s">
        <v>752</v>
      </c>
      <c r="H12" s="11" t="s">
        <v>729</v>
      </c>
      <c r="I12" s="11" t="s">
        <v>729</v>
      </c>
      <c r="J12" s="11" t="s">
        <v>729</v>
      </c>
      <c r="K12" s="11" t="s">
        <v>729</v>
      </c>
      <c r="L12" s="11" t="s">
        <v>729</v>
      </c>
      <c r="M12" s="11" t="s">
        <v>729</v>
      </c>
      <c r="N12" s="11" t="s">
        <v>729</v>
      </c>
      <c r="O12" s="11" t="s">
        <v>729</v>
      </c>
      <c r="P12" s="11" t="s">
        <v>729</v>
      </c>
      <c r="Q12" s="11" t="s">
        <v>729</v>
      </c>
      <c r="R12" s="11" t="s">
        <v>729</v>
      </c>
      <c r="S12" s="11" t="s">
        <v>729</v>
      </c>
      <c r="T12" s="11" t="s">
        <v>729</v>
      </c>
      <c r="U12" s="11" t="s">
        <v>729</v>
      </c>
      <c r="V12" s="12" t="s">
        <v>729</v>
      </c>
    </row>
    <row r="13" ht="18" customHeight="1" spans="1:22">
      <c r="A13" s="19" t="s">
        <v>696</v>
      </c>
      <c r="B13" s="20" t="s">
        <v>765</v>
      </c>
      <c r="C13" s="20"/>
      <c r="D13" s="20"/>
      <c r="E13" s="6" t="s">
        <v>729</v>
      </c>
      <c r="F13" s="11" t="s">
        <v>670</v>
      </c>
      <c r="G13" s="11" t="s">
        <v>671</v>
      </c>
      <c r="H13" s="11" t="s">
        <v>729</v>
      </c>
      <c r="I13" s="11" t="s">
        <v>729</v>
      </c>
      <c r="J13" s="11" t="s">
        <v>729</v>
      </c>
      <c r="K13" s="11" t="s">
        <v>729</v>
      </c>
      <c r="L13" s="11" t="s">
        <v>729</v>
      </c>
      <c r="M13" s="11" t="s">
        <v>729</v>
      </c>
      <c r="N13" s="11" t="s">
        <v>729</v>
      </c>
      <c r="O13" s="11" t="s">
        <v>729</v>
      </c>
      <c r="P13" s="11" t="s">
        <v>729</v>
      </c>
      <c r="Q13" s="11" t="s">
        <v>729</v>
      </c>
      <c r="R13" s="11" t="s">
        <v>729</v>
      </c>
      <c r="S13" s="11" t="s">
        <v>729</v>
      </c>
      <c r="T13" s="11" t="s">
        <v>729</v>
      </c>
      <c r="U13" s="11" t="s">
        <v>729</v>
      </c>
      <c r="V13" s="12" t="s">
        <v>729</v>
      </c>
    </row>
    <row r="14" ht="18" customHeight="1" spans="1:22">
      <c r="A14" s="19"/>
      <c r="B14" s="20" t="s">
        <v>698</v>
      </c>
      <c r="C14" s="20"/>
      <c r="D14" s="20"/>
      <c r="E14" s="6" t="s">
        <v>729</v>
      </c>
      <c r="F14" s="11" t="s">
        <v>766</v>
      </c>
      <c r="G14" s="11" t="s">
        <v>766</v>
      </c>
      <c r="H14" s="11" t="s">
        <v>729</v>
      </c>
      <c r="I14" s="11" t="s">
        <v>729</v>
      </c>
      <c r="J14" s="11" t="s">
        <v>729</v>
      </c>
      <c r="K14" s="11" t="s">
        <v>729</v>
      </c>
      <c r="L14" s="11" t="s">
        <v>729</v>
      </c>
      <c r="M14" s="11" t="s">
        <v>729</v>
      </c>
      <c r="N14" s="11" t="s">
        <v>729</v>
      </c>
      <c r="O14" s="11" t="s">
        <v>729</v>
      </c>
      <c r="P14" s="11" t="s">
        <v>729</v>
      </c>
      <c r="Q14" s="11" t="s">
        <v>729</v>
      </c>
      <c r="R14" s="11" t="s">
        <v>729</v>
      </c>
      <c r="S14" s="11" t="s">
        <v>729</v>
      </c>
      <c r="T14" s="11" t="s">
        <v>729</v>
      </c>
      <c r="U14" s="11" t="s">
        <v>729</v>
      </c>
      <c r="V14" s="12" t="s">
        <v>729</v>
      </c>
    </row>
    <row r="15" ht="18" customHeight="1" spans="1:22">
      <c r="A15" s="19"/>
      <c r="B15" s="20" t="s">
        <v>699</v>
      </c>
      <c r="C15" s="20"/>
      <c r="D15" s="20"/>
      <c r="E15" s="6" t="s">
        <v>729</v>
      </c>
      <c r="F15" s="6" t="s">
        <v>729</v>
      </c>
      <c r="G15" s="6" t="s">
        <v>729</v>
      </c>
      <c r="H15" s="6" t="s">
        <v>729</v>
      </c>
      <c r="I15" s="6" t="s">
        <v>729</v>
      </c>
      <c r="J15" s="6" t="s">
        <v>729</v>
      </c>
      <c r="K15" s="6" t="s">
        <v>729</v>
      </c>
      <c r="L15" s="6" t="s">
        <v>729</v>
      </c>
      <c r="M15" s="6" t="s">
        <v>729</v>
      </c>
      <c r="N15" s="6" t="s">
        <v>729</v>
      </c>
      <c r="O15" s="6" t="s">
        <v>729</v>
      </c>
      <c r="P15" s="6" t="s">
        <v>729</v>
      </c>
      <c r="Q15" s="6" t="s">
        <v>729</v>
      </c>
      <c r="R15" s="6" t="s">
        <v>729</v>
      </c>
      <c r="S15" s="6" t="s">
        <v>729</v>
      </c>
      <c r="T15" s="6" t="s">
        <v>729</v>
      </c>
      <c r="U15" s="6" t="s">
        <v>729</v>
      </c>
      <c r="V15" s="8" t="s">
        <v>729</v>
      </c>
    </row>
    <row r="16" ht="18" customHeight="1" spans="1:22">
      <c r="A16" s="19"/>
      <c r="B16" s="21" t="s">
        <v>700</v>
      </c>
      <c r="C16" s="21"/>
      <c r="D16" s="21"/>
      <c r="E16" s="22" t="s">
        <v>729</v>
      </c>
      <c r="F16" s="22" t="s">
        <v>729</v>
      </c>
      <c r="G16" s="22" t="s">
        <v>729</v>
      </c>
      <c r="H16" s="22" t="s">
        <v>729</v>
      </c>
      <c r="I16" s="22" t="s">
        <v>729</v>
      </c>
      <c r="J16" s="22" t="s">
        <v>729</v>
      </c>
      <c r="K16" s="22" t="s">
        <v>729</v>
      </c>
      <c r="L16" s="22" t="s">
        <v>729</v>
      </c>
      <c r="M16" s="22" t="s">
        <v>729</v>
      </c>
      <c r="N16" s="22" t="s">
        <v>729</v>
      </c>
      <c r="O16" s="22" t="s">
        <v>729</v>
      </c>
      <c r="P16" s="22" t="s">
        <v>729</v>
      </c>
      <c r="Q16" s="22" t="s">
        <v>729</v>
      </c>
      <c r="R16" s="22" t="s">
        <v>729</v>
      </c>
      <c r="S16" s="22" t="s">
        <v>729</v>
      </c>
      <c r="T16" s="22" t="s">
        <v>729</v>
      </c>
      <c r="U16" s="22" t="s">
        <v>729</v>
      </c>
      <c r="V16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3:D13"/>
    <mergeCell ref="B14:D14"/>
    <mergeCell ref="B15:D15"/>
    <mergeCell ref="B16:D16"/>
    <mergeCell ref="A7:A9"/>
    <mergeCell ref="A10:A12"/>
    <mergeCell ref="A13:A16"/>
  </mergeCells>
  <dataValidations count="3">
    <dataValidation type="list" allowBlank="1" sqref="F13:V13">
      <formula1>"N,A,B"</formula1>
    </dataValidation>
    <dataValidation type="list" allowBlank="1" sqref="F14:V14">
      <formula1>"P,F"</formula1>
    </dataValidation>
    <dataValidation type="list" allowBlank="1" sqref="F11:V12 F8:V9">
      <formula1>"O,-"</formula1>
    </dataValidation>
  </dataValidations>
  <pageMargins left="0.7" right="0.7" top="0.75" bottom="0.75" header="0.3" footer="0.3"/>
  <pageSetup paperSize="1" orientation="portrait"/>
  <headerFooter/>
</worksheet>
</file>

<file path=xl/worksheets/sheet1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5"/>
  <sheetViews>
    <sheetView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570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646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1684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2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0</v>
      </c>
      <c r="M5" s="11">
        <v>0</v>
      </c>
      <c r="N5" s="11">
        <v>2</v>
      </c>
      <c r="O5" s="12">
        <v>2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687</v>
      </c>
      <c r="H6" s="14" t="s">
        <v>729</v>
      </c>
      <c r="I6" s="14" t="s">
        <v>729</v>
      </c>
      <c r="J6" s="14" t="s">
        <v>729</v>
      </c>
      <c r="K6" s="14" t="s">
        <v>729</v>
      </c>
      <c r="L6" s="14" t="s">
        <v>729</v>
      </c>
      <c r="M6" s="14" t="s">
        <v>729</v>
      </c>
      <c r="N6" s="14" t="s">
        <v>729</v>
      </c>
      <c r="O6" s="14" t="s">
        <v>729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15.5" customHeight="1" spans="1:22">
      <c r="A7" s="16" t="s">
        <v>690</v>
      </c>
      <c r="B7" s="17" t="s">
        <v>1023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65.5" customHeight="1" spans="1:22">
      <c r="A8" s="16"/>
      <c r="B8" s="6" t="s">
        <v>729</v>
      </c>
      <c r="C8" s="6" t="s">
        <v>729</v>
      </c>
      <c r="D8" s="18" t="s">
        <v>1685</v>
      </c>
      <c r="E8" s="6" t="s">
        <v>729</v>
      </c>
      <c r="F8" s="11" t="s">
        <v>752</v>
      </c>
      <c r="G8" s="11" t="s">
        <v>756</v>
      </c>
      <c r="H8" s="11" t="s">
        <v>729</v>
      </c>
      <c r="I8" s="11" t="s">
        <v>729</v>
      </c>
      <c r="J8" s="11" t="s">
        <v>729</v>
      </c>
      <c r="K8" s="11" t="s">
        <v>729</v>
      </c>
      <c r="L8" s="11" t="s">
        <v>729</v>
      </c>
      <c r="M8" s="11" t="s">
        <v>729</v>
      </c>
      <c r="N8" s="11" t="s">
        <v>729</v>
      </c>
      <c r="O8" s="11" t="s">
        <v>729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78" customHeight="1" spans="1:22">
      <c r="A9" s="16"/>
      <c r="B9" s="6" t="s">
        <v>729</v>
      </c>
      <c r="C9" s="6" t="s">
        <v>729</v>
      </c>
      <c r="D9" s="18" t="s">
        <v>1686</v>
      </c>
      <c r="E9" s="6" t="s">
        <v>729</v>
      </c>
      <c r="F9" s="11" t="s">
        <v>756</v>
      </c>
      <c r="G9" s="11" t="s">
        <v>752</v>
      </c>
      <c r="H9" s="11" t="s">
        <v>729</v>
      </c>
      <c r="I9" s="11" t="s">
        <v>729</v>
      </c>
      <c r="J9" s="11" t="s">
        <v>729</v>
      </c>
      <c r="K9" s="11" t="s">
        <v>729</v>
      </c>
      <c r="L9" s="11" t="s">
        <v>729</v>
      </c>
      <c r="M9" s="11" t="s">
        <v>729</v>
      </c>
      <c r="N9" s="11" t="s">
        <v>729</v>
      </c>
      <c r="O9" s="11" t="s">
        <v>729</v>
      </c>
      <c r="P9" s="11" t="s">
        <v>729</v>
      </c>
      <c r="Q9" s="11" t="s">
        <v>729</v>
      </c>
      <c r="R9" s="11" t="s">
        <v>729</v>
      </c>
      <c r="S9" s="11" t="s">
        <v>729</v>
      </c>
      <c r="T9" s="11" t="s">
        <v>729</v>
      </c>
      <c r="U9" s="11" t="s">
        <v>729</v>
      </c>
      <c r="V9" s="12" t="s">
        <v>729</v>
      </c>
    </row>
    <row r="10" ht="15.5" customHeight="1" spans="1:22">
      <c r="A10" s="16" t="s">
        <v>692</v>
      </c>
      <c r="B10" s="17" t="s">
        <v>693</v>
      </c>
      <c r="C10" s="6" t="s">
        <v>729</v>
      </c>
      <c r="D10" s="6" t="s">
        <v>729</v>
      </c>
      <c r="E10" s="6" t="s">
        <v>729</v>
      </c>
      <c r="F10" s="6" t="s">
        <v>729</v>
      </c>
      <c r="G10" s="6" t="s">
        <v>729</v>
      </c>
      <c r="H10" s="6" t="s">
        <v>729</v>
      </c>
      <c r="I10" s="6" t="s">
        <v>729</v>
      </c>
      <c r="J10" s="6" t="s">
        <v>729</v>
      </c>
      <c r="K10" s="6" t="s">
        <v>729</v>
      </c>
      <c r="L10" s="6" t="s">
        <v>729</v>
      </c>
      <c r="M10" s="6" t="s">
        <v>729</v>
      </c>
      <c r="N10" s="6" t="s">
        <v>729</v>
      </c>
      <c r="O10" s="6" t="s">
        <v>729</v>
      </c>
      <c r="P10" s="6" t="s">
        <v>729</v>
      </c>
      <c r="Q10" s="6" t="s">
        <v>729</v>
      </c>
      <c r="R10" s="6" t="s">
        <v>729</v>
      </c>
      <c r="S10" s="6" t="s">
        <v>729</v>
      </c>
      <c r="T10" s="6" t="s">
        <v>729</v>
      </c>
      <c r="U10" s="6" t="s">
        <v>729</v>
      </c>
      <c r="V10" s="8" t="s">
        <v>729</v>
      </c>
    </row>
    <row r="11" ht="103" customHeight="1" spans="1:22">
      <c r="A11" s="16"/>
      <c r="B11" s="6" t="s">
        <v>729</v>
      </c>
      <c r="C11" s="6" t="s">
        <v>729</v>
      </c>
      <c r="D11" s="18" t="s">
        <v>1687</v>
      </c>
      <c r="E11" s="6" t="s">
        <v>729</v>
      </c>
      <c r="F11" s="11" t="s">
        <v>752</v>
      </c>
      <c r="G11" s="11" t="s">
        <v>752</v>
      </c>
      <c r="H11" s="11" t="s">
        <v>729</v>
      </c>
      <c r="I11" s="11" t="s">
        <v>729</v>
      </c>
      <c r="J11" s="11" t="s">
        <v>729</v>
      </c>
      <c r="K11" s="11" t="s">
        <v>729</v>
      </c>
      <c r="L11" s="11" t="s">
        <v>729</v>
      </c>
      <c r="M11" s="11" t="s">
        <v>729</v>
      </c>
      <c r="N11" s="11" t="s">
        <v>729</v>
      </c>
      <c r="O11" s="11" t="s">
        <v>729</v>
      </c>
      <c r="P11" s="11" t="s">
        <v>729</v>
      </c>
      <c r="Q11" s="11" t="s">
        <v>729</v>
      </c>
      <c r="R11" s="11" t="s">
        <v>729</v>
      </c>
      <c r="S11" s="11" t="s">
        <v>729</v>
      </c>
      <c r="T11" s="11" t="s">
        <v>729</v>
      </c>
      <c r="U11" s="11" t="s">
        <v>729</v>
      </c>
      <c r="V11" s="12" t="s">
        <v>729</v>
      </c>
    </row>
    <row r="12" ht="18" customHeight="1" spans="1:22">
      <c r="A12" s="19" t="s">
        <v>696</v>
      </c>
      <c r="B12" s="20" t="s">
        <v>765</v>
      </c>
      <c r="C12" s="20"/>
      <c r="D12" s="20"/>
      <c r="E12" s="6" t="s">
        <v>729</v>
      </c>
      <c r="F12" s="11" t="s">
        <v>671</v>
      </c>
      <c r="G12" s="11" t="s">
        <v>671</v>
      </c>
      <c r="H12" s="11" t="s">
        <v>729</v>
      </c>
      <c r="I12" s="11" t="s">
        <v>729</v>
      </c>
      <c r="J12" s="11" t="s">
        <v>729</v>
      </c>
      <c r="K12" s="11" t="s">
        <v>729</v>
      </c>
      <c r="L12" s="11" t="s">
        <v>729</v>
      </c>
      <c r="M12" s="11" t="s">
        <v>729</v>
      </c>
      <c r="N12" s="11" t="s">
        <v>729</v>
      </c>
      <c r="O12" s="11" t="s">
        <v>729</v>
      </c>
      <c r="P12" s="11" t="s">
        <v>729</v>
      </c>
      <c r="Q12" s="11" t="s">
        <v>729</v>
      </c>
      <c r="R12" s="11" t="s">
        <v>729</v>
      </c>
      <c r="S12" s="11" t="s">
        <v>729</v>
      </c>
      <c r="T12" s="11" t="s">
        <v>729</v>
      </c>
      <c r="U12" s="11" t="s">
        <v>729</v>
      </c>
      <c r="V12" s="12" t="s">
        <v>729</v>
      </c>
    </row>
    <row r="13" ht="18" customHeight="1" spans="1:22">
      <c r="A13" s="19"/>
      <c r="B13" s="20" t="s">
        <v>698</v>
      </c>
      <c r="C13" s="20"/>
      <c r="D13" s="20"/>
      <c r="E13" s="6" t="s">
        <v>729</v>
      </c>
      <c r="F13" s="11" t="s">
        <v>766</v>
      </c>
      <c r="G13" s="11" t="s">
        <v>766</v>
      </c>
      <c r="H13" s="11" t="s">
        <v>729</v>
      </c>
      <c r="I13" s="11" t="s">
        <v>729</v>
      </c>
      <c r="J13" s="11" t="s">
        <v>729</v>
      </c>
      <c r="K13" s="11" t="s">
        <v>729</v>
      </c>
      <c r="L13" s="11" t="s">
        <v>729</v>
      </c>
      <c r="M13" s="11" t="s">
        <v>729</v>
      </c>
      <c r="N13" s="11" t="s">
        <v>729</v>
      </c>
      <c r="O13" s="11" t="s">
        <v>729</v>
      </c>
      <c r="P13" s="11" t="s">
        <v>729</v>
      </c>
      <c r="Q13" s="11" t="s">
        <v>729</v>
      </c>
      <c r="R13" s="11" t="s">
        <v>729</v>
      </c>
      <c r="S13" s="11" t="s">
        <v>729</v>
      </c>
      <c r="T13" s="11" t="s">
        <v>729</v>
      </c>
      <c r="U13" s="11" t="s">
        <v>729</v>
      </c>
      <c r="V13" s="12" t="s">
        <v>729</v>
      </c>
    </row>
    <row r="14" ht="18" customHeight="1" spans="1:22">
      <c r="A14" s="19"/>
      <c r="B14" s="20" t="s">
        <v>699</v>
      </c>
      <c r="C14" s="20"/>
      <c r="D14" s="20"/>
      <c r="E14" s="6" t="s">
        <v>729</v>
      </c>
      <c r="F14" s="6" t="s">
        <v>729</v>
      </c>
      <c r="G14" s="6" t="s">
        <v>729</v>
      </c>
      <c r="H14" s="6" t="s">
        <v>729</v>
      </c>
      <c r="I14" s="6" t="s">
        <v>729</v>
      </c>
      <c r="J14" s="6" t="s">
        <v>729</v>
      </c>
      <c r="K14" s="6" t="s">
        <v>729</v>
      </c>
      <c r="L14" s="6" t="s">
        <v>729</v>
      </c>
      <c r="M14" s="6" t="s">
        <v>729</v>
      </c>
      <c r="N14" s="6" t="s">
        <v>729</v>
      </c>
      <c r="O14" s="6" t="s">
        <v>729</v>
      </c>
      <c r="P14" s="6" t="s">
        <v>729</v>
      </c>
      <c r="Q14" s="6" t="s">
        <v>729</v>
      </c>
      <c r="R14" s="6" t="s">
        <v>729</v>
      </c>
      <c r="S14" s="6" t="s">
        <v>729</v>
      </c>
      <c r="T14" s="6" t="s">
        <v>729</v>
      </c>
      <c r="U14" s="6" t="s">
        <v>729</v>
      </c>
      <c r="V14" s="8" t="s">
        <v>729</v>
      </c>
    </row>
    <row r="15" ht="18" customHeight="1" spans="1:22">
      <c r="A15" s="19"/>
      <c r="B15" s="21" t="s">
        <v>700</v>
      </c>
      <c r="C15" s="21"/>
      <c r="D15" s="21"/>
      <c r="E15" s="22" t="s">
        <v>729</v>
      </c>
      <c r="F15" s="22" t="s">
        <v>729</v>
      </c>
      <c r="G15" s="22" t="s">
        <v>729</v>
      </c>
      <c r="H15" s="22" t="s">
        <v>729</v>
      </c>
      <c r="I15" s="22" t="s">
        <v>729</v>
      </c>
      <c r="J15" s="22" t="s">
        <v>729</v>
      </c>
      <c r="K15" s="22" t="s">
        <v>729</v>
      </c>
      <c r="L15" s="22" t="s">
        <v>729</v>
      </c>
      <c r="M15" s="22" t="s">
        <v>729</v>
      </c>
      <c r="N15" s="22" t="s">
        <v>729</v>
      </c>
      <c r="O15" s="22" t="s">
        <v>729</v>
      </c>
      <c r="P15" s="22" t="s">
        <v>729</v>
      </c>
      <c r="Q15" s="22" t="s">
        <v>729</v>
      </c>
      <c r="R15" s="22" t="s">
        <v>729</v>
      </c>
      <c r="S15" s="22" t="s">
        <v>729</v>
      </c>
      <c r="T15" s="22" t="s">
        <v>729</v>
      </c>
      <c r="U15" s="22" t="s">
        <v>729</v>
      </c>
      <c r="V15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2:D12"/>
    <mergeCell ref="B13:D13"/>
    <mergeCell ref="B14:D14"/>
    <mergeCell ref="B15:D15"/>
    <mergeCell ref="A7:A9"/>
    <mergeCell ref="A10:A11"/>
    <mergeCell ref="A12:A15"/>
  </mergeCells>
  <dataValidations count="3">
    <dataValidation type="list" allowBlank="1" sqref="F11:V11 F8:V9">
      <formula1>"O,-"</formula1>
    </dataValidation>
    <dataValidation type="list" allowBlank="1" sqref="F12:V12">
      <formula1>"N,A,B"</formula1>
    </dataValidation>
    <dataValidation type="list" allowBlank="1" sqref="F13:V13">
      <formula1>"P,F"</formula1>
    </dataValidation>
  </dataValidations>
  <pageMargins left="0.7" right="0.7" top="0.75" bottom="0.75" header="0.3" footer="0.3"/>
  <pageSetup paperSize="1" orientation="portrait"/>
  <headerFooter/>
</worksheet>
</file>

<file path=xl/worksheets/sheet1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8"/>
  <sheetViews>
    <sheetView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570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651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1688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3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0</v>
      </c>
      <c r="M5" s="11">
        <v>0</v>
      </c>
      <c r="N5" s="11">
        <v>3</v>
      </c>
      <c r="O5" s="12">
        <v>3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687</v>
      </c>
      <c r="H6" s="14" t="s">
        <v>688</v>
      </c>
      <c r="I6" s="14" t="s">
        <v>729</v>
      </c>
      <c r="J6" s="14" t="s">
        <v>729</v>
      </c>
      <c r="K6" s="14" t="s">
        <v>729</v>
      </c>
      <c r="L6" s="14" t="s">
        <v>729</v>
      </c>
      <c r="M6" s="14" t="s">
        <v>729</v>
      </c>
      <c r="N6" s="14" t="s">
        <v>729</v>
      </c>
      <c r="O6" s="14" t="s">
        <v>729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15.5" customHeight="1" spans="1:22">
      <c r="A7" s="16" t="s">
        <v>690</v>
      </c>
      <c r="B7" s="17" t="s">
        <v>1689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40.5" customHeight="1" spans="1:22">
      <c r="A8" s="16"/>
      <c r="B8" s="6" t="s">
        <v>729</v>
      </c>
      <c r="C8" s="6" t="s">
        <v>729</v>
      </c>
      <c r="D8" s="18" t="s">
        <v>1690</v>
      </c>
      <c r="E8" s="6" t="s">
        <v>729</v>
      </c>
      <c r="F8" s="11" t="s">
        <v>752</v>
      </c>
      <c r="G8" s="11" t="s">
        <v>756</v>
      </c>
      <c r="H8" s="11" t="s">
        <v>756</v>
      </c>
      <c r="I8" s="11" t="s">
        <v>729</v>
      </c>
      <c r="J8" s="11" t="s">
        <v>729</v>
      </c>
      <c r="K8" s="11" t="s">
        <v>729</v>
      </c>
      <c r="L8" s="11" t="s">
        <v>729</v>
      </c>
      <c r="M8" s="11" t="s">
        <v>729</v>
      </c>
      <c r="N8" s="11" t="s">
        <v>729</v>
      </c>
      <c r="O8" s="11" t="s">
        <v>729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40.5" customHeight="1" spans="1:22">
      <c r="A9" s="16"/>
      <c r="B9" s="6" t="s">
        <v>729</v>
      </c>
      <c r="C9" s="6" t="s">
        <v>729</v>
      </c>
      <c r="D9" s="18" t="s">
        <v>1691</v>
      </c>
      <c r="E9" s="6" t="s">
        <v>729</v>
      </c>
      <c r="F9" s="11" t="s">
        <v>756</v>
      </c>
      <c r="G9" s="11" t="s">
        <v>752</v>
      </c>
      <c r="H9" s="11" t="s">
        <v>756</v>
      </c>
      <c r="I9" s="11" t="s">
        <v>729</v>
      </c>
      <c r="J9" s="11" t="s">
        <v>729</v>
      </c>
      <c r="K9" s="11" t="s">
        <v>729</v>
      </c>
      <c r="L9" s="11" t="s">
        <v>729</v>
      </c>
      <c r="M9" s="11" t="s">
        <v>729</v>
      </c>
      <c r="N9" s="11" t="s">
        <v>729</v>
      </c>
      <c r="O9" s="11" t="s">
        <v>729</v>
      </c>
      <c r="P9" s="11" t="s">
        <v>729</v>
      </c>
      <c r="Q9" s="11" t="s">
        <v>729</v>
      </c>
      <c r="R9" s="11" t="s">
        <v>729</v>
      </c>
      <c r="S9" s="11" t="s">
        <v>729</v>
      </c>
      <c r="T9" s="11" t="s">
        <v>729</v>
      </c>
      <c r="U9" s="11" t="s">
        <v>729</v>
      </c>
      <c r="V9" s="12" t="s">
        <v>729</v>
      </c>
    </row>
    <row r="10" ht="53" customHeight="1" spans="1:22">
      <c r="A10" s="16"/>
      <c r="B10" s="6" t="s">
        <v>729</v>
      </c>
      <c r="C10" s="6" t="s">
        <v>729</v>
      </c>
      <c r="D10" s="18" t="s">
        <v>1692</v>
      </c>
      <c r="E10" s="6" t="s">
        <v>729</v>
      </c>
      <c r="F10" s="11" t="s">
        <v>756</v>
      </c>
      <c r="G10" s="11" t="s">
        <v>756</v>
      </c>
      <c r="H10" s="11" t="s">
        <v>752</v>
      </c>
      <c r="I10" s="11" t="s">
        <v>729</v>
      </c>
      <c r="J10" s="11" t="s">
        <v>729</v>
      </c>
      <c r="K10" s="11" t="s">
        <v>729</v>
      </c>
      <c r="L10" s="11" t="s">
        <v>729</v>
      </c>
      <c r="M10" s="11" t="s">
        <v>729</v>
      </c>
      <c r="N10" s="11" t="s">
        <v>729</v>
      </c>
      <c r="O10" s="11" t="s">
        <v>729</v>
      </c>
      <c r="P10" s="11" t="s">
        <v>729</v>
      </c>
      <c r="Q10" s="11" t="s">
        <v>729</v>
      </c>
      <c r="R10" s="11" t="s">
        <v>729</v>
      </c>
      <c r="S10" s="11" t="s">
        <v>729</v>
      </c>
      <c r="T10" s="11" t="s">
        <v>729</v>
      </c>
      <c r="U10" s="11" t="s">
        <v>729</v>
      </c>
      <c r="V10" s="12" t="s">
        <v>729</v>
      </c>
    </row>
    <row r="11" ht="15.5" customHeight="1" spans="1:22">
      <c r="A11" s="16" t="s">
        <v>692</v>
      </c>
      <c r="B11" s="17" t="s">
        <v>693</v>
      </c>
      <c r="C11" s="6" t="s">
        <v>729</v>
      </c>
      <c r="D11" s="6" t="s">
        <v>729</v>
      </c>
      <c r="E11" s="6" t="s">
        <v>729</v>
      </c>
      <c r="F11" s="6" t="s">
        <v>729</v>
      </c>
      <c r="G11" s="6" t="s">
        <v>729</v>
      </c>
      <c r="H11" s="6" t="s">
        <v>729</v>
      </c>
      <c r="I11" s="6" t="s">
        <v>729</v>
      </c>
      <c r="J11" s="6" t="s">
        <v>729</v>
      </c>
      <c r="K11" s="6" t="s">
        <v>729</v>
      </c>
      <c r="L11" s="6" t="s">
        <v>729</v>
      </c>
      <c r="M11" s="6" t="s">
        <v>729</v>
      </c>
      <c r="N11" s="6" t="s">
        <v>729</v>
      </c>
      <c r="O11" s="6" t="s">
        <v>729</v>
      </c>
      <c r="P11" s="6" t="s">
        <v>729</v>
      </c>
      <c r="Q11" s="6" t="s">
        <v>729</v>
      </c>
      <c r="R11" s="6" t="s">
        <v>729</v>
      </c>
      <c r="S11" s="6" t="s">
        <v>729</v>
      </c>
      <c r="T11" s="6" t="s">
        <v>729</v>
      </c>
      <c r="U11" s="6" t="s">
        <v>729</v>
      </c>
      <c r="V11" s="8" t="s">
        <v>729</v>
      </c>
    </row>
    <row r="12" ht="90.5" customHeight="1" spans="1:22">
      <c r="A12" s="16"/>
      <c r="B12" s="6" t="s">
        <v>729</v>
      </c>
      <c r="C12" s="6" t="s">
        <v>729</v>
      </c>
      <c r="D12" s="18" t="s">
        <v>1693</v>
      </c>
      <c r="E12" s="6" t="s">
        <v>729</v>
      </c>
      <c r="F12" s="11" t="s">
        <v>752</v>
      </c>
      <c r="G12" s="11" t="s">
        <v>756</v>
      </c>
      <c r="H12" s="11" t="s">
        <v>756</v>
      </c>
      <c r="I12" s="11" t="s">
        <v>729</v>
      </c>
      <c r="J12" s="11" t="s">
        <v>729</v>
      </c>
      <c r="K12" s="11" t="s">
        <v>729</v>
      </c>
      <c r="L12" s="11" t="s">
        <v>729</v>
      </c>
      <c r="M12" s="11" t="s">
        <v>729</v>
      </c>
      <c r="N12" s="11" t="s">
        <v>729</v>
      </c>
      <c r="O12" s="11" t="s">
        <v>729</v>
      </c>
      <c r="P12" s="11" t="s">
        <v>729</v>
      </c>
      <c r="Q12" s="11" t="s">
        <v>729</v>
      </c>
      <c r="R12" s="11" t="s">
        <v>729</v>
      </c>
      <c r="S12" s="11" t="s">
        <v>729</v>
      </c>
      <c r="T12" s="11" t="s">
        <v>729</v>
      </c>
      <c r="U12" s="11" t="s">
        <v>729</v>
      </c>
      <c r="V12" s="12" t="s">
        <v>729</v>
      </c>
    </row>
    <row r="13" ht="65.5" customHeight="1" spans="1:22">
      <c r="A13" s="16"/>
      <c r="B13" s="6" t="s">
        <v>729</v>
      </c>
      <c r="C13" s="6" t="s">
        <v>729</v>
      </c>
      <c r="D13" s="18" t="s">
        <v>1694</v>
      </c>
      <c r="E13" s="6" t="s">
        <v>729</v>
      </c>
      <c r="F13" s="11" t="s">
        <v>756</v>
      </c>
      <c r="G13" s="11" t="s">
        <v>752</v>
      </c>
      <c r="H13" s="11" t="s">
        <v>756</v>
      </c>
      <c r="I13" s="11" t="s">
        <v>729</v>
      </c>
      <c r="J13" s="11" t="s">
        <v>729</v>
      </c>
      <c r="K13" s="11" t="s">
        <v>729</v>
      </c>
      <c r="L13" s="11" t="s">
        <v>729</v>
      </c>
      <c r="M13" s="11" t="s">
        <v>729</v>
      </c>
      <c r="N13" s="11" t="s">
        <v>729</v>
      </c>
      <c r="O13" s="11" t="s">
        <v>729</v>
      </c>
      <c r="P13" s="11" t="s">
        <v>729</v>
      </c>
      <c r="Q13" s="11" t="s">
        <v>729</v>
      </c>
      <c r="R13" s="11" t="s">
        <v>729</v>
      </c>
      <c r="S13" s="11" t="s">
        <v>729</v>
      </c>
      <c r="T13" s="11" t="s">
        <v>729</v>
      </c>
      <c r="U13" s="11" t="s">
        <v>729</v>
      </c>
      <c r="V13" s="12" t="s">
        <v>729</v>
      </c>
    </row>
    <row r="14" ht="128" customHeight="1" spans="1:22">
      <c r="A14" s="16"/>
      <c r="B14" s="6" t="s">
        <v>729</v>
      </c>
      <c r="C14" s="6" t="s">
        <v>729</v>
      </c>
      <c r="D14" s="18" t="s">
        <v>1695</v>
      </c>
      <c r="E14" s="6" t="s">
        <v>729</v>
      </c>
      <c r="F14" s="11" t="s">
        <v>756</v>
      </c>
      <c r="G14" s="11" t="s">
        <v>756</v>
      </c>
      <c r="H14" s="11" t="s">
        <v>752</v>
      </c>
      <c r="I14" s="11" t="s">
        <v>729</v>
      </c>
      <c r="J14" s="11" t="s">
        <v>729</v>
      </c>
      <c r="K14" s="11" t="s">
        <v>729</v>
      </c>
      <c r="L14" s="11" t="s">
        <v>729</v>
      </c>
      <c r="M14" s="11" t="s">
        <v>729</v>
      </c>
      <c r="N14" s="11" t="s">
        <v>729</v>
      </c>
      <c r="O14" s="11" t="s">
        <v>729</v>
      </c>
      <c r="P14" s="11" t="s">
        <v>729</v>
      </c>
      <c r="Q14" s="11" t="s">
        <v>729</v>
      </c>
      <c r="R14" s="11" t="s">
        <v>729</v>
      </c>
      <c r="S14" s="11" t="s">
        <v>729</v>
      </c>
      <c r="T14" s="11" t="s">
        <v>729</v>
      </c>
      <c r="U14" s="11" t="s">
        <v>729</v>
      </c>
      <c r="V14" s="12" t="s">
        <v>729</v>
      </c>
    </row>
    <row r="15" ht="18" customHeight="1" spans="1:22">
      <c r="A15" s="19" t="s">
        <v>696</v>
      </c>
      <c r="B15" s="20" t="s">
        <v>765</v>
      </c>
      <c r="C15" s="20"/>
      <c r="D15" s="20"/>
      <c r="E15" s="6" t="s">
        <v>729</v>
      </c>
      <c r="F15" s="11" t="s">
        <v>671</v>
      </c>
      <c r="G15" s="11" t="s">
        <v>671</v>
      </c>
      <c r="H15" s="11" t="s">
        <v>671</v>
      </c>
      <c r="I15" s="11" t="s">
        <v>729</v>
      </c>
      <c r="J15" s="11" t="s">
        <v>729</v>
      </c>
      <c r="K15" s="11" t="s">
        <v>729</v>
      </c>
      <c r="L15" s="11" t="s">
        <v>729</v>
      </c>
      <c r="M15" s="11" t="s">
        <v>729</v>
      </c>
      <c r="N15" s="11" t="s">
        <v>729</v>
      </c>
      <c r="O15" s="11" t="s">
        <v>729</v>
      </c>
      <c r="P15" s="11" t="s">
        <v>729</v>
      </c>
      <c r="Q15" s="11" t="s">
        <v>729</v>
      </c>
      <c r="R15" s="11" t="s">
        <v>729</v>
      </c>
      <c r="S15" s="11" t="s">
        <v>729</v>
      </c>
      <c r="T15" s="11" t="s">
        <v>729</v>
      </c>
      <c r="U15" s="11" t="s">
        <v>729</v>
      </c>
      <c r="V15" s="12" t="s">
        <v>729</v>
      </c>
    </row>
    <row r="16" ht="18" customHeight="1" spans="1:22">
      <c r="A16" s="19"/>
      <c r="B16" s="20" t="s">
        <v>698</v>
      </c>
      <c r="C16" s="20"/>
      <c r="D16" s="20"/>
      <c r="E16" s="6" t="s">
        <v>729</v>
      </c>
      <c r="F16" s="11" t="s">
        <v>766</v>
      </c>
      <c r="G16" s="11" t="s">
        <v>766</v>
      </c>
      <c r="H16" s="11" t="s">
        <v>766</v>
      </c>
      <c r="I16" s="11" t="s">
        <v>729</v>
      </c>
      <c r="J16" s="11" t="s">
        <v>729</v>
      </c>
      <c r="K16" s="11" t="s">
        <v>729</v>
      </c>
      <c r="L16" s="11" t="s">
        <v>729</v>
      </c>
      <c r="M16" s="11" t="s">
        <v>729</v>
      </c>
      <c r="N16" s="11" t="s">
        <v>729</v>
      </c>
      <c r="O16" s="11" t="s">
        <v>729</v>
      </c>
      <c r="P16" s="11" t="s">
        <v>729</v>
      </c>
      <c r="Q16" s="11" t="s">
        <v>729</v>
      </c>
      <c r="R16" s="11" t="s">
        <v>729</v>
      </c>
      <c r="S16" s="11" t="s">
        <v>729</v>
      </c>
      <c r="T16" s="11" t="s">
        <v>729</v>
      </c>
      <c r="U16" s="11" t="s">
        <v>729</v>
      </c>
      <c r="V16" s="12" t="s">
        <v>729</v>
      </c>
    </row>
    <row r="17" ht="18" customHeight="1" spans="1:22">
      <c r="A17" s="19"/>
      <c r="B17" s="20" t="s">
        <v>699</v>
      </c>
      <c r="C17" s="20"/>
      <c r="D17" s="20"/>
      <c r="E17" s="6" t="s">
        <v>729</v>
      </c>
      <c r="F17" s="6" t="s">
        <v>729</v>
      </c>
      <c r="G17" s="6" t="s">
        <v>729</v>
      </c>
      <c r="H17" s="6" t="s">
        <v>729</v>
      </c>
      <c r="I17" s="6" t="s">
        <v>729</v>
      </c>
      <c r="J17" s="6" t="s">
        <v>729</v>
      </c>
      <c r="K17" s="6" t="s">
        <v>729</v>
      </c>
      <c r="L17" s="6" t="s">
        <v>729</v>
      </c>
      <c r="M17" s="6" t="s">
        <v>729</v>
      </c>
      <c r="N17" s="6" t="s">
        <v>729</v>
      </c>
      <c r="O17" s="6" t="s">
        <v>729</v>
      </c>
      <c r="P17" s="6" t="s">
        <v>729</v>
      </c>
      <c r="Q17" s="6" t="s">
        <v>729</v>
      </c>
      <c r="R17" s="6" t="s">
        <v>729</v>
      </c>
      <c r="S17" s="6" t="s">
        <v>729</v>
      </c>
      <c r="T17" s="6" t="s">
        <v>729</v>
      </c>
      <c r="U17" s="6" t="s">
        <v>729</v>
      </c>
      <c r="V17" s="8" t="s">
        <v>729</v>
      </c>
    </row>
    <row r="18" ht="18" customHeight="1" spans="1:22">
      <c r="A18" s="19"/>
      <c r="B18" s="21" t="s">
        <v>700</v>
      </c>
      <c r="C18" s="21"/>
      <c r="D18" s="21"/>
      <c r="E18" s="22" t="s">
        <v>729</v>
      </c>
      <c r="F18" s="22" t="s">
        <v>729</v>
      </c>
      <c r="G18" s="22" t="s">
        <v>729</v>
      </c>
      <c r="H18" s="22" t="s">
        <v>729</v>
      </c>
      <c r="I18" s="22" t="s">
        <v>729</v>
      </c>
      <c r="J18" s="22" t="s">
        <v>729</v>
      </c>
      <c r="K18" s="22" t="s">
        <v>729</v>
      </c>
      <c r="L18" s="22" t="s">
        <v>729</v>
      </c>
      <c r="M18" s="22" t="s">
        <v>729</v>
      </c>
      <c r="N18" s="22" t="s">
        <v>729</v>
      </c>
      <c r="O18" s="22" t="s">
        <v>729</v>
      </c>
      <c r="P18" s="22" t="s">
        <v>729</v>
      </c>
      <c r="Q18" s="22" t="s">
        <v>729</v>
      </c>
      <c r="R18" s="22" t="s">
        <v>729</v>
      </c>
      <c r="S18" s="22" t="s">
        <v>729</v>
      </c>
      <c r="T18" s="22" t="s">
        <v>729</v>
      </c>
      <c r="U18" s="22" t="s">
        <v>729</v>
      </c>
      <c r="V18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15:D15"/>
    <mergeCell ref="B16:D16"/>
    <mergeCell ref="B17:D17"/>
    <mergeCell ref="B18:D18"/>
    <mergeCell ref="A7:A10"/>
    <mergeCell ref="A11:A14"/>
    <mergeCell ref="A15:A18"/>
  </mergeCells>
  <dataValidations count="3">
    <dataValidation type="list" allowBlank="1" sqref="F10:V10 F12:V14 F8:V9">
      <formula1>"O,-"</formula1>
    </dataValidation>
    <dataValidation type="list" allowBlank="1" sqref="F15:V15">
      <formula1>"N,A,B"</formula1>
    </dataValidation>
    <dataValidation type="list" allowBlank="1" sqref="F16:V16">
      <formula1>"P,F"</formula1>
    </dataValidation>
  </dataValidations>
  <pageMargins left="0.7" right="0.7" top="0.75" bottom="0.75" header="0.3" footer="0.3"/>
  <pageSetup paperSize="1" orientation="portrait"/>
  <headerFooter/>
</worksheet>
</file>

<file path=xl/worksheets/sheet1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3"/>
  <sheetViews>
    <sheetView workbookViewId="0">
      <pane topLeftCell="A1" activePane="bottomRight" state="frozen"/>
      <selection activeCell="A1" sqref="A1"/>
    </sheetView>
  </sheetViews>
  <sheetFormatPr defaultColWidth="9" defaultRowHeight="15.05"/>
  <cols>
    <col min="1" max="1" width="9.28813559322034" customWidth="1"/>
    <col min="2" max="2" width="15.2881355932203" customWidth="1"/>
    <col min="3" max="3" width="12.2881355932203" customWidth="1"/>
    <col min="4" max="4" width="13" customWidth="1"/>
    <col min="5" max="5" width="2" customWidth="1"/>
    <col min="6" max="22" width="4.29661016949153" customWidth="1"/>
  </cols>
  <sheetData>
    <row r="1" ht="15.5" customHeight="1" spans="1:22">
      <c r="A1" s="1" t="s">
        <v>680</v>
      </c>
      <c r="B1" s="2" t="s">
        <v>570</v>
      </c>
      <c r="C1" s="2"/>
      <c r="D1" s="2"/>
      <c r="E1" s="2"/>
      <c r="F1" s="3" t="s">
        <v>681</v>
      </c>
      <c r="G1" s="3"/>
      <c r="H1" s="3"/>
      <c r="I1" s="3"/>
      <c r="J1" s="3"/>
      <c r="K1" s="3"/>
      <c r="L1" s="4" t="s">
        <v>656</v>
      </c>
      <c r="M1" s="4"/>
      <c r="N1" s="4"/>
      <c r="O1" s="4"/>
      <c r="P1" s="4"/>
      <c r="Q1" s="4"/>
      <c r="R1" s="4"/>
      <c r="S1" s="4"/>
      <c r="T1" s="4"/>
      <c r="U1" s="4"/>
      <c r="V1" s="4"/>
    </row>
    <row r="2" ht="15.5" customHeight="1" spans="1:22">
      <c r="A2" s="5" t="s">
        <v>682</v>
      </c>
      <c r="B2" s="6" t="s">
        <v>748</v>
      </c>
      <c r="C2" s="6"/>
      <c r="D2" s="6"/>
      <c r="E2" s="6"/>
      <c r="F2" s="7" t="s">
        <v>683</v>
      </c>
      <c r="G2" s="7"/>
      <c r="H2" s="7"/>
      <c r="I2" s="7"/>
      <c r="J2" s="7"/>
      <c r="K2" s="7"/>
      <c r="L2" s="8" t="s">
        <v>729</v>
      </c>
      <c r="M2" s="8"/>
      <c r="N2" s="8"/>
      <c r="O2" s="8"/>
      <c r="P2" s="8"/>
      <c r="Q2" s="8"/>
      <c r="R2" s="8"/>
      <c r="S2" s="8"/>
      <c r="T2" s="8"/>
      <c r="U2" s="8"/>
      <c r="V2" s="8"/>
    </row>
    <row r="3" ht="15.5" customHeight="1" spans="1:22">
      <c r="A3" s="5" t="s">
        <v>684</v>
      </c>
      <c r="B3" s="8" t="s">
        <v>1696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ht="18" customHeight="1" spans="1:22">
      <c r="A4" s="9" t="s">
        <v>667</v>
      </c>
      <c r="B4" s="9"/>
      <c r="C4" s="9" t="s">
        <v>668</v>
      </c>
      <c r="D4" s="9"/>
      <c r="E4" s="9"/>
      <c r="F4" s="9" t="s">
        <v>669</v>
      </c>
      <c r="G4" s="9"/>
      <c r="H4" s="9"/>
      <c r="I4" s="9"/>
      <c r="J4" s="9"/>
      <c r="K4" s="9"/>
      <c r="L4" s="9" t="s">
        <v>685</v>
      </c>
      <c r="M4" s="9"/>
      <c r="N4" s="9"/>
      <c r="O4" s="10" t="s">
        <v>672</v>
      </c>
      <c r="P4" s="10"/>
      <c r="Q4" s="10"/>
      <c r="R4" s="10"/>
      <c r="S4" s="10"/>
      <c r="T4" s="10"/>
      <c r="U4" s="10"/>
      <c r="V4" s="10"/>
    </row>
    <row r="5" ht="18" customHeight="1" spans="1:22">
      <c r="A5" s="11">
        <v>9</v>
      </c>
      <c r="B5" s="11"/>
      <c r="C5" s="11">
        <v>0</v>
      </c>
      <c r="D5" s="11"/>
      <c r="E5" s="11"/>
      <c r="F5" s="11">
        <v>0</v>
      </c>
      <c r="G5" s="11"/>
      <c r="H5" s="11"/>
      <c r="I5" s="11"/>
      <c r="J5" s="11"/>
      <c r="K5" s="11"/>
      <c r="L5" s="11">
        <v>7</v>
      </c>
      <c r="M5" s="11">
        <v>2</v>
      </c>
      <c r="N5" s="11">
        <v>0</v>
      </c>
      <c r="O5" s="12">
        <v>9</v>
      </c>
      <c r="P5" s="12"/>
      <c r="Q5" s="12"/>
      <c r="R5" s="12"/>
      <c r="S5" s="12"/>
      <c r="T5" s="12"/>
      <c r="U5" s="12"/>
      <c r="V5" s="12"/>
    </row>
    <row r="6" ht="40" customHeight="1" spans="1:22">
      <c r="A6" s="13" t="s">
        <v>729</v>
      </c>
      <c r="B6" s="6" t="s">
        <v>729</v>
      </c>
      <c r="C6" s="6" t="s">
        <v>729</v>
      </c>
      <c r="D6" s="6" t="s">
        <v>729</v>
      </c>
      <c r="E6" s="6" t="s">
        <v>729</v>
      </c>
      <c r="F6" s="14" t="s">
        <v>686</v>
      </c>
      <c r="G6" s="14" t="s">
        <v>687</v>
      </c>
      <c r="H6" s="14" t="s">
        <v>688</v>
      </c>
      <c r="I6" s="14" t="s">
        <v>689</v>
      </c>
      <c r="J6" s="14" t="s">
        <v>863</v>
      </c>
      <c r="K6" s="14" t="s">
        <v>864</v>
      </c>
      <c r="L6" s="14" t="s">
        <v>1412</v>
      </c>
      <c r="M6" s="14" t="s">
        <v>1484</v>
      </c>
      <c r="N6" s="14" t="s">
        <v>1533</v>
      </c>
      <c r="O6" s="14" t="s">
        <v>729</v>
      </c>
      <c r="P6" s="14" t="s">
        <v>729</v>
      </c>
      <c r="Q6" s="14" t="s">
        <v>729</v>
      </c>
      <c r="R6" s="14" t="s">
        <v>729</v>
      </c>
      <c r="S6" s="14" t="s">
        <v>729</v>
      </c>
      <c r="T6" s="14" t="s">
        <v>729</v>
      </c>
      <c r="U6" s="14" t="s">
        <v>729</v>
      </c>
      <c r="V6" s="15" t="s">
        <v>729</v>
      </c>
    </row>
    <row r="7" ht="15.5" customHeight="1" spans="1:22">
      <c r="A7" s="16" t="s">
        <v>690</v>
      </c>
      <c r="B7" s="17" t="s">
        <v>1697</v>
      </c>
      <c r="C7" s="6" t="s">
        <v>729</v>
      </c>
      <c r="D7" s="6" t="s">
        <v>729</v>
      </c>
      <c r="E7" s="6" t="s">
        <v>729</v>
      </c>
      <c r="F7" s="6" t="s">
        <v>729</v>
      </c>
      <c r="G7" s="6" t="s">
        <v>729</v>
      </c>
      <c r="H7" s="6" t="s">
        <v>729</v>
      </c>
      <c r="I7" s="6" t="s">
        <v>729</v>
      </c>
      <c r="J7" s="6" t="s">
        <v>729</v>
      </c>
      <c r="K7" s="6" t="s">
        <v>729</v>
      </c>
      <c r="L7" s="6" t="s">
        <v>729</v>
      </c>
      <c r="M7" s="6" t="s">
        <v>729</v>
      </c>
      <c r="N7" s="6" t="s">
        <v>729</v>
      </c>
      <c r="O7" s="6" t="s">
        <v>729</v>
      </c>
      <c r="P7" s="6" t="s">
        <v>729</v>
      </c>
      <c r="Q7" s="6" t="s">
        <v>729</v>
      </c>
      <c r="R7" s="6" t="s">
        <v>729</v>
      </c>
      <c r="S7" s="6" t="s">
        <v>729</v>
      </c>
      <c r="T7" s="6" t="s">
        <v>729</v>
      </c>
      <c r="U7" s="6" t="s">
        <v>729</v>
      </c>
      <c r="V7" s="8" t="s">
        <v>729</v>
      </c>
    </row>
    <row r="8" ht="15.5" customHeight="1" spans="1:22">
      <c r="A8" s="16"/>
      <c r="B8" s="6" t="s">
        <v>729</v>
      </c>
      <c r="C8" s="6" t="s">
        <v>729</v>
      </c>
      <c r="D8" s="18" t="s">
        <v>1698</v>
      </c>
      <c r="E8" s="6" t="s">
        <v>729</v>
      </c>
      <c r="F8" s="11" t="s">
        <v>752</v>
      </c>
      <c r="G8" s="11" t="s">
        <v>756</v>
      </c>
      <c r="H8" s="11" t="s">
        <v>756</v>
      </c>
      <c r="I8" s="11" t="s">
        <v>756</v>
      </c>
      <c r="J8" s="11" t="s">
        <v>756</v>
      </c>
      <c r="K8" s="11" t="s">
        <v>756</v>
      </c>
      <c r="L8" s="11" t="s">
        <v>756</v>
      </c>
      <c r="M8" s="11" t="s">
        <v>756</v>
      </c>
      <c r="N8" s="11" t="s">
        <v>756</v>
      </c>
      <c r="O8" s="11" t="s">
        <v>729</v>
      </c>
      <c r="P8" s="11" t="s">
        <v>729</v>
      </c>
      <c r="Q8" s="11" t="s">
        <v>729</v>
      </c>
      <c r="R8" s="11" t="s">
        <v>729</v>
      </c>
      <c r="S8" s="11" t="s">
        <v>729</v>
      </c>
      <c r="T8" s="11" t="s">
        <v>729</v>
      </c>
      <c r="U8" s="11" t="s">
        <v>729</v>
      </c>
      <c r="V8" s="12" t="s">
        <v>729</v>
      </c>
    </row>
    <row r="9" ht="15.5" customHeight="1" spans="1:22">
      <c r="A9" s="16"/>
      <c r="B9" s="6" t="s">
        <v>729</v>
      </c>
      <c r="C9" s="6" t="s">
        <v>729</v>
      </c>
      <c r="D9" s="18" t="s">
        <v>1699</v>
      </c>
      <c r="E9" s="6" t="s">
        <v>729</v>
      </c>
      <c r="F9" s="11" t="s">
        <v>756</v>
      </c>
      <c r="G9" s="11" t="s">
        <v>752</v>
      </c>
      <c r="H9" s="11" t="s">
        <v>756</v>
      </c>
      <c r="I9" s="11" t="s">
        <v>756</v>
      </c>
      <c r="J9" s="11" t="s">
        <v>756</v>
      </c>
      <c r="K9" s="11" t="s">
        <v>756</v>
      </c>
      <c r="L9" s="11" t="s">
        <v>756</v>
      </c>
      <c r="M9" s="11" t="s">
        <v>756</v>
      </c>
      <c r="N9" s="11" t="s">
        <v>756</v>
      </c>
      <c r="O9" s="11" t="s">
        <v>729</v>
      </c>
      <c r="P9" s="11" t="s">
        <v>729</v>
      </c>
      <c r="Q9" s="11" t="s">
        <v>729</v>
      </c>
      <c r="R9" s="11" t="s">
        <v>729</v>
      </c>
      <c r="S9" s="11" t="s">
        <v>729</v>
      </c>
      <c r="T9" s="11" t="s">
        <v>729</v>
      </c>
      <c r="U9" s="11" t="s">
        <v>729</v>
      </c>
      <c r="V9" s="12" t="s">
        <v>729</v>
      </c>
    </row>
    <row r="10" ht="15.5" customHeight="1" spans="1:22">
      <c r="A10" s="16"/>
      <c r="B10" s="6" t="s">
        <v>729</v>
      </c>
      <c r="C10" s="6" t="s">
        <v>729</v>
      </c>
      <c r="D10" s="18" t="s">
        <v>1700</v>
      </c>
      <c r="E10" s="6" t="s">
        <v>729</v>
      </c>
      <c r="F10" s="11" t="s">
        <v>756</v>
      </c>
      <c r="G10" s="11" t="s">
        <v>756</v>
      </c>
      <c r="H10" s="11" t="s">
        <v>752</v>
      </c>
      <c r="I10" s="11" t="s">
        <v>756</v>
      </c>
      <c r="J10" s="11" t="s">
        <v>756</v>
      </c>
      <c r="K10" s="11" t="s">
        <v>756</v>
      </c>
      <c r="L10" s="11" t="s">
        <v>756</v>
      </c>
      <c r="M10" s="11" t="s">
        <v>756</v>
      </c>
      <c r="N10" s="11" t="s">
        <v>756</v>
      </c>
      <c r="O10" s="11" t="s">
        <v>729</v>
      </c>
      <c r="P10" s="11" t="s">
        <v>729</v>
      </c>
      <c r="Q10" s="11" t="s">
        <v>729</v>
      </c>
      <c r="R10" s="11" t="s">
        <v>729</v>
      </c>
      <c r="S10" s="11" t="s">
        <v>729</v>
      </c>
      <c r="T10" s="11" t="s">
        <v>729</v>
      </c>
      <c r="U10" s="11" t="s">
        <v>729</v>
      </c>
      <c r="V10" s="12" t="s">
        <v>729</v>
      </c>
    </row>
    <row r="11" ht="15.5" customHeight="1" spans="1:22">
      <c r="A11" s="16"/>
      <c r="B11" s="6" t="s">
        <v>729</v>
      </c>
      <c r="C11" s="6" t="s">
        <v>729</v>
      </c>
      <c r="D11" s="18" t="s">
        <v>1701</v>
      </c>
      <c r="E11" s="6" t="s">
        <v>729</v>
      </c>
      <c r="F11" s="11" t="s">
        <v>756</v>
      </c>
      <c r="G11" s="11" t="s">
        <v>756</v>
      </c>
      <c r="H11" s="11" t="s">
        <v>756</v>
      </c>
      <c r="I11" s="11" t="s">
        <v>752</v>
      </c>
      <c r="J11" s="11" t="s">
        <v>756</v>
      </c>
      <c r="K11" s="11" t="s">
        <v>756</v>
      </c>
      <c r="L11" s="11" t="s">
        <v>756</v>
      </c>
      <c r="M11" s="11" t="s">
        <v>756</v>
      </c>
      <c r="N11" s="11" t="s">
        <v>756</v>
      </c>
      <c r="O11" s="11" t="s">
        <v>729</v>
      </c>
      <c r="P11" s="11" t="s">
        <v>729</v>
      </c>
      <c r="Q11" s="11" t="s">
        <v>729</v>
      </c>
      <c r="R11" s="11" t="s">
        <v>729</v>
      </c>
      <c r="S11" s="11" t="s">
        <v>729</v>
      </c>
      <c r="T11" s="11" t="s">
        <v>729</v>
      </c>
      <c r="U11" s="11" t="s">
        <v>729</v>
      </c>
      <c r="V11" s="12" t="s">
        <v>729</v>
      </c>
    </row>
    <row r="12" ht="15.5" customHeight="1" spans="1:22">
      <c r="A12" s="16"/>
      <c r="B12" s="6" t="s">
        <v>729</v>
      </c>
      <c r="C12" s="6" t="s">
        <v>729</v>
      </c>
      <c r="D12" s="18" t="s">
        <v>1702</v>
      </c>
      <c r="E12" s="6" t="s">
        <v>729</v>
      </c>
      <c r="F12" s="11" t="s">
        <v>756</v>
      </c>
      <c r="G12" s="11" t="s">
        <v>756</v>
      </c>
      <c r="H12" s="11" t="s">
        <v>756</v>
      </c>
      <c r="I12" s="11" t="s">
        <v>756</v>
      </c>
      <c r="J12" s="11" t="s">
        <v>752</v>
      </c>
      <c r="K12" s="11" t="s">
        <v>756</v>
      </c>
      <c r="L12" s="11" t="s">
        <v>756</v>
      </c>
      <c r="M12" s="11" t="s">
        <v>756</v>
      </c>
      <c r="N12" s="11" t="s">
        <v>756</v>
      </c>
      <c r="O12" s="11" t="s">
        <v>729</v>
      </c>
      <c r="P12" s="11" t="s">
        <v>729</v>
      </c>
      <c r="Q12" s="11" t="s">
        <v>729</v>
      </c>
      <c r="R12" s="11" t="s">
        <v>729</v>
      </c>
      <c r="S12" s="11" t="s">
        <v>729</v>
      </c>
      <c r="T12" s="11" t="s">
        <v>729</v>
      </c>
      <c r="U12" s="11" t="s">
        <v>729</v>
      </c>
      <c r="V12" s="12" t="s">
        <v>729</v>
      </c>
    </row>
    <row r="13" ht="15.5" customHeight="1" spans="1:22">
      <c r="A13" s="16"/>
      <c r="B13" s="6" t="s">
        <v>729</v>
      </c>
      <c r="C13" s="6" t="s">
        <v>729</v>
      </c>
      <c r="D13" s="18" t="s">
        <v>1703</v>
      </c>
      <c r="E13" s="6" t="s">
        <v>729</v>
      </c>
      <c r="F13" s="11" t="s">
        <v>756</v>
      </c>
      <c r="G13" s="11" t="s">
        <v>756</v>
      </c>
      <c r="H13" s="11" t="s">
        <v>756</v>
      </c>
      <c r="I13" s="11" t="s">
        <v>756</v>
      </c>
      <c r="J13" s="11" t="s">
        <v>756</v>
      </c>
      <c r="K13" s="11" t="s">
        <v>752</v>
      </c>
      <c r="L13" s="11" t="s">
        <v>756</v>
      </c>
      <c r="M13" s="11" t="s">
        <v>756</v>
      </c>
      <c r="N13" s="11" t="s">
        <v>756</v>
      </c>
      <c r="O13" s="11" t="s">
        <v>729</v>
      </c>
      <c r="P13" s="11" t="s">
        <v>729</v>
      </c>
      <c r="Q13" s="11" t="s">
        <v>729</v>
      </c>
      <c r="R13" s="11" t="s">
        <v>729</v>
      </c>
      <c r="S13" s="11" t="s">
        <v>729</v>
      </c>
      <c r="T13" s="11" t="s">
        <v>729</v>
      </c>
      <c r="U13" s="11" t="s">
        <v>729</v>
      </c>
      <c r="V13" s="12" t="s">
        <v>729</v>
      </c>
    </row>
    <row r="14" ht="15.5" customHeight="1" spans="1:22">
      <c r="A14" s="16"/>
      <c r="B14" s="6" t="s">
        <v>729</v>
      </c>
      <c r="C14" s="6" t="s">
        <v>729</v>
      </c>
      <c r="D14" s="18" t="s">
        <v>1704</v>
      </c>
      <c r="E14" s="6" t="s">
        <v>729</v>
      </c>
      <c r="F14" s="11" t="s">
        <v>756</v>
      </c>
      <c r="G14" s="11" t="s">
        <v>756</v>
      </c>
      <c r="H14" s="11" t="s">
        <v>756</v>
      </c>
      <c r="I14" s="11" t="s">
        <v>756</v>
      </c>
      <c r="J14" s="11" t="s">
        <v>756</v>
      </c>
      <c r="K14" s="11" t="s">
        <v>756</v>
      </c>
      <c r="L14" s="11" t="s">
        <v>752</v>
      </c>
      <c r="M14" s="11" t="s">
        <v>756</v>
      </c>
      <c r="N14" s="11" t="s">
        <v>756</v>
      </c>
      <c r="O14" s="11" t="s">
        <v>729</v>
      </c>
      <c r="P14" s="11" t="s">
        <v>729</v>
      </c>
      <c r="Q14" s="11" t="s">
        <v>729</v>
      </c>
      <c r="R14" s="11" t="s">
        <v>729</v>
      </c>
      <c r="S14" s="11" t="s">
        <v>729</v>
      </c>
      <c r="T14" s="11" t="s">
        <v>729</v>
      </c>
      <c r="U14" s="11" t="s">
        <v>729</v>
      </c>
      <c r="V14" s="12" t="s">
        <v>729</v>
      </c>
    </row>
    <row r="15" ht="15.5" customHeight="1" spans="1:22">
      <c r="A15" s="16"/>
      <c r="B15" s="6" t="s">
        <v>729</v>
      </c>
      <c r="C15" s="6" t="s">
        <v>729</v>
      </c>
      <c r="D15" s="18" t="s">
        <v>1705</v>
      </c>
      <c r="E15" s="6" t="s">
        <v>729</v>
      </c>
      <c r="F15" s="11" t="s">
        <v>756</v>
      </c>
      <c r="G15" s="11" t="s">
        <v>756</v>
      </c>
      <c r="H15" s="11" t="s">
        <v>756</v>
      </c>
      <c r="I15" s="11" t="s">
        <v>756</v>
      </c>
      <c r="J15" s="11" t="s">
        <v>756</v>
      </c>
      <c r="K15" s="11" t="s">
        <v>756</v>
      </c>
      <c r="L15" s="11" t="s">
        <v>756</v>
      </c>
      <c r="M15" s="11" t="s">
        <v>752</v>
      </c>
      <c r="N15" s="11" t="s">
        <v>756</v>
      </c>
      <c r="O15" s="11" t="s">
        <v>729</v>
      </c>
      <c r="P15" s="11" t="s">
        <v>729</v>
      </c>
      <c r="Q15" s="11" t="s">
        <v>729</v>
      </c>
      <c r="R15" s="11" t="s">
        <v>729</v>
      </c>
      <c r="S15" s="11" t="s">
        <v>729</v>
      </c>
      <c r="T15" s="11" t="s">
        <v>729</v>
      </c>
      <c r="U15" s="11" t="s">
        <v>729</v>
      </c>
      <c r="V15" s="12" t="s">
        <v>729</v>
      </c>
    </row>
    <row r="16" ht="15.5" customHeight="1" spans="1:22">
      <c r="A16" s="16"/>
      <c r="B16" s="6" t="s">
        <v>729</v>
      </c>
      <c r="C16" s="6" t="s">
        <v>729</v>
      </c>
      <c r="D16" s="18" t="s">
        <v>1706</v>
      </c>
      <c r="E16" s="6" t="s">
        <v>729</v>
      </c>
      <c r="F16" s="11" t="s">
        <v>756</v>
      </c>
      <c r="G16" s="11" t="s">
        <v>756</v>
      </c>
      <c r="H16" s="11" t="s">
        <v>756</v>
      </c>
      <c r="I16" s="11" t="s">
        <v>756</v>
      </c>
      <c r="J16" s="11" t="s">
        <v>756</v>
      </c>
      <c r="K16" s="11" t="s">
        <v>756</v>
      </c>
      <c r="L16" s="11" t="s">
        <v>756</v>
      </c>
      <c r="M16" s="11" t="s">
        <v>756</v>
      </c>
      <c r="N16" s="11" t="s">
        <v>752</v>
      </c>
      <c r="O16" s="11" t="s">
        <v>729</v>
      </c>
      <c r="P16" s="11" t="s">
        <v>729</v>
      </c>
      <c r="Q16" s="11" t="s">
        <v>729</v>
      </c>
      <c r="R16" s="11" t="s">
        <v>729</v>
      </c>
      <c r="S16" s="11" t="s">
        <v>729</v>
      </c>
      <c r="T16" s="11" t="s">
        <v>729</v>
      </c>
      <c r="U16" s="11" t="s">
        <v>729</v>
      </c>
      <c r="V16" s="12" t="s">
        <v>729</v>
      </c>
    </row>
    <row r="17" ht="15.5" customHeight="1" spans="1:22">
      <c r="A17" s="16" t="s">
        <v>692</v>
      </c>
      <c r="B17" s="17" t="s">
        <v>693</v>
      </c>
      <c r="C17" s="6" t="s">
        <v>729</v>
      </c>
      <c r="D17" s="6" t="s">
        <v>729</v>
      </c>
      <c r="E17" s="6" t="s">
        <v>729</v>
      </c>
      <c r="F17" s="6" t="s">
        <v>729</v>
      </c>
      <c r="G17" s="6" t="s">
        <v>729</v>
      </c>
      <c r="H17" s="6" t="s">
        <v>729</v>
      </c>
      <c r="I17" s="6" t="s">
        <v>729</v>
      </c>
      <c r="J17" s="6" t="s">
        <v>729</v>
      </c>
      <c r="K17" s="6" t="s">
        <v>729</v>
      </c>
      <c r="L17" s="6" t="s">
        <v>729</v>
      </c>
      <c r="M17" s="6" t="s">
        <v>729</v>
      </c>
      <c r="N17" s="6" t="s">
        <v>729</v>
      </c>
      <c r="O17" s="6" t="s">
        <v>729</v>
      </c>
      <c r="P17" s="6" t="s">
        <v>729</v>
      </c>
      <c r="Q17" s="6" t="s">
        <v>729</v>
      </c>
      <c r="R17" s="6" t="s">
        <v>729</v>
      </c>
      <c r="S17" s="6" t="s">
        <v>729</v>
      </c>
      <c r="T17" s="6" t="s">
        <v>729</v>
      </c>
      <c r="U17" s="6" t="s">
        <v>729</v>
      </c>
      <c r="V17" s="8" t="s">
        <v>729</v>
      </c>
    </row>
    <row r="18" ht="40.5" customHeight="1" spans="1:22">
      <c r="A18" s="16"/>
      <c r="B18" s="6" t="s">
        <v>729</v>
      </c>
      <c r="C18" s="6" t="s">
        <v>729</v>
      </c>
      <c r="D18" s="18" t="s">
        <v>1707</v>
      </c>
      <c r="E18" s="6" t="s">
        <v>729</v>
      </c>
      <c r="F18" s="11" t="s">
        <v>752</v>
      </c>
      <c r="G18" s="11" t="s">
        <v>752</v>
      </c>
      <c r="H18" s="11" t="s">
        <v>752</v>
      </c>
      <c r="I18" s="11" t="s">
        <v>752</v>
      </c>
      <c r="J18" s="11" t="s">
        <v>752</v>
      </c>
      <c r="K18" s="11" t="s">
        <v>752</v>
      </c>
      <c r="L18" s="11" t="s">
        <v>752</v>
      </c>
      <c r="M18" s="11" t="s">
        <v>756</v>
      </c>
      <c r="N18" s="11" t="s">
        <v>756</v>
      </c>
      <c r="O18" s="11" t="s">
        <v>729</v>
      </c>
      <c r="P18" s="11" t="s">
        <v>729</v>
      </c>
      <c r="Q18" s="11" t="s">
        <v>729</v>
      </c>
      <c r="R18" s="11" t="s">
        <v>729</v>
      </c>
      <c r="S18" s="11" t="s">
        <v>729</v>
      </c>
      <c r="T18" s="11" t="s">
        <v>729</v>
      </c>
      <c r="U18" s="11" t="s">
        <v>729</v>
      </c>
      <c r="V18" s="12" t="s">
        <v>729</v>
      </c>
    </row>
    <row r="19" ht="65.5" customHeight="1" spans="1:22">
      <c r="A19" s="16"/>
      <c r="B19" s="6" t="s">
        <v>729</v>
      </c>
      <c r="C19" s="6" t="s">
        <v>729</v>
      </c>
      <c r="D19" s="18" t="s">
        <v>1708</v>
      </c>
      <c r="E19" s="6" t="s">
        <v>729</v>
      </c>
      <c r="F19" s="11" t="s">
        <v>756</v>
      </c>
      <c r="G19" s="11" t="s">
        <v>756</v>
      </c>
      <c r="H19" s="11" t="s">
        <v>756</v>
      </c>
      <c r="I19" s="11" t="s">
        <v>756</v>
      </c>
      <c r="J19" s="11" t="s">
        <v>756</v>
      </c>
      <c r="K19" s="11" t="s">
        <v>756</v>
      </c>
      <c r="L19" s="11" t="s">
        <v>756</v>
      </c>
      <c r="M19" s="11" t="s">
        <v>752</v>
      </c>
      <c r="N19" s="11" t="s">
        <v>752</v>
      </c>
      <c r="O19" s="11" t="s">
        <v>729</v>
      </c>
      <c r="P19" s="11" t="s">
        <v>729</v>
      </c>
      <c r="Q19" s="11" t="s">
        <v>729</v>
      </c>
      <c r="R19" s="11" t="s">
        <v>729</v>
      </c>
      <c r="S19" s="11" t="s">
        <v>729</v>
      </c>
      <c r="T19" s="11" t="s">
        <v>729</v>
      </c>
      <c r="U19" s="11" t="s">
        <v>729</v>
      </c>
      <c r="V19" s="12" t="s">
        <v>729</v>
      </c>
    </row>
    <row r="20" ht="18" customHeight="1" spans="1:22">
      <c r="A20" s="19" t="s">
        <v>696</v>
      </c>
      <c r="B20" s="20" t="s">
        <v>765</v>
      </c>
      <c r="C20" s="20"/>
      <c r="D20" s="20"/>
      <c r="E20" s="6" t="s">
        <v>729</v>
      </c>
      <c r="F20" s="11" t="s">
        <v>670</v>
      </c>
      <c r="G20" s="11" t="s">
        <v>670</v>
      </c>
      <c r="H20" s="11" t="s">
        <v>670</v>
      </c>
      <c r="I20" s="11" t="s">
        <v>670</v>
      </c>
      <c r="J20" s="11" t="s">
        <v>670</v>
      </c>
      <c r="K20" s="11" t="s">
        <v>670</v>
      </c>
      <c r="L20" s="11" t="s">
        <v>670</v>
      </c>
      <c r="M20" s="11" t="s">
        <v>63</v>
      </c>
      <c r="N20" s="11" t="s">
        <v>63</v>
      </c>
      <c r="O20" s="11" t="s">
        <v>729</v>
      </c>
      <c r="P20" s="11" t="s">
        <v>729</v>
      </c>
      <c r="Q20" s="11" t="s">
        <v>729</v>
      </c>
      <c r="R20" s="11" t="s">
        <v>729</v>
      </c>
      <c r="S20" s="11" t="s">
        <v>729</v>
      </c>
      <c r="T20" s="11" t="s">
        <v>729</v>
      </c>
      <c r="U20" s="11" t="s">
        <v>729</v>
      </c>
      <c r="V20" s="12" t="s">
        <v>729</v>
      </c>
    </row>
    <row r="21" ht="18" customHeight="1" spans="1:22">
      <c r="A21" s="19"/>
      <c r="B21" s="20" t="s">
        <v>698</v>
      </c>
      <c r="C21" s="20"/>
      <c r="D21" s="20"/>
      <c r="E21" s="6" t="s">
        <v>729</v>
      </c>
      <c r="F21" s="11" t="s">
        <v>766</v>
      </c>
      <c r="G21" s="11" t="s">
        <v>766</v>
      </c>
      <c r="H21" s="11" t="s">
        <v>766</v>
      </c>
      <c r="I21" s="11" t="s">
        <v>766</v>
      </c>
      <c r="J21" s="11" t="s">
        <v>766</v>
      </c>
      <c r="K21" s="11" t="s">
        <v>766</v>
      </c>
      <c r="L21" s="11" t="s">
        <v>766</v>
      </c>
      <c r="M21" s="11" t="s">
        <v>766</v>
      </c>
      <c r="N21" s="11" t="s">
        <v>766</v>
      </c>
      <c r="O21" s="11" t="s">
        <v>729</v>
      </c>
      <c r="P21" s="11" t="s">
        <v>729</v>
      </c>
      <c r="Q21" s="11" t="s">
        <v>729</v>
      </c>
      <c r="R21" s="11" t="s">
        <v>729</v>
      </c>
      <c r="S21" s="11" t="s">
        <v>729</v>
      </c>
      <c r="T21" s="11" t="s">
        <v>729</v>
      </c>
      <c r="U21" s="11" t="s">
        <v>729</v>
      </c>
      <c r="V21" s="12" t="s">
        <v>729</v>
      </c>
    </row>
    <row r="22" ht="18" customHeight="1" spans="1:22">
      <c r="A22" s="19"/>
      <c r="B22" s="20" t="s">
        <v>699</v>
      </c>
      <c r="C22" s="20"/>
      <c r="D22" s="20"/>
      <c r="E22" s="6" t="s">
        <v>729</v>
      </c>
      <c r="F22" s="6" t="s">
        <v>729</v>
      </c>
      <c r="G22" s="6" t="s">
        <v>729</v>
      </c>
      <c r="H22" s="6" t="s">
        <v>729</v>
      </c>
      <c r="I22" s="6" t="s">
        <v>729</v>
      </c>
      <c r="J22" s="6" t="s">
        <v>729</v>
      </c>
      <c r="K22" s="6" t="s">
        <v>729</v>
      </c>
      <c r="L22" s="6" t="s">
        <v>729</v>
      </c>
      <c r="M22" s="6" t="s">
        <v>729</v>
      </c>
      <c r="N22" s="6" t="s">
        <v>729</v>
      </c>
      <c r="O22" s="6" t="s">
        <v>729</v>
      </c>
      <c r="P22" s="6" t="s">
        <v>729</v>
      </c>
      <c r="Q22" s="6" t="s">
        <v>729</v>
      </c>
      <c r="R22" s="6" t="s">
        <v>729</v>
      </c>
      <c r="S22" s="6" t="s">
        <v>729</v>
      </c>
      <c r="T22" s="6" t="s">
        <v>729</v>
      </c>
      <c r="U22" s="6" t="s">
        <v>729</v>
      </c>
      <c r="V22" s="8" t="s">
        <v>729</v>
      </c>
    </row>
    <row r="23" ht="18" customHeight="1" spans="1:22">
      <c r="A23" s="19"/>
      <c r="B23" s="21" t="s">
        <v>700</v>
      </c>
      <c r="C23" s="21"/>
      <c r="D23" s="21"/>
      <c r="E23" s="22" t="s">
        <v>729</v>
      </c>
      <c r="F23" s="22" t="s">
        <v>729</v>
      </c>
      <c r="G23" s="22" t="s">
        <v>729</v>
      </c>
      <c r="H23" s="22" t="s">
        <v>729</v>
      </c>
      <c r="I23" s="22" t="s">
        <v>729</v>
      </c>
      <c r="J23" s="22" t="s">
        <v>729</v>
      </c>
      <c r="K23" s="22" t="s">
        <v>729</v>
      </c>
      <c r="L23" s="22" t="s">
        <v>729</v>
      </c>
      <c r="M23" s="22" t="s">
        <v>729</v>
      </c>
      <c r="N23" s="22" t="s">
        <v>729</v>
      </c>
      <c r="O23" s="22" t="s">
        <v>729</v>
      </c>
      <c r="P23" s="22" t="s">
        <v>729</v>
      </c>
      <c r="Q23" s="22" t="s">
        <v>729</v>
      </c>
      <c r="R23" s="22" t="s">
        <v>729</v>
      </c>
      <c r="S23" s="22" t="s">
        <v>729</v>
      </c>
      <c r="T23" s="22" t="s">
        <v>729</v>
      </c>
      <c r="U23" s="22" t="s">
        <v>729</v>
      </c>
      <c r="V23" s="23" t="s">
        <v>729</v>
      </c>
    </row>
  </sheetData>
  <mergeCells count="23">
    <mergeCell ref="B1:E1"/>
    <mergeCell ref="F1:K1"/>
    <mergeCell ref="L1:V1"/>
    <mergeCell ref="B2:E2"/>
    <mergeCell ref="F2:K2"/>
    <mergeCell ref="L2:V2"/>
    <mergeCell ref="B3:V3"/>
    <mergeCell ref="A4:B4"/>
    <mergeCell ref="C4:E4"/>
    <mergeCell ref="F4:K4"/>
    <mergeCell ref="L4:N4"/>
    <mergeCell ref="O4:V4"/>
    <mergeCell ref="A5:B5"/>
    <mergeCell ref="C5:E5"/>
    <mergeCell ref="F5:K5"/>
    <mergeCell ref="O5:V5"/>
    <mergeCell ref="B20:D20"/>
    <mergeCell ref="B21:D21"/>
    <mergeCell ref="B22:D22"/>
    <mergeCell ref="B23:D23"/>
    <mergeCell ref="A7:A16"/>
    <mergeCell ref="A17:A19"/>
    <mergeCell ref="A20:A23"/>
  </mergeCells>
  <dataValidations count="3">
    <dataValidation type="list" allowBlank="1" sqref="F20:V20">
      <formula1>"N,A,B"</formula1>
    </dataValidation>
    <dataValidation type="list" allowBlank="1" sqref="F21:V21">
      <formula1>"P,F"</formula1>
    </dataValidation>
    <dataValidation type="list" allowBlank="1" sqref="F10:V16 F8:V9 F18:V19">
      <formula1>"O,-"</formula1>
    </dataValidation>
  </dataValidations>
  <pageMargins left="0.7" right="0.7" top="0.75" bottom="0.75" header="0.3" footer="0.3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120</vt:i4>
      </vt:variant>
    </vt:vector>
  </HeadingPairs>
  <TitlesOfParts>
    <vt:vector size="120" baseType="lpstr">
      <vt:lpstr>Guideline</vt:lpstr>
      <vt:lpstr>Cover</vt:lpstr>
      <vt:lpstr>Functions</vt:lpstr>
      <vt:lpstr>Statistics</vt:lpstr>
      <vt:lpstr>Form</vt:lpstr>
      <vt:lpstr>00_Automation Summary</vt:lpstr>
      <vt:lpstr>MQ001_DisplayManualQuestionForm</vt:lpstr>
      <vt:lpstr>MQ002_ValidateJobTitleRequired</vt:lpstr>
      <vt:lpstr>MQ003_ValidateQuestionContentRe</vt:lpstr>
      <vt:lpstr>MQ004_ValidateDurationBoundaryV</vt:lpstr>
      <vt:lpstr>MQ005_SaveQuestionSetSuccess</vt:lpstr>
      <vt:lpstr>MQ006_DeleteQuestionMinLimitGua</vt:lpstr>
      <vt:lpstr>MQ007_ImportExcelValidFile</vt:lpstr>
      <vt:lpstr>MQ008_ImportExcelInvalidFile</vt:lpstr>
      <vt:lpstr>MQ009_ExportTxtValidation</vt:lpstr>
      <vt:lpstr>MQ010_AiQuotaExceededManualLink</vt:lpstr>
      <vt:lpstr>MQ011_UnauthorizedRoleAccessMan</vt:lpstr>
      <vt:lpstr>RAG001_JdInputPasteValidation</vt:lpstr>
      <vt:lpstr>RAG002_JdInputUploadFileTypes</vt:lpstr>
      <vt:lpstr>RAG003_KnowledgeDocumentIngesti</vt:lpstr>
      <vt:lpstr>RAG004_SourcesPanelLockOnGenera</vt:lpstr>
      <vt:lpstr>RAG005_GenerateQuestionsSuccess</vt:lpstr>
      <vt:lpstr>RAG006_GenerateQuestionsAutoRet</vt:lpstr>
      <vt:lpstr>RAG007_GenerateQuestionsFailedS</vt:lpstr>
      <vt:lpstr>RAG008_GenerateQuestionsTimeout</vt:lpstr>
      <vt:lpstr>RAG009_BackgroundPollResumeOnRe</vt:lpstr>
      <vt:lpstr>RAG010_QuotaCooldownBlockingMod</vt:lpstr>
      <vt:lpstr>RAG011_PlanApprovedLocksRefine</vt:lpstr>
      <vt:lpstr>RAG012_QuestionEditDeleteRegene</vt:lpstr>
      <vt:lpstr>RAG013_SaveDraftPublishShare</vt:lpstr>
      <vt:lpstr>RAG014_JdMinCharVsWordCountMism</vt:lpstr>
      <vt:lpstr>RAG015_FileUploadTypeSizeValida</vt:lpstr>
      <vt:lpstr>RAG016_HardcodedGenerationSetti</vt:lpstr>
      <vt:lpstr>RAG017_PlanQuestionPollingFlow</vt:lpstr>
      <vt:lpstr>RAG018_FailedStateRetryVariants</vt:lpstr>
      <vt:lpstr>RAG019_AskAiPerQuestionChat</vt:lpstr>
      <vt:lpstr>RAG020_QuotaBannerInlineCopyMis</vt:lpstr>
      <vt:lpstr>RAG021_SessionPersistenceCrossA</vt:lpstr>
      <vt:lpstr>RAG022_ConcurrentBackgroundJobs</vt:lpstr>
      <vt:lpstr>RAG023_SaveDraftDuplicateSubmit</vt:lpstr>
      <vt:lpstr>RAG024_PlanRegenerateLimitServe</vt:lpstr>
      <vt:lpstr>RGA001_Token401SilentRefreshSuc</vt:lpstr>
      <vt:lpstr>RGA002_Token401RefreshFailureRe</vt:lpstr>
      <vt:lpstr>RGA003_Token401NoRefreshTokenSt</vt:lpstr>
      <vt:lpstr>RGA004_Token401OnRefreshEndpoin</vt:lpstr>
      <vt:lpstr>RGA005_Token401AlreadyRetriedOn</vt:lpstr>
      <vt:lpstr>RGA006_PublicAuthEndpoint401NoI</vt:lpstr>
      <vt:lpstr>RGA007_Forbidden403NoDedicatedH</vt:lpstr>
      <vt:lpstr>RGA008_NoRoleGateOnHrRoutes</vt:lpstr>
      <vt:lpstr>RGA009_SubscriptionErrorCodeCan</vt:lpstr>
      <vt:lpstr>RGA010_UnrecognizedErrorCodeFal</vt:lpstr>
      <vt:lpstr>RGA011_TimeoutRaw5xxNoFriendlyM</vt:lpstr>
      <vt:lpstr>RGA012_SessionExpiryMidGenerati</vt:lpstr>
      <vt:lpstr>RGA013_ConcurrentRequests401Ded</vt:lpstr>
      <vt:lpstr>RGA014_RagServiceDeadCodeNoAuth</vt:lpstr>
      <vt:lpstr>RAG025_KbDocPickerOptionalAttac</vt:lpstr>
      <vt:lpstr>RAG026_NotesForAiFreeTextField</vt:lpstr>
      <vt:lpstr>RAG027_SampleJdModalCopyUse</vt:lpstr>
      <vt:lpstr>RAG028_ReorderQuestions409Handl</vt:lpstr>
      <vt:lpstr>RAG029_PublishedSetEditRestrict</vt:lpstr>
      <vt:lpstr>RAG030_ApplyPlanSettingsTimeout</vt:lpstr>
      <vt:lpstr>RAG031_RefinePlanChatFlow</vt:lpstr>
      <vt:lpstr>RAG032_StudioGenerationSettings</vt:lpstr>
      <vt:lpstr>RAG033_NewSetResetsLockedPanels</vt:lpstr>
      <vt:lpstr>RAG034_KnowledgeDocLibraryAttac</vt:lpstr>
      <vt:lpstr>RAG035_StudioChatRefineMultiTur</vt:lpstr>
      <vt:lpstr>RAG036_GenerateFormNumberOfQues</vt:lpstr>
      <vt:lpstr>RAG037_StudioApprovePlanButtonS</vt:lpstr>
      <vt:lpstr>RAG038_GenerateFormKbDocPickerR</vt:lpstr>
      <vt:lpstr>RAG039_StudioQuestionListEmptyS</vt:lpstr>
      <vt:lpstr>RGA015_LoginSpecificAuthErrors</vt:lpstr>
      <vt:lpstr>RGA016_CandidateForbiddenErrorM</vt:lpstr>
      <vt:lpstr>RGA017_TokenStorageLocalStorage</vt:lpstr>
      <vt:lpstr>RGA018_SsrNoTokenAttachNoOp</vt:lpstr>
      <vt:lpstr>RGA019_ClearAuthClearsCachedUse</vt:lpstr>
      <vt:lpstr>RGA020_RefreshTokenRotationOnSu</vt:lpstr>
      <vt:lpstr>UI001_ManualQuestionPageRespons</vt:lpstr>
      <vt:lpstr>UI002_ManualQuestionPageDarkLig</vt:lpstr>
      <vt:lpstr>UI003_StudioPageResponsiveLayou</vt:lpstr>
      <vt:lpstr>UI004_StudioPageDarkLightTheme</vt:lpstr>
      <vt:lpstr>UI005_GenerateFormResponsiveLay</vt:lpstr>
      <vt:lpstr>UI006_GenerateFormDarkLightThem</vt:lpstr>
      <vt:lpstr>UI007_QuotaModalResponsiveDispl</vt:lpstr>
      <vt:lpstr>UI008_ToastNotificationPosition</vt:lpstr>
      <vt:lpstr>UI009_FileUploadDropzoneVisualS</vt:lpstr>
      <vt:lpstr>UI010_ButtonLoadingDisabledStat</vt:lpstr>
      <vt:lpstr>UI011_FormFieldValidationVisual</vt:lpstr>
      <vt:lpstr>UI012_NavigationSidebarResponsi</vt:lpstr>
      <vt:lpstr>UI013_ModalDialogPositioningZIn</vt:lpstr>
      <vt:lpstr>UI014_TableGridResponsiveOverfl</vt:lpstr>
      <vt:lpstr>UI015_TooltipHoverDisplay</vt:lpstr>
      <vt:lpstr>UI016_LoadingSpinnerSkeletonSta</vt:lpstr>
      <vt:lpstr>UI017_AccessibilityKeyboardNavi</vt:lpstr>
      <vt:lpstr>UI018_BrandingLogoHeaderConsist</vt:lpstr>
      <vt:lpstr>AUTH001_RegisterHR</vt:lpstr>
      <vt:lpstr>AUTH002_Login</vt:lpstr>
      <vt:lpstr>AUTH003_RegisterJobSeeker</vt:lpstr>
      <vt:lpstr>AUTH004_VerifyEmail</vt:lpstr>
      <vt:lpstr>AUTH005_ForgotResetPassword</vt:lpstr>
      <vt:lpstr>AUTH006_AccessControl</vt:lpstr>
      <vt:lpstr>AUTH007_UpdateProfile</vt:lpstr>
      <vt:lpstr>AUTH008_ManageUsers</vt:lpstr>
      <vt:lpstr>BE001_HealthCheckEndpoints</vt:lpstr>
      <vt:lpstr>BE002_InternalApiKeyAuthGate</vt:lpstr>
      <vt:lpstr>BE003_ChatEndpointValidation</vt:lpstr>
      <vt:lpstr>BE004_IngestSystemFilesValidati</vt:lpstr>
      <vt:lpstr>BE005_IngestHrFilesValidation</vt:lpstr>
      <vt:lpstr>BE006_JdValidationRules</vt:lpstr>
      <vt:lpstr>BE007_InterviewPlanStartValidat</vt:lpstr>
      <vt:lpstr>BE008_InterviewPlanMessagesClar</vt:lpstr>
      <vt:lpstr>BE009_InterviewPlanConfirmValid</vt:lpstr>
      <vt:lpstr>BE010_InterviewQuestionsGenerat</vt:lpstr>
      <vt:lpstr>BE011_ErrorResponseEnvelopeCons</vt:lpstr>
      <vt:lpstr>BE012_LlmErrorMapping</vt:lpstr>
      <vt:lpstr>BE013_LegacyEndpointsDeprecatio</vt:lpstr>
      <vt:lpstr>BE014_SynchronousBlockingNoTime</vt:lpstr>
      <vt:lpstr>BE015_NoCorsMiddlewareConfigure</vt:lpstr>
      <vt:lpstr>BE016_NoRateLimitingConfigured</vt:lpstr>
      <vt:lpstr>BE017_StartupNoFailFastValidati</vt:lpstr>
      <vt:lpstr>BE018_FileExtensionAllowList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dangk</cp:lastModifiedBy>
  <dcterms:created xsi:type="dcterms:W3CDTF">2026-08-04T17:14:00Z</dcterms:created>
  <dcterms:modified xsi:type="dcterms:W3CDTF">2026-08-04T17:27:05Z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5B41CE3114FF41A4B6F783FECEA5B392_12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